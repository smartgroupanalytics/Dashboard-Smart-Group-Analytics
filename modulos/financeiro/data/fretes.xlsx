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namedSheetViews/namedSheetView1.xml" ContentType="application/vnd.ms-excel.namedsheetviews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martgroupnovahartz3-my.sharepoint.com/personal/smartcomercial_smartgroupnovahartz3_onmicrosoft_com/Documents/FRETE/"/>
    </mc:Choice>
  </mc:AlternateContent>
  <xr:revisionPtr revIDLastSave="511" documentId="8_{3B11667E-B90B-4676-B59F-D6A4065C3638}" xr6:coauthVersionLast="47" xr6:coauthVersionMax="47" xr10:uidLastSave="{D567684E-7F75-412D-9F97-9378DE178CB5}"/>
  <bookViews>
    <workbookView xWindow="-108" yWindow="-108" windowWidth="23256" windowHeight="12456" tabRatio="599" firstSheet="24" activeTab="24" xr2:uid="{DFD3FA6E-97CF-4F91-BC09-E823BF5A11BA}"/>
  </bookViews>
  <sheets>
    <sheet name="Janeiro " sheetId="17" state="hidden" r:id="rId1"/>
    <sheet name="Fevereiro " sheetId="19" state="hidden" r:id="rId2"/>
    <sheet name="Março" sheetId="21" state="hidden" r:id="rId3"/>
    <sheet name="Abril" sheetId="26" state="hidden" r:id="rId4"/>
    <sheet name="Maio 2025" sheetId="27" state="hidden" r:id="rId5"/>
    <sheet name="Junho 2025" sheetId="28" state="hidden" r:id="rId6"/>
    <sheet name="Julho 2025" sheetId="29" state="hidden" r:id="rId7"/>
    <sheet name="Agosto 2025" sheetId="30" state="hidden" r:id="rId8"/>
    <sheet name="Setembro 2025" sheetId="31" state="hidden" r:id="rId9"/>
    <sheet name="Outubro 2025 " sheetId="32" state="hidden" r:id="rId10"/>
    <sheet name="Novembro 2025 " sheetId="34" state="hidden" r:id="rId11"/>
    <sheet name="Dezembro 2025" sheetId="35" state="hidden" r:id="rId12"/>
    <sheet name="Janeiro 2026" sheetId="36" state="hidden" r:id="rId13"/>
    <sheet name="Fevereiro 2026" sheetId="38" state="hidden" r:id="rId14"/>
    <sheet name="Março 2026" sheetId="40" state="hidden" r:id="rId15"/>
    <sheet name="Abril 2026" sheetId="41" state="hidden" r:id="rId16"/>
    <sheet name="Maio 2026" sheetId="44" state="hidden" r:id="rId17"/>
    <sheet name="Junho 2026" sheetId="45" state="hidden" r:id="rId18"/>
    <sheet name="Julho 2026" sheetId="46" state="hidden" r:id="rId19"/>
    <sheet name="Inadimplencia" sheetId="43" state="hidden" r:id="rId20"/>
    <sheet name="RESUMO FERREIRA" sheetId="37" state="hidden" r:id="rId21"/>
    <sheet name="Silvano" sheetId="42" state="hidden" r:id="rId22"/>
    <sheet name="Planilha1 (2)" sheetId="39" state="hidden" r:id="rId23"/>
    <sheet name="Planilha1" sheetId="49" state="hidden" r:id="rId24"/>
    <sheet name="BASE" sheetId="47" r:id="rId25"/>
    <sheet name="FERREIRA - JUROS" sheetId="52" r:id="rId26"/>
  </sheets>
  <definedNames>
    <definedName name="_xlnm._FilterDatabase" localSheetId="19" hidden="1">Inadimplencia!$A$1:$H$40</definedName>
    <definedName name="_xlnm._FilterDatabase" localSheetId="0" hidden="1">'Janeiro '!$A$1:$J$70</definedName>
    <definedName name="_xlnm._FilterDatabase" localSheetId="5" hidden="1">'Junho 2025'!$A$1:$J$53</definedName>
    <definedName name="_xlnm._FilterDatabase" localSheetId="20" hidden="1">'RESUMO FERREIRA'!$B$2:$H$2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58" i="47" l="1"/>
  <c r="O33" i="52"/>
  <c r="O35" i="52"/>
  <c r="O3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N2" i="52"/>
  <c r="O2" i="52" s="1"/>
  <c r="O61" i="52" s="1"/>
  <c r="N3" i="52"/>
  <c r="O3" i="52" s="1"/>
  <c r="N4" i="52"/>
  <c r="O4" i="52" s="1"/>
  <c r="N5" i="52"/>
  <c r="O5" i="52" s="1"/>
  <c r="N6" i="52"/>
  <c r="O6" i="52" s="1"/>
  <c r="N7" i="52"/>
  <c r="O7" i="52" s="1"/>
  <c r="N8" i="52"/>
  <c r="O8" i="52" s="1"/>
  <c r="N9" i="52"/>
  <c r="O9" i="52" s="1"/>
  <c r="N10" i="52"/>
  <c r="O10" i="52" s="1"/>
  <c r="N11" i="52"/>
  <c r="O11" i="52" s="1"/>
  <c r="N12" i="52"/>
  <c r="O12" i="52" s="1"/>
  <c r="N13" i="52"/>
  <c r="O13" i="52" s="1"/>
  <c r="N14" i="52"/>
  <c r="O14" i="52" s="1"/>
  <c r="N15" i="52"/>
  <c r="O15" i="52" s="1"/>
  <c r="N16" i="52"/>
  <c r="O16" i="52" s="1"/>
  <c r="N17" i="52"/>
  <c r="O17" i="52" s="1"/>
  <c r="N18" i="52"/>
  <c r="O18" i="52" s="1"/>
  <c r="N19" i="52"/>
  <c r="O19" i="52" s="1"/>
  <c r="N20" i="52"/>
  <c r="O20" i="52" s="1"/>
  <c r="N21" i="52"/>
  <c r="O21" i="52" s="1"/>
  <c r="N22" i="52"/>
  <c r="O22" i="52" s="1"/>
  <c r="N23" i="52"/>
  <c r="O23" i="52" s="1"/>
  <c r="N24" i="52"/>
  <c r="O24" i="52" s="1"/>
  <c r="N25" i="52"/>
  <c r="O25" i="52" s="1"/>
  <c r="N26" i="52"/>
  <c r="O26" i="52" s="1"/>
  <c r="N27" i="52"/>
  <c r="O27" i="52" s="1"/>
  <c r="N28" i="52"/>
  <c r="O28" i="52" s="1"/>
  <c r="N29" i="52"/>
  <c r="O29" i="52" s="1"/>
  <c r="N30" i="52"/>
  <c r="O30" i="52" s="1"/>
  <c r="N31" i="52"/>
  <c r="O31" i="52" s="1"/>
  <c r="N32" i="52"/>
  <c r="O32" i="52" s="1"/>
  <c r="N34" i="52"/>
  <c r="O34" i="52" s="1"/>
  <c r="N37" i="52"/>
  <c r="O37" i="52" s="1"/>
  <c r="N38" i="52"/>
  <c r="O38" i="52" s="1"/>
  <c r="N39" i="52"/>
  <c r="O39" i="52" s="1"/>
  <c r="N40" i="52"/>
  <c r="O40" i="52" s="1"/>
  <c r="N41" i="52"/>
  <c r="O41" i="52" s="1"/>
  <c r="N42" i="52"/>
  <c r="O42" i="52" s="1"/>
  <c r="N43" i="52"/>
  <c r="O43" i="52" s="1"/>
  <c r="N44" i="52"/>
  <c r="O44" i="52" s="1"/>
  <c r="N45" i="52"/>
  <c r="O45" i="52" s="1"/>
  <c r="N46" i="52"/>
  <c r="O46" i="52" s="1"/>
  <c r="N47" i="52"/>
  <c r="N48" i="52"/>
  <c r="N49" i="52"/>
  <c r="N50" i="52"/>
  <c r="N51" i="52"/>
  <c r="N52" i="52"/>
  <c r="N53" i="52"/>
  <c r="N54" i="52"/>
  <c r="N55" i="52"/>
  <c r="N56" i="52"/>
  <c r="N57" i="52"/>
  <c r="N58" i="52"/>
  <c r="N59" i="52"/>
  <c r="N60" i="52"/>
  <c r="I60" i="52"/>
  <c r="M60" i="52" s="1"/>
  <c r="I59" i="52"/>
  <c r="I58" i="52"/>
  <c r="I57" i="52"/>
  <c r="M57" i="52" s="1"/>
  <c r="I56" i="52"/>
  <c r="M56" i="52" s="1"/>
  <c r="I55" i="52"/>
  <c r="M55" i="52" s="1"/>
  <c r="I54" i="52"/>
  <c r="I53" i="52"/>
  <c r="M53" i="52" s="1"/>
  <c r="I52" i="52"/>
  <c r="M52" i="52" s="1"/>
  <c r="I51" i="52"/>
  <c r="I50" i="52"/>
  <c r="I49" i="52"/>
  <c r="M49" i="52" s="1"/>
  <c r="I48" i="52"/>
  <c r="I47" i="52"/>
  <c r="M47" i="52" s="1"/>
  <c r="I46" i="52"/>
  <c r="M46" i="52" s="1"/>
  <c r="I45" i="52"/>
  <c r="I44" i="52"/>
  <c r="M44" i="52" s="1"/>
  <c r="I43" i="52"/>
  <c r="I42" i="52"/>
  <c r="M42" i="52" s="1"/>
  <c r="I41" i="52"/>
  <c r="I40" i="52"/>
  <c r="M40" i="52" s="1"/>
  <c r="I39" i="52"/>
  <c r="I38" i="52"/>
  <c r="I37" i="52"/>
  <c r="M37" i="52" s="1"/>
  <c r="I36" i="52"/>
  <c r="I35" i="52"/>
  <c r="I34" i="52"/>
  <c r="M34" i="52" s="1"/>
  <c r="I33" i="52"/>
  <c r="M33" i="52" s="1"/>
  <c r="L32" i="52"/>
  <c r="I32" i="52"/>
  <c r="I31" i="52"/>
  <c r="M31" i="52" s="1"/>
  <c r="I30" i="52"/>
  <c r="M30" i="52" s="1"/>
  <c r="I29" i="52"/>
  <c r="I28" i="52"/>
  <c r="I27" i="52"/>
  <c r="M27" i="52" s="1"/>
  <c r="I26" i="52"/>
  <c r="M26" i="52" s="1"/>
  <c r="I25" i="52"/>
  <c r="M25" i="52" s="1"/>
  <c r="I24" i="52"/>
  <c r="I23" i="52"/>
  <c r="I22" i="52"/>
  <c r="I21" i="52"/>
  <c r="M21" i="52" s="1"/>
  <c r="I20" i="52"/>
  <c r="M20" i="52" s="1"/>
  <c r="I19" i="52"/>
  <c r="I18" i="52"/>
  <c r="M18" i="52" s="1"/>
  <c r="I17" i="52"/>
  <c r="M17" i="52" s="1"/>
  <c r="I16" i="52"/>
  <c r="I15" i="52"/>
  <c r="M15" i="52" s="1"/>
  <c r="I14" i="52"/>
  <c r="M14" i="52" s="1"/>
  <c r="I13" i="52"/>
  <c r="M13" i="52" s="1"/>
  <c r="I12" i="52"/>
  <c r="M12" i="52" s="1"/>
  <c r="I11" i="52"/>
  <c r="I10" i="52"/>
  <c r="M10" i="52" s="1"/>
  <c r="I9" i="52"/>
  <c r="M9" i="52" s="1"/>
  <c r="I8" i="52"/>
  <c r="M8" i="52" s="1"/>
  <c r="I7" i="52"/>
  <c r="I6" i="52"/>
  <c r="I5" i="52"/>
  <c r="M5" i="52" s="1"/>
  <c r="I4" i="52"/>
  <c r="M4" i="52" s="1"/>
  <c r="I3" i="52"/>
  <c r="M3" i="52" s="1"/>
  <c r="I2" i="52"/>
  <c r="O737" i="47"/>
  <c r="P958" i="47" l="1"/>
  <c r="Y958" i="47"/>
  <c r="M39" i="52"/>
  <c r="M24" i="52"/>
  <c r="M59" i="52"/>
  <c r="M28" i="52"/>
  <c r="M6" i="52"/>
  <c r="M7" i="52"/>
  <c r="M29" i="52"/>
  <c r="M35" i="52"/>
  <c r="M38" i="52"/>
  <c r="M36" i="52"/>
  <c r="M11" i="52"/>
  <c r="M43" i="52"/>
  <c r="M2" i="52"/>
  <c r="M19" i="52"/>
  <c r="M48" i="52"/>
  <c r="M16" i="52"/>
  <c r="M54" i="52"/>
  <c r="M22" i="52"/>
  <c r="M45" i="52"/>
  <c r="M23" i="52"/>
  <c r="M41" i="52"/>
  <c r="M50" i="52"/>
  <c r="M58" i="52"/>
  <c r="M32" i="52"/>
  <c r="M51" i="52"/>
  <c r="L957" i="47" l="1"/>
  <c r="L956" i="47"/>
  <c r="L955" i="47"/>
  <c r="P955" i="47" s="1"/>
  <c r="L954" i="47"/>
  <c r="P954" i="47" s="1"/>
  <c r="Y954" i="47" s="1"/>
  <c r="L953" i="47"/>
  <c r="L952" i="47"/>
  <c r="L951" i="47"/>
  <c r="L760" i="47"/>
  <c r="P760" i="47" s="1"/>
  <c r="Y760" i="47" s="1"/>
  <c r="L759" i="47"/>
  <c r="L761" i="47"/>
  <c r="L686" i="47"/>
  <c r="L687" i="47"/>
  <c r="L688" i="47"/>
  <c r="L689" i="47"/>
  <c r="L690" i="47"/>
  <c r="L691" i="47"/>
  <c r="L692" i="47"/>
  <c r="L693" i="47"/>
  <c r="L694" i="47"/>
  <c r="L695" i="47"/>
  <c r="L696" i="47"/>
  <c r="L697" i="47"/>
  <c r="L698" i="47"/>
  <c r="L699" i="47"/>
  <c r="L700" i="47"/>
  <c r="L701" i="47"/>
  <c r="L702" i="47"/>
  <c r="L703" i="47"/>
  <c r="L704" i="47"/>
  <c r="L705" i="47"/>
  <c r="L706" i="47"/>
  <c r="L707" i="47"/>
  <c r="L708" i="47"/>
  <c r="L709" i="47"/>
  <c r="L710" i="47"/>
  <c r="L711" i="47"/>
  <c r="L712" i="47"/>
  <c r="L713" i="47"/>
  <c r="L714" i="47"/>
  <c r="L715" i="47"/>
  <c r="L716" i="47"/>
  <c r="L717" i="47"/>
  <c r="L718" i="47"/>
  <c r="L719" i="47"/>
  <c r="L720" i="47"/>
  <c r="L721" i="47"/>
  <c r="L722" i="47"/>
  <c r="L723" i="47"/>
  <c r="L724" i="47"/>
  <c r="L725" i="47"/>
  <c r="L726" i="47"/>
  <c r="L727" i="47"/>
  <c r="L728" i="47"/>
  <c r="L729" i="47"/>
  <c r="L730" i="47"/>
  <c r="L731" i="47"/>
  <c r="L732" i="47"/>
  <c r="L733" i="47"/>
  <c r="L734" i="47"/>
  <c r="L735" i="47"/>
  <c r="L736" i="47"/>
  <c r="L737" i="47"/>
  <c r="L738" i="47"/>
  <c r="L739" i="47"/>
  <c r="L740" i="47"/>
  <c r="L741" i="47"/>
  <c r="L742" i="47"/>
  <c r="L743" i="47"/>
  <c r="L744" i="47"/>
  <c r="L745" i="47"/>
  <c r="L746" i="47"/>
  <c r="L747" i="47"/>
  <c r="L567" i="47"/>
  <c r="L821" i="47"/>
  <c r="P821" i="47" s="1"/>
  <c r="Y821" i="47" s="1"/>
  <c r="L822" i="47"/>
  <c r="P822" i="47" s="1"/>
  <c r="Y822" i="47" s="1"/>
  <c r="L823" i="47"/>
  <c r="P823" i="47" s="1"/>
  <c r="Y823" i="47" s="1"/>
  <c r="L824" i="47"/>
  <c r="P824" i="47" s="1"/>
  <c r="Y824" i="47" s="1"/>
  <c r="L825" i="47"/>
  <c r="P825" i="47" s="1"/>
  <c r="Y825" i="47" s="1"/>
  <c r="L826" i="47"/>
  <c r="P826" i="47" s="1"/>
  <c r="Y826" i="47" s="1"/>
  <c r="L827" i="47"/>
  <c r="P827" i="47" s="1"/>
  <c r="Y827" i="47" s="1"/>
  <c r="L828" i="47"/>
  <c r="P828" i="47" s="1"/>
  <c r="Y828" i="47" s="1"/>
  <c r="L829" i="47"/>
  <c r="L830" i="47"/>
  <c r="L831" i="47"/>
  <c r="L832" i="47"/>
  <c r="L805" i="47"/>
  <c r="P805" i="47" s="1"/>
  <c r="Y805" i="47" s="1"/>
  <c r="L806" i="47"/>
  <c r="P806" i="47" s="1"/>
  <c r="Y806" i="47" s="1"/>
  <c r="L807" i="47"/>
  <c r="P807" i="47" s="1"/>
  <c r="Y807" i="47" s="1"/>
  <c r="L808" i="47"/>
  <c r="P808" i="47" s="1"/>
  <c r="Y808" i="47" s="1"/>
  <c r="L809" i="47"/>
  <c r="P809" i="47" s="1"/>
  <c r="L810" i="47"/>
  <c r="P810" i="47" s="1"/>
  <c r="L811" i="47"/>
  <c r="P811" i="47" s="1"/>
  <c r="L812" i="47"/>
  <c r="P812" i="47" s="1"/>
  <c r="L813" i="47"/>
  <c r="P813" i="47" s="1"/>
  <c r="Y813" i="47" s="1"/>
  <c r="L814" i="47"/>
  <c r="P814" i="47" s="1"/>
  <c r="L815" i="47"/>
  <c r="P815" i="47" s="1"/>
  <c r="Y815" i="47" s="1"/>
  <c r="L816" i="47"/>
  <c r="P816" i="47" s="1"/>
  <c r="L817" i="47"/>
  <c r="P817" i="47" s="1"/>
  <c r="Y817" i="47" s="1"/>
  <c r="L818" i="47"/>
  <c r="P818" i="47" s="1"/>
  <c r="Y818" i="47" s="1"/>
  <c r="L803" i="47"/>
  <c r="L804" i="47"/>
  <c r="L819" i="47"/>
  <c r="P819" i="47" s="1"/>
  <c r="L820" i="47"/>
  <c r="P820" i="47" s="1"/>
  <c r="Y820" i="47" s="1"/>
  <c r="L833" i="47"/>
  <c r="P833" i="47" s="1"/>
  <c r="Y833" i="47" s="1"/>
  <c r="L834" i="47"/>
  <c r="P834" i="47" s="1"/>
  <c r="Y834" i="47" s="1"/>
  <c r="L835" i="47"/>
  <c r="P835" i="47" s="1"/>
  <c r="Y835" i="47" s="1"/>
  <c r="L836" i="47"/>
  <c r="P836" i="47" s="1"/>
  <c r="Y836" i="47" s="1"/>
  <c r="L837" i="47"/>
  <c r="P837" i="47" s="1"/>
  <c r="L838" i="47"/>
  <c r="P838" i="47" s="1"/>
  <c r="L839" i="47"/>
  <c r="P839" i="47" s="1"/>
  <c r="L840" i="47"/>
  <c r="P840" i="47" s="1"/>
  <c r="L841" i="47"/>
  <c r="P841" i="47" s="1"/>
  <c r="L842" i="47"/>
  <c r="P842" i="47" s="1"/>
  <c r="L843" i="47"/>
  <c r="P843" i="47" s="1"/>
  <c r="Y843" i="47" s="1"/>
  <c r="L844" i="47"/>
  <c r="P844" i="47" s="1"/>
  <c r="Y844" i="47" s="1"/>
  <c r="L904" i="47"/>
  <c r="L947" i="47"/>
  <c r="L948" i="47"/>
  <c r="P948" i="47" s="1"/>
  <c r="L949" i="47"/>
  <c r="P949" i="47" s="1"/>
  <c r="Y949" i="47" s="1"/>
  <c r="L950" i="47"/>
  <c r="P950" i="47" s="1"/>
  <c r="L946" i="47"/>
  <c r="L945" i="47"/>
  <c r="L905" i="47"/>
  <c r="P905" i="47" s="1"/>
  <c r="L906" i="47"/>
  <c r="P906" i="47" s="1"/>
  <c r="Y906" i="47" s="1"/>
  <c r="L907" i="47"/>
  <c r="L908" i="47"/>
  <c r="L909" i="47"/>
  <c r="P909" i="47" s="1"/>
  <c r="Y909" i="47" s="1"/>
  <c r="L910" i="47"/>
  <c r="P910" i="47" s="1"/>
  <c r="L911" i="47"/>
  <c r="P911" i="47" s="1"/>
  <c r="L912" i="47"/>
  <c r="P912" i="47" s="1"/>
  <c r="L913" i="47"/>
  <c r="P913" i="47" s="1"/>
  <c r="Y913" i="47" s="1"/>
  <c r="L914" i="47"/>
  <c r="P914" i="47" s="1"/>
  <c r="L915" i="47"/>
  <c r="P915" i="47" s="1"/>
  <c r="Y915" i="47" s="1"/>
  <c r="L916" i="47"/>
  <c r="L917" i="47"/>
  <c r="L918" i="47"/>
  <c r="L919" i="47"/>
  <c r="L920" i="47"/>
  <c r="P920" i="47" s="1"/>
  <c r="Y920" i="47" s="1"/>
  <c r="L921" i="47"/>
  <c r="L922" i="47"/>
  <c r="L923" i="47"/>
  <c r="P923" i="47" s="1"/>
  <c r="L924" i="47"/>
  <c r="P924" i="47" s="1"/>
  <c r="L925" i="47"/>
  <c r="P925" i="47" s="1"/>
  <c r="Y925" i="47" s="1"/>
  <c r="L926" i="47"/>
  <c r="P926" i="47" s="1"/>
  <c r="Y926" i="47" s="1"/>
  <c r="L927" i="47"/>
  <c r="P927" i="47" s="1"/>
  <c r="L928" i="47"/>
  <c r="P928" i="47" s="1"/>
  <c r="Y928" i="47" s="1"/>
  <c r="L929" i="47"/>
  <c r="P929" i="47" s="1"/>
  <c r="Y929" i="47" s="1"/>
  <c r="L930" i="47"/>
  <c r="P930" i="47" s="1"/>
  <c r="Y930" i="47" s="1"/>
  <c r="L931" i="47"/>
  <c r="L932" i="47"/>
  <c r="L933" i="47"/>
  <c r="P933" i="47" s="1"/>
  <c r="Y933" i="47" s="1"/>
  <c r="L934" i="47"/>
  <c r="P934" i="47" s="1"/>
  <c r="Y934" i="47" s="1"/>
  <c r="L935" i="47"/>
  <c r="P935" i="47" s="1"/>
  <c r="Y935" i="47" s="1"/>
  <c r="L936" i="47"/>
  <c r="P936" i="47" s="1"/>
  <c r="Y936" i="47" s="1"/>
  <c r="L937" i="47"/>
  <c r="P937" i="47" s="1"/>
  <c r="L938" i="47"/>
  <c r="P938" i="47" s="1"/>
  <c r="Y938" i="47" s="1"/>
  <c r="L939" i="47"/>
  <c r="P939" i="47" s="1"/>
  <c r="L940" i="47"/>
  <c r="P940" i="47" s="1"/>
  <c r="L941" i="47"/>
  <c r="P941" i="47" s="1"/>
  <c r="L942" i="47"/>
  <c r="P942" i="47" s="1"/>
  <c r="L943" i="47"/>
  <c r="P943" i="47" s="1"/>
  <c r="L944" i="47"/>
  <c r="L887" i="47"/>
  <c r="L888" i="47"/>
  <c r="L889" i="47"/>
  <c r="L890" i="47"/>
  <c r="P890" i="47" s="1"/>
  <c r="Y890" i="47" s="1"/>
  <c r="L891" i="47"/>
  <c r="P891" i="47" s="1"/>
  <c r="Y891" i="47" s="1"/>
  <c r="L892" i="47"/>
  <c r="P892" i="47" s="1"/>
  <c r="Y892" i="47" s="1"/>
  <c r="L893" i="47"/>
  <c r="P893" i="47" s="1"/>
  <c r="Y893" i="47" s="1"/>
  <c r="L894" i="47"/>
  <c r="P894" i="47" s="1"/>
  <c r="Y894" i="47" s="1"/>
  <c r="L895" i="47"/>
  <c r="P895" i="47" s="1"/>
  <c r="Y895" i="47" s="1"/>
  <c r="L874" i="47"/>
  <c r="L875" i="47"/>
  <c r="L876" i="47"/>
  <c r="L877" i="47"/>
  <c r="L878" i="47"/>
  <c r="P878" i="47" s="1"/>
  <c r="Y878" i="47" s="1"/>
  <c r="L879" i="47"/>
  <c r="P879" i="47" s="1"/>
  <c r="Y879" i="47" s="1"/>
  <c r="L880" i="47"/>
  <c r="L881" i="47"/>
  <c r="P881" i="47" s="1"/>
  <c r="Y881" i="47" s="1"/>
  <c r="L882" i="47"/>
  <c r="P882" i="47" s="1"/>
  <c r="Y882" i="47" s="1"/>
  <c r="L883" i="47"/>
  <c r="L884" i="47"/>
  <c r="L871" i="47"/>
  <c r="L872" i="47"/>
  <c r="L873" i="47"/>
  <c r="P873" i="47" s="1"/>
  <c r="L885" i="47"/>
  <c r="P885" i="47" s="1"/>
  <c r="L886" i="47"/>
  <c r="P886" i="47" s="1"/>
  <c r="L896" i="47"/>
  <c r="P896" i="47" s="1"/>
  <c r="L897" i="47"/>
  <c r="P897" i="47" s="1"/>
  <c r="L867" i="47"/>
  <c r="P867" i="47" s="1"/>
  <c r="L868" i="47"/>
  <c r="L869" i="47"/>
  <c r="P869" i="47" s="1"/>
  <c r="Y869" i="47" s="1"/>
  <c r="L870" i="47"/>
  <c r="P870" i="47" s="1"/>
  <c r="Y870" i="47" s="1"/>
  <c r="P898" i="47"/>
  <c r="P899" i="47"/>
  <c r="P900" i="47"/>
  <c r="L901" i="47"/>
  <c r="P901" i="47" s="1"/>
  <c r="L902" i="47"/>
  <c r="P902" i="47" s="1"/>
  <c r="L903" i="47"/>
  <c r="P903" i="47" s="1"/>
  <c r="L856" i="47"/>
  <c r="L857" i="47"/>
  <c r="L858" i="47"/>
  <c r="L859" i="47"/>
  <c r="L860" i="47"/>
  <c r="P860" i="47" s="1"/>
  <c r="Y860" i="47" s="1"/>
  <c r="L861" i="47"/>
  <c r="P861" i="47" s="1"/>
  <c r="Y861" i="47" s="1"/>
  <c r="L862" i="47"/>
  <c r="P862" i="47" s="1"/>
  <c r="L863" i="47"/>
  <c r="P863" i="47" s="1"/>
  <c r="Y863" i="47" s="1"/>
  <c r="L864" i="47"/>
  <c r="P864" i="47" s="1"/>
  <c r="Y864" i="47" s="1"/>
  <c r="L865" i="47"/>
  <c r="P865" i="47" s="1"/>
  <c r="L866" i="47"/>
  <c r="P866" i="47" s="1"/>
  <c r="L854" i="47"/>
  <c r="L855" i="47"/>
  <c r="L846" i="47"/>
  <c r="P846" i="47" s="1"/>
  <c r="Y846" i="47" s="1"/>
  <c r="L847" i="47"/>
  <c r="P847" i="47" s="1"/>
  <c r="L848" i="47"/>
  <c r="P848" i="47" s="1"/>
  <c r="Y848" i="47" s="1"/>
  <c r="L849" i="47"/>
  <c r="P849" i="47" s="1"/>
  <c r="Y849" i="47" s="1"/>
  <c r="L850" i="47"/>
  <c r="P850" i="47" s="1"/>
  <c r="Y850" i="47" s="1"/>
  <c r="L851" i="47"/>
  <c r="P851" i="47" s="1"/>
  <c r="Y851" i="47" s="1"/>
  <c r="L852" i="47"/>
  <c r="L853" i="47"/>
  <c r="P853" i="47" s="1"/>
  <c r="Y853" i="47" s="1"/>
  <c r="L845" i="47"/>
  <c r="P845" i="47" s="1"/>
  <c r="L788" i="47"/>
  <c r="P788" i="47" s="1"/>
  <c r="L487" i="47"/>
  <c r="P487" i="47" s="1"/>
  <c r="Y487" i="47" s="1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32" i="47"/>
  <c r="L33" i="47"/>
  <c r="L34" i="47"/>
  <c r="L35" i="47"/>
  <c r="L36" i="47"/>
  <c r="L37" i="47"/>
  <c r="L38" i="47"/>
  <c r="L39" i="47"/>
  <c r="L40" i="47"/>
  <c r="L41" i="47"/>
  <c r="L42" i="47"/>
  <c r="L43" i="47"/>
  <c r="L44" i="47"/>
  <c r="L45" i="47"/>
  <c r="L46" i="47"/>
  <c r="L47" i="47"/>
  <c r="L48" i="47"/>
  <c r="L49" i="47"/>
  <c r="L50" i="47"/>
  <c r="L51" i="47"/>
  <c r="L52" i="47"/>
  <c r="L53" i="47"/>
  <c r="L54" i="47"/>
  <c r="L55" i="47"/>
  <c r="L56" i="47"/>
  <c r="L57" i="47"/>
  <c r="L58" i="47"/>
  <c r="L59" i="47"/>
  <c r="L60" i="47"/>
  <c r="L61" i="47"/>
  <c r="L62" i="47"/>
  <c r="L63" i="47"/>
  <c r="L64" i="47"/>
  <c r="L65" i="47"/>
  <c r="L66" i="47"/>
  <c r="L67" i="47"/>
  <c r="L68" i="47"/>
  <c r="L69" i="47"/>
  <c r="L70" i="47"/>
  <c r="L71" i="47"/>
  <c r="L72" i="47"/>
  <c r="L73" i="47"/>
  <c r="L74" i="47"/>
  <c r="L75" i="47"/>
  <c r="L76" i="47"/>
  <c r="L77" i="47"/>
  <c r="L78" i="47"/>
  <c r="L79" i="47"/>
  <c r="L80" i="47"/>
  <c r="L81" i="47"/>
  <c r="L82" i="47"/>
  <c r="L83" i="47"/>
  <c r="L84" i="47"/>
  <c r="L85" i="47"/>
  <c r="L86" i="47"/>
  <c r="L87" i="47"/>
  <c r="L88" i="47"/>
  <c r="L89" i="47"/>
  <c r="L90" i="47"/>
  <c r="L91" i="47"/>
  <c r="L92" i="47"/>
  <c r="L93" i="47"/>
  <c r="L94" i="47"/>
  <c r="L95" i="47"/>
  <c r="L96" i="47"/>
  <c r="L97" i="47"/>
  <c r="L98" i="47"/>
  <c r="L99" i="47"/>
  <c r="L100" i="47"/>
  <c r="L101" i="47"/>
  <c r="L102" i="47"/>
  <c r="L103" i="47"/>
  <c r="L104" i="47"/>
  <c r="L105" i="47"/>
  <c r="L106" i="47"/>
  <c r="L107" i="47"/>
  <c r="L108" i="47"/>
  <c r="L109" i="47"/>
  <c r="L110" i="47"/>
  <c r="L111" i="47"/>
  <c r="L112" i="47"/>
  <c r="L113" i="47"/>
  <c r="L114" i="47"/>
  <c r="L115" i="47"/>
  <c r="L116" i="47"/>
  <c r="L117" i="47"/>
  <c r="L118" i="47"/>
  <c r="L119" i="47"/>
  <c r="L120" i="47"/>
  <c r="L121" i="47"/>
  <c r="L122" i="47"/>
  <c r="L123" i="47"/>
  <c r="L124" i="47"/>
  <c r="L125" i="47"/>
  <c r="L126" i="47"/>
  <c r="L127" i="47"/>
  <c r="L128" i="47"/>
  <c r="L129" i="47"/>
  <c r="L130" i="47"/>
  <c r="L131" i="47"/>
  <c r="L132" i="47"/>
  <c r="L133" i="47"/>
  <c r="L134" i="47"/>
  <c r="L135" i="47"/>
  <c r="L136" i="47"/>
  <c r="L137" i="47"/>
  <c r="L138" i="47"/>
  <c r="L139" i="47"/>
  <c r="L140" i="47"/>
  <c r="L141" i="47"/>
  <c r="L142" i="47"/>
  <c r="L143" i="47"/>
  <c r="L144" i="47"/>
  <c r="L145" i="47"/>
  <c r="L146" i="47"/>
  <c r="L147" i="47"/>
  <c r="L148" i="47"/>
  <c r="L149" i="47"/>
  <c r="L150" i="47"/>
  <c r="L151" i="47"/>
  <c r="L152" i="47"/>
  <c r="L153" i="47"/>
  <c r="L154" i="47"/>
  <c r="L155" i="47"/>
  <c r="L156" i="47"/>
  <c r="L157" i="47"/>
  <c r="L158" i="47"/>
  <c r="L159" i="47"/>
  <c r="L160" i="47"/>
  <c r="L161" i="47"/>
  <c r="L162" i="47"/>
  <c r="L163" i="47"/>
  <c r="L164" i="47"/>
  <c r="L165" i="47"/>
  <c r="L166" i="47"/>
  <c r="L167" i="47"/>
  <c r="L168" i="47"/>
  <c r="L169" i="47"/>
  <c r="L170" i="47"/>
  <c r="L171" i="47"/>
  <c r="L172" i="47"/>
  <c r="L173" i="47"/>
  <c r="L174" i="47"/>
  <c r="L175" i="47"/>
  <c r="L176" i="47"/>
  <c r="L177" i="47"/>
  <c r="L178" i="47"/>
  <c r="L179" i="47"/>
  <c r="L180" i="47"/>
  <c r="L181" i="47"/>
  <c r="L182" i="47"/>
  <c r="L183" i="47"/>
  <c r="L184" i="47"/>
  <c r="L185" i="47"/>
  <c r="L186" i="47"/>
  <c r="L187" i="47"/>
  <c r="L188" i="47"/>
  <c r="L189" i="47"/>
  <c r="L190" i="47"/>
  <c r="L191" i="47"/>
  <c r="L192" i="47"/>
  <c r="L193" i="47"/>
  <c r="L194" i="47"/>
  <c r="L195" i="47"/>
  <c r="L196" i="47"/>
  <c r="L197" i="47"/>
  <c r="L198" i="47"/>
  <c r="L199" i="47"/>
  <c r="L200" i="47"/>
  <c r="L201" i="47"/>
  <c r="L202" i="47"/>
  <c r="L203" i="47"/>
  <c r="L204" i="47"/>
  <c r="L205" i="47"/>
  <c r="L206" i="47"/>
  <c r="L207" i="47"/>
  <c r="L208" i="47"/>
  <c r="L209" i="47"/>
  <c r="L210" i="47"/>
  <c r="L211" i="47"/>
  <c r="L212" i="47"/>
  <c r="L213" i="47"/>
  <c r="L214" i="47"/>
  <c r="L215" i="47"/>
  <c r="L216" i="47"/>
  <c r="L217" i="47"/>
  <c r="L218" i="47"/>
  <c r="L219" i="47"/>
  <c r="L220" i="47"/>
  <c r="L221" i="47"/>
  <c r="L222" i="47"/>
  <c r="L223" i="47"/>
  <c r="L224" i="47"/>
  <c r="L225" i="47"/>
  <c r="L226" i="47"/>
  <c r="L227" i="47"/>
  <c r="L228" i="47"/>
  <c r="L229" i="47"/>
  <c r="L230" i="47"/>
  <c r="L231" i="47"/>
  <c r="L232" i="47"/>
  <c r="L233" i="47"/>
  <c r="L234" i="47"/>
  <c r="L235" i="47"/>
  <c r="L236" i="47"/>
  <c r="L237" i="47"/>
  <c r="L238" i="47"/>
  <c r="L239" i="47"/>
  <c r="L240" i="47"/>
  <c r="L241" i="47"/>
  <c r="L242" i="47"/>
  <c r="L243" i="47"/>
  <c r="L244" i="47"/>
  <c r="L245" i="47"/>
  <c r="L246" i="47"/>
  <c r="L247" i="47"/>
  <c r="L248" i="47"/>
  <c r="L249" i="47"/>
  <c r="L250" i="47"/>
  <c r="L251" i="47"/>
  <c r="L252" i="47"/>
  <c r="L253" i="47"/>
  <c r="L254" i="47"/>
  <c r="L255" i="47"/>
  <c r="L256" i="47"/>
  <c r="L257" i="47"/>
  <c r="L258" i="47"/>
  <c r="L259" i="47"/>
  <c r="L260" i="47"/>
  <c r="L261" i="47"/>
  <c r="L262" i="47"/>
  <c r="L263" i="47"/>
  <c r="L264" i="47"/>
  <c r="L265" i="47"/>
  <c r="L266" i="47"/>
  <c r="L267" i="47"/>
  <c r="L268" i="47"/>
  <c r="L269" i="47"/>
  <c r="L270" i="47"/>
  <c r="L271" i="47"/>
  <c r="L272" i="47"/>
  <c r="L273" i="47"/>
  <c r="L274" i="47"/>
  <c r="L275" i="47"/>
  <c r="L276" i="47"/>
  <c r="L277" i="47"/>
  <c r="L278" i="47"/>
  <c r="L279" i="47"/>
  <c r="L280" i="47"/>
  <c r="L281" i="47"/>
  <c r="L282" i="47"/>
  <c r="L283" i="47"/>
  <c r="L284" i="47"/>
  <c r="L285" i="47"/>
  <c r="L286" i="47"/>
  <c r="L287" i="47"/>
  <c r="L288" i="47"/>
  <c r="L289" i="47"/>
  <c r="L290" i="47"/>
  <c r="L291" i="47"/>
  <c r="L292" i="47"/>
  <c r="L293" i="47"/>
  <c r="L294" i="47"/>
  <c r="L295" i="47"/>
  <c r="L296" i="47"/>
  <c r="L297" i="47"/>
  <c r="L298" i="47"/>
  <c r="L299" i="47"/>
  <c r="L300" i="47"/>
  <c r="L301" i="47"/>
  <c r="L302" i="47"/>
  <c r="L303" i="47"/>
  <c r="L304" i="47"/>
  <c r="L305" i="47"/>
  <c r="L306" i="47"/>
  <c r="L307" i="47"/>
  <c r="L308" i="47"/>
  <c r="L309" i="47"/>
  <c r="L310" i="47"/>
  <c r="L311" i="47"/>
  <c r="L312" i="47"/>
  <c r="L313" i="47"/>
  <c r="L314" i="47"/>
  <c r="L315" i="47"/>
  <c r="L316" i="47"/>
  <c r="L317" i="47"/>
  <c r="L318" i="47"/>
  <c r="L319" i="47"/>
  <c r="L320" i="47"/>
  <c r="L321" i="47"/>
  <c r="L322" i="47"/>
  <c r="L323" i="47"/>
  <c r="L324" i="47"/>
  <c r="L325" i="47"/>
  <c r="L326" i="47"/>
  <c r="L327" i="47"/>
  <c r="L328" i="47"/>
  <c r="L329" i="47"/>
  <c r="L330" i="47"/>
  <c r="L331" i="47"/>
  <c r="L332" i="47"/>
  <c r="L333" i="47"/>
  <c r="L334" i="47"/>
  <c r="L335" i="47"/>
  <c r="L336" i="47"/>
  <c r="L337" i="47"/>
  <c r="L338" i="47"/>
  <c r="L339" i="47"/>
  <c r="L340" i="47"/>
  <c r="L341" i="47"/>
  <c r="L342" i="47"/>
  <c r="L343" i="47"/>
  <c r="L344" i="47"/>
  <c r="L345" i="47"/>
  <c r="L346" i="47"/>
  <c r="L347" i="47"/>
  <c r="L348" i="47"/>
  <c r="L349" i="47"/>
  <c r="L350" i="47"/>
  <c r="L351" i="47"/>
  <c r="L352" i="47"/>
  <c r="L353" i="47"/>
  <c r="L354" i="47"/>
  <c r="L355" i="47"/>
  <c r="L356" i="47"/>
  <c r="L357" i="47"/>
  <c r="L358" i="47"/>
  <c r="L359" i="47"/>
  <c r="L360" i="47"/>
  <c r="L361" i="47"/>
  <c r="L362" i="47"/>
  <c r="L363" i="47"/>
  <c r="L364" i="47"/>
  <c r="L365" i="47"/>
  <c r="L366" i="47"/>
  <c r="L367" i="47"/>
  <c r="L368" i="47"/>
  <c r="L369" i="47"/>
  <c r="L370" i="47"/>
  <c r="L371" i="47"/>
  <c r="L372" i="47"/>
  <c r="L373" i="47"/>
  <c r="L374" i="47"/>
  <c r="L375" i="47"/>
  <c r="L376" i="47"/>
  <c r="L377" i="47"/>
  <c r="L378" i="47"/>
  <c r="L379" i="47"/>
  <c r="L380" i="47"/>
  <c r="L381" i="47"/>
  <c r="L382" i="47"/>
  <c r="L383" i="47"/>
  <c r="L384" i="47"/>
  <c r="L385" i="47"/>
  <c r="L386" i="47"/>
  <c r="L387" i="47"/>
  <c r="L388" i="47"/>
  <c r="L389" i="47"/>
  <c r="L390" i="47"/>
  <c r="L391" i="47"/>
  <c r="L392" i="47"/>
  <c r="L393" i="47"/>
  <c r="L394" i="47"/>
  <c r="L395" i="47"/>
  <c r="L396" i="47"/>
  <c r="L397" i="47"/>
  <c r="L398" i="47"/>
  <c r="L399" i="47"/>
  <c r="L400" i="47"/>
  <c r="L401" i="47"/>
  <c r="L402" i="47"/>
  <c r="L403" i="47"/>
  <c r="L404" i="47"/>
  <c r="L405" i="47"/>
  <c r="L406" i="47"/>
  <c r="L407" i="47"/>
  <c r="L408" i="47"/>
  <c r="L409" i="47"/>
  <c r="L410" i="47"/>
  <c r="L411" i="47"/>
  <c r="L412" i="47"/>
  <c r="L413" i="47"/>
  <c r="L414" i="47"/>
  <c r="L415" i="47"/>
  <c r="L416" i="47"/>
  <c r="L417" i="47"/>
  <c r="L418" i="47"/>
  <c r="L419" i="47"/>
  <c r="L420" i="47"/>
  <c r="L421" i="47"/>
  <c r="L422" i="47"/>
  <c r="L423" i="47"/>
  <c r="L424" i="47"/>
  <c r="L425" i="47"/>
  <c r="L426" i="47"/>
  <c r="L427" i="47"/>
  <c r="L428" i="47"/>
  <c r="L429" i="47"/>
  <c r="L430" i="47"/>
  <c r="L431" i="47"/>
  <c r="L432" i="47"/>
  <c r="L433" i="47"/>
  <c r="L434" i="47"/>
  <c r="L435" i="47"/>
  <c r="L436" i="47"/>
  <c r="L437" i="47"/>
  <c r="L438" i="47"/>
  <c r="L439" i="47"/>
  <c r="L440" i="47"/>
  <c r="L441" i="47"/>
  <c r="L442" i="47"/>
  <c r="L443" i="47"/>
  <c r="L444" i="47"/>
  <c r="L445" i="47"/>
  <c r="L446" i="47"/>
  <c r="L447" i="47"/>
  <c r="L448" i="47"/>
  <c r="L449" i="47"/>
  <c r="P449" i="47" s="1"/>
  <c r="Y449" i="47" s="1"/>
  <c r="L450" i="47"/>
  <c r="L451" i="47"/>
  <c r="L452" i="47"/>
  <c r="L453" i="47"/>
  <c r="L454" i="47"/>
  <c r="P454" i="47" s="1"/>
  <c r="Y454" i="47" s="1"/>
  <c r="L455" i="47"/>
  <c r="P455" i="47" s="1"/>
  <c r="Y455" i="47" s="1"/>
  <c r="L456" i="47"/>
  <c r="P456" i="47" s="1"/>
  <c r="Y456" i="47" s="1"/>
  <c r="L457" i="47"/>
  <c r="L458" i="47"/>
  <c r="L459" i="47"/>
  <c r="P459" i="47" s="1"/>
  <c r="Y459" i="47" s="1"/>
  <c r="L460" i="47"/>
  <c r="L461" i="47"/>
  <c r="L462" i="47"/>
  <c r="L463" i="47"/>
  <c r="L464" i="47"/>
  <c r="P464" i="47" s="1"/>
  <c r="Y464" i="47" s="1"/>
  <c r="L465" i="47"/>
  <c r="L466" i="47"/>
  <c r="L467" i="47"/>
  <c r="P467" i="47" s="1"/>
  <c r="Y467" i="47" s="1"/>
  <c r="L468" i="47"/>
  <c r="L469" i="47"/>
  <c r="L470" i="47"/>
  <c r="L471" i="47"/>
  <c r="P471" i="47" s="1"/>
  <c r="Y471" i="47" s="1"/>
  <c r="L472" i="47"/>
  <c r="L473" i="47"/>
  <c r="L474" i="47"/>
  <c r="P474" i="47" s="1"/>
  <c r="Y474" i="47" s="1"/>
  <c r="L475" i="47"/>
  <c r="P475" i="47" s="1"/>
  <c r="Y475" i="47" s="1"/>
  <c r="L476" i="47"/>
  <c r="L477" i="47"/>
  <c r="L478" i="47"/>
  <c r="L479" i="47"/>
  <c r="L480" i="47"/>
  <c r="L481" i="47"/>
  <c r="P481" i="47" s="1"/>
  <c r="Y481" i="47" s="1"/>
  <c r="L482" i="47"/>
  <c r="L483" i="47"/>
  <c r="P483" i="47" s="1"/>
  <c r="Y483" i="47" s="1"/>
  <c r="L484" i="47"/>
  <c r="L485" i="47"/>
  <c r="L486" i="47"/>
  <c r="L488" i="47"/>
  <c r="L489" i="47"/>
  <c r="L490" i="47"/>
  <c r="L491" i="47"/>
  <c r="L492" i="47"/>
  <c r="L493" i="47"/>
  <c r="L494" i="47"/>
  <c r="L495" i="47"/>
  <c r="L496" i="47"/>
  <c r="L497" i="47"/>
  <c r="L498" i="47"/>
  <c r="L499" i="47"/>
  <c r="L500" i="47"/>
  <c r="L501" i="47"/>
  <c r="L502" i="47"/>
  <c r="L503" i="47"/>
  <c r="L504" i="47"/>
  <c r="L505" i="47"/>
  <c r="L506" i="47"/>
  <c r="L507" i="47"/>
  <c r="L508" i="47"/>
  <c r="L509" i="47"/>
  <c r="L510" i="47"/>
  <c r="L511" i="47"/>
  <c r="L512" i="47"/>
  <c r="L513" i="47"/>
  <c r="L514" i="47"/>
  <c r="L515" i="47"/>
  <c r="L516" i="47"/>
  <c r="L517" i="47"/>
  <c r="L518" i="47"/>
  <c r="L519" i="47"/>
  <c r="L520" i="47"/>
  <c r="L521" i="47"/>
  <c r="L522" i="47"/>
  <c r="L523" i="47"/>
  <c r="L524" i="47"/>
  <c r="L525" i="47"/>
  <c r="L526" i="47"/>
  <c r="L527" i="47"/>
  <c r="L528" i="47"/>
  <c r="L529" i="47"/>
  <c r="L530" i="47"/>
  <c r="L531" i="47"/>
  <c r="L532" i="47"/>
  <c r="L533" i="47"/>
  <c r="L534" i="47"/>
  <c r="L535" i="47"/>
  <c r="L536" i="47"/>
  <c r="L537" i="47"/>
  <c r="L538" i="47"/>
  <c r="L539" i="47"/>
  <c r="L540" i="47"/>
  <c r="L541" i="47"/>
  <c r="L542" i="47"/>
  <c r="L543" i="47"/>
  <c r="L544" i="47"/>
  <c r="L545" i="47"/>
  <c r="L546" i="47"/>
  <c r="L547" i="47"/>
  <c r="L548" i="47"/>
  <c r="L549" i="47"/>
  <c r="L550" i="47"/>
  <c r="L551" i="47"/>
  <c r="L552" i="47"/>
  <c r="L553" i="47"/>
  <c r="L554" i="47"/>
  <c r="L555" i="47"/>
  <c r="L556" i="47"/>
  <c r="L557" i="47"/>
  <c r="L558" i="47"/>
  <c r="L559" i="47"/>
  <c r="L560" i="47"/>
  <c r="L561" i="47"/>
  <c r="L562" i="47"/>
  <c r="L563" i="47"/>
  <c r="L564" i="47"/>
  <c r="L565" i="47"/>
  <c r="L566" i="47"/>
  <c r="L568" i="47"/>
  <c r="L569" i="47"/>
  <c r="L570" i="47"/>
  <c r="L571" i="47"/>
  <c r="L572" i="47"/>
  <c r="L573" i="47"/>
  <c r="L574" i="47"/>
  <c r="L575" i="47"/>
  <c r="L576" i="47"/>
  <c r="L577" i="47"/>
  <c r="L578" i="47"/>
  <c r="L579" i="47"/>
  <c r="L580" i="47"/>
  <c r="L581" i="47"/>
  <c r="L582" i="47"/>
  <c r="L583" i="47"/>
  <c r="L584" i="47"/>
  <c r="L585" i="47"/>
  <c r="L586" i="47"/>
  <c r="L587" i="47"/>
  <c r="L588" i="47"/>
  <c r="L589" i="47"/>
  <c r="L590" i="47"/>
  <c r="L591" i="47"/>
  <c r="L592" i="47"/>
  <c r="L593" i="47"/>
  <c r="L594" i="47"/>
  <c r="L595" i="47"/>
  <c r="L596" i="47"/>
  <c r="L597" i="47"/>
  <c r="L598" i="47"/>
  <c r="L599" i="47"/>
  <c r="L600" i="47"/>
  <c r="L601" i="47"/>
  <c r="L602" i="47"/>
  <c r="L603" i="47"/>
  <c r="L604" i="47"/>
  <c r="L605" i="47"/>
  <c r="L606" i="47"/>
  <c r="L607" i="47"/>
  <c r="L608" i="47"/>
  <c r="L609" i="47"/>
  <c r="L610" i="47"/>
  <c r="L611" i="47"/>
  <c r="L612" i="47"/>
  <c r="L613" i="47"/>
  <c r="L614" i="47"/>
  <c r="L615" i="47"/>
  <c r="L616" i="47"/>
  <c r="L617" i="47"/>
  <c r="L618" i="47"/>
  <c r="L619" i="47"/>
  <c r="L620" i="47"/>
  <c r="L621" i="47"/>
  <c r="L622" i="47"/>
  <c r="L623" i="47"/>
  <c r="L624" i="47"/>
  <c r="L625" i="47"/>
  <c r="L626" i="47"/>
  <c r="L627" i="47"/>
  <c r="L628" i="47"/>
  <c r="L629" i="47"/>
  <c r="L630" i="47"/>
  <c r="L631" i="47"/>
  <c r="L632" i="47"/>
  <c r="L633" i="47"/>
  <c r="L634" i="47"/>
  <c r="L635" i="47"/>
  <c r="L636" i="47"/>
  <c r="L637" i="47"/>
  <c r="L638" i="47"/>
  <c r="L639" i="47"/>
  <c r="L640" i="47"/>
  <c r="L641" i="47"/>
  <c r="L642" i="47"/>
  <c r="L643" i="47"/>
  <c r="L644" i="47"/>
  <c r="L645" i="47"/>
  <c r="L646" i="47"/>
  <c r="L647" i="47"/>
  <c r="L648" i="47"/>
  <c r="L649" i="47"/>
  <c r="L650" i="47"/>
  <c r="L651" i="47"/>
  <c r="L652" i="47"/>
  <c r="L653" i="47"/>
  <c r="L654" i="47"/>
  <c r="L655" i="47"/>
  <c r="L656" i="47"/>
  <c r="L657" i="47"/>
  <c r="L658" i="47"/>
  <c r="L659" i="47"/>
  <c r="L660" i="47"/>
  <c r="L661" i="47"/>
  <c r="L662" i="47"/>
  <c r="L663" i="47"/>
  <c r="L664" i="47"/>
  <c r="L665" i="47"/>
  <c r="L666" i="47"/>
  <c r="L667" i="47"/>
  <c r="L668" i="47"/>
  <c r="L669" i="47"/>
  <c r="L670" i="47"/>
  <c r="L671" i="47"/>
  <c r="L672" i="47"/>
  <c r="L673" i="47"/>
  <c r="L674" i="47"/>
  <c r="L675" i="47"/>
  <c r="L676" i="47"/>
  <c r="L677" i="47"/>
  <c r="L678" i="47"/>
  <c r="L679" i="47"/>
  <c r="L680" i="47"/>
  <c r="L681" i="47"/>
  <c r="L682" i="47"/>
  <c r="L683" i="47"/>
  <c r="L684" i="47"/>
  <c r="L685" i="47"/>
  <c r="L748" i="47"/>
  <c r="L749" i="47"/>
  <c r="L750" i="47"/>
  <c r="L751" i="47"/>
  <c r="L752" i="47"/>
  <c r="L753" i="47"/>
  <c r="L754" i="47"/>
  <c r="L755" i="47"/>
  <c r="L756" i="47"/>
  <c r="L757" i="47"/>
  <c r="L758" i="47"/>
  <c r="L762" i="47"/>
  <c r="L763" i="47"/>
  <c r="L764" i="47"/>
  <c r="L765" i="47"/>
  <c r="L766" i="47"/>
  <c r="L767" i="47"/>
  <c r="L768" i="47"/>
  <c r="L769" i="47"/>
  <c r="L770" i="47"/>
  <c r="L771" i="47"/>
  <c r="L772" i="47"/>
  <c r="L773" i="47"/>
  <c r="L774" i="47"/>
  <c r="L775" i="47"/>
  <c r="L776" i="47"/>
  <c r="L777" i="47"/>
  <c r="L778" i="47"/>
  <c r="L779" i="47"/>
  <c r="L780" i="47"/>
  <c r="L781" i="47"/>
  <c r="L782" i="47"/>
  <c r="L783" i="47"/>
  <c r="L784" i="47"/>
  <c r="L785" i="47"/>
  <c r="L786" i="47"/>
  <c r="L787" i="47"/>
  <c r="L789" i="47"/>
  <c r="L790" i="47"/>
  <c r="L791" i="47"/>
  <c r="L792" i="47"/>
  <c r="L793" i="47"/>
  <c r="L794" i="47"/>
  <c r="L795" i="47"/>
  <c r="L796" i="47"/>
  <c r="L797" i="47"/>
  <c r="L798" i="47"/>
  <c r="L799" i="47"/>
  <c r="L800" i="47"/>
  <c r="L801" i="47"/>
  <c r="L802" i="47"/>
  <c r="L2" i="47"/>
  <c r="M57" i="46"/>
  <c r="P957" i="47" l="1"/>
  <c r="Y957" i="47" s="1"/>
  <c r="Y955" i="47"/>
  <c r="P956" i="47"/>
  <c r="Y956" i="47" s="1"/>
  <c r="P953" i="47"/>
  <c r="Y953" i="47" s="1"/>
  <c r="P904" i="47"/>
  <c r="Y904" i="47" s="1"/>
  <c r="P952" i="47"/>
  <c r="Y952" i="47" s="1"/>
  <c r="P951" i="47"/>
  <c r="Y951" i="47" s="1"/>
  <c r="P759" i="47"/>
  <c r="Y759" i="47" s="1"/>
  <c r="P761" i="47"/>
  <c r="Y761" i="47" s="1"/>
  <c r="P448" i="47"/>
  <c r="Y448" i="47" s="1"/>
  <c r="P450" i="47"/>
  <c r="Y450" i="47" s="1"/>
  <c r="P451" i="47"/>
  <c r="Y451" i="47" s="1"/>
  <c r="P452" i="47"/>
  <c r="Y452" i="47" s="1"/>
  <c r="P453" i="47"/>
  <c r="Y453" i="47" s="1"/>
  <c r="P457" i="47"/>
  <c r="Y457" i="47" s="1"/>
  <c r="P458" i="47"/>
  <c r="Y458" i="47" s="1"/>
  <c r="P460" i="47"/>
  <c r="Y460" i="47" s="1"/>
  <c r="P461" i="47"/>
  <c r="Y461" i="47" s="1"/>
  <c r="P462" i="47"/>
  <c r="Y462" i="47" s="1"/>
  <c r="P463" i="47"/>
  <c r="Y463" i="47" s="1"/>
  <c r="P465" i="47"/>
  <c r="Y465" i="47" s="1"/>
  <c r="P466" i="47"/>
  <c r="Y466" i="47" s="1"/>
  <c r="P468" i="47"/>
  <c r="Y468" i="47" s="1"/>
  <c r="P469" i="47"/>
  <c r="Y469" i="47" s="1"/>
  <c r="P470" i="47"/>
  <c r="Y470" i="47" s="1"/>
  <c r="P472" i="47"/>
  <c r="Y472" i="47" s="1"/>
  <c r="P473" i="47"/>
  <c r="Y473" i="47" s="1"/>
  <c r="P476" i="47"/>
  <c r="Y476" i="47" s="1"/>
  <c r="P477" i="47"/>
  <c r="Y477" i="47" s="1"/>
  <c r="P478" i="47"/>
  <c r="Y478" i="47" s="1"/>
  <c r="P479" i="47"/>
  <c r="Y479" i="47" s="1"/>
  <c r="P480" i="47"/>
  <c r="Y480" i="47" s="1"/>
  <c r="P482" i="47"/>
  <c r="Y482" i="47" s="1"/>
  <c r="P484" i="47"/>
  <c r="Y484" i="47" s="1"/>
  <c r="P485" i="47"/>
  <c r="Y485" i="47" s="1"/>
  <c r="P486" i="47"/>
  <c r="Y486" i="47" s="1"/>
  <c r="P488" i="47"/>
  <c r="Y488" i="47" s="1"/>
  <c r="P489" i="47"/>
  <c r="Y489" i="47" s="1"/>
  <c r="P490" i="47"/>
  <c r="Y490" i="47" s="1"/>
  <c r="P491" i="47"/>
  <c r="Y491" i="47" s="1"/>
  <c r="P492" i="47"/>
  <c r="Y492" i="47" s="1"/>
  <c r="Y816" i="47"/>
  <c r="Y912" i="47"/>
  <c r="Y911" i="47"/>
  <c r="P922" i="47"/>
  <c r="Y922" i="47" s="1"/>
  <c r="P921" i="47"/>
  <c r="Y921" i="47" s="1"/>
  <c r="Y924" i="47"/>
  <c r="P919" i="47"/>
  <c r="Y919" i="47" s="1"/>
  <c r="Y923" i="47"/>
  <c r="P917" i="47"/>
  <c r="Y917" i="47" s="1"/>
  <c r="Y927" i="47"/>
  <c r="Y910" i="47"/>
  <c r="P918" i="47"/>
  <c r="Y918" i="47" s="1"/>
  <c r="P916" i="47"/>
  <c r="Y916" i="47" s="1"/>
  <c r="Y914" i="47"/>
  <c r="Y948" i="47"/>
  <c r="P932" i="47"/>
  <c r="Y932" i="47" s="1"/>
  <c r="P931" i="47"/>
  <c r="Y931" i="47" s="1"/>
  <c r="Y862" i="47"/>
  <c r="Y814" i="47"/>
  <c r="P880" i="47"/>
  <c r="Y880" i="47" s="1"/>
  <c r="Y841" i="47"/>
  <c r="Y865" i="47"/>
  <c r="Y897" i="47"/>
  <c r="Y819" i="47"/>
  <c r="Y810" i="47"/>
  <c r="Y842" i="47"/>
  <c r="Y809" i="47"/>
  <c r="Y866" i="47"/>
  <c r="Y896" i="47"/>
  <c r="Y886" i="47"/>
  <c r="P876" i="47"/>
  <c r="Y876" i="47" s="1"/>
  <c r="Y840" i="47"/>
  <c r="P832" i="47"/>
  <c r="Y832" i="47" s="1"/>
  <c r="Y839" i="47"/>
  <c r="Y838" i="47"/>
  <c r="P884" i="47"/>
  <c r="Y884" i="47" s="1"/>
  <c r="P883" i="47"/>
  <c r="Y883" i="47" s="1"/>
  <c r="Y812" i="47"/>
  <c r="Y937" i="47"/>
  <c r="P875" i="47"/>
  <c r="Y875" i="47" s="1"/>
  <c r="P831" i="47"/>
  <c r="Y831" i="47" s="1"/>
  <c r="Y837" i="47"/>
  <c r="Y847" i="47"/>
  <c r="Y811" i="47"/>
  <c r="P803" i="47"/>
  <c r="Y803" i="47" s="1"/>
  <c r="P830" i="47"/>
  <c r="Y830" i="47" s="1"/>
  <c r="P829" i="47"/>
  <c r="Y829" i="47" s="1"/>
  <c r="Y885" i="47"/>
  <c r="Y873" i="47"/>
  <c r="Y950" i="47"/>
  <c r="Y940" i="47"/>
  <c r="Y939" i="47"/>
  <c r="Y941" i="47"/>
  <c r="Y942" i="47"/>
  <c r="Y943" i="47"/>
  <c r="Y944" i="47"/>
  <c r="P887" i="47"/>
  <c r="Y887" i="47" s="1"/>
  <c r="P888" i="47"/>
  <c r="Y888" i="47" s="1"/>
  <c r="P889" i="47"/>
  <c r="Y889" i="47" s="1"/>
  <c r="P877" i="47"/>
  <c r="Y877" i="47" s="1"/>
  <c r="P804" i="47"/>
  <c r="Y804" i="47" s="1"/>
  <c r="P874" i="47"/>
  <c r="Y874" i="47" s="1"/>
  <c r="Y867" i="47"/>
  <c r="Y898" i="47"/>
  <c r="Y899" i="47"/>
  <c r="Y902" i="47"/>
  <c r="Y900" i="47"/>
  <c r="Y901" i="47"/>
  <c r="Y903" i="47"/>
  <c r="P872" i="47"/>
  <c r="Y872" i="47" s="1"/>
  <c r="P947" i="47"/>
  <c r="Y947" i="47" s="1"/>
  <c r="P868" i="47"/>
  <c r="Y868" i="47" s="1"/>
  <c r="P946" i="47"/>
  <c r="Y946" i="47" s="1"/>
  <c r="P945" i="47"/>
  <c r="Y945" i="47" s="1"/>
  <c r="P852" i="47"/>
  <c r="Y852" i="47" s="1"/>
  <c r="P907" i="47"/>
  <c r="Y907" i="47" s="1"/>
  <c r="P908" i="47"/>
  <c r="Y908" i="47" s="1"/>
  <c r="P871" i="47"/>
  <c r="Y871" i="47" s="1"/>
  <c r="P859" i="47"/>
  <c r="Y859" i="47" s="1"/>
  <c r="P858" i="47"/>
  <c r="Y858" i="47" s="1"/>
  <c r="P857" i="47"/>
  <c r="Y857" i="47" s="1"/>
  <c r="P856" i="47"/>
  <c r="Y856" i="47" s="1"/>
  <c r="P854" i="47"/>
  <c r="Y854" i="47" s="1"/>
  <c r="P855" i="47"/>
  <c r="Y855" i="47" s="1"/>
  <c r="Y845" i="47"/>
  <c r="P3" i="47"/>
  <c r="Y3" i="47" s="1"/>
  <c r="P4" i="47"/>
  <c r="Y4" i="47" s="1"/>
  <c r="P5" i="47"/>
  <c r="Y5" i="47" s="1"/>
  <c r="P6" i="47"/>
  <c r="Y6" i="47" s="1"/>
  <c r="P7" i="47"/>
  <c r="Y7" i="47" s="1"/>
  <c r="P8" i="47"/>
  <c r="Y8" i="47" s="1"/>
  <c r="P9" i="47"/>
  <c r="Y9" i="47" s="1"/>
  <c r="P10" i="47"/>
  <c r="Y10" i="47" s="1"/>
  <c r="P11" i="47"/>
  <c r="Y11" i="47" s="1"/>
  <c r="P12" i="47"/>
  <c r="Y12" i="47" s="1"/>
  <c r="P13" i="47"/>
  <c r="Y13" i="47" s="1"/>
  <c r="P14" i="47"/>
  <c r="Y14" i="47" s="1"/>
  <c r="P15" i="47"/>
  <c r="Y15" i="47" s="1"/>
  <c r="P16" i="47"/>
  <c r="Y16" i="47" s="1"/>
  <c r="P17" i="47"/>
  <c r="Y17" i="47" s="1"/>
  <c r="P18" i="47"/>
  <c r="Y18" i="47" s="1"/>
  <c r="P19" i="47"/>
  <c r="Y19" i="47" s="1"/>
  <c r="P20" i="47"/>
  <c r="Y20" i="47" s="1"/>
  <c r="P21" i="47"/>
  <c r="Y21" i="47" s="1"/>
  <c r="P22" i="47"/>
  <c r="Y22" i="47" s="1"/>
  <c r="P23" i="47"/>
  <c r="Y23" i="47" s="1"/>
  <c r="P24" i="47"/>
  <c r="Y24" i="47" s="1"/>
  <c r="P25" i="47"/>
  <c r="Y25" i="47" s="1"/>
  <c r="P26" i="47"/>
  <c r="Y26" i="47" s="1"/>
  <c r="P27" i="47"/>
  <c r="Y27" i="47" s="1"/>
  <c r="P28" i="47"/>
  <c r="Y28" i="47" s="1"/>
  <c r="P29" i="47"/>
  <c r="Y29" i="47" s="1"/>
  <c r="P30" i="47"/>
  <c r="Y30" i="47" s="1"/>
  <c r="P31" i="47"/>
  <c r="Y31" i="47" s="1"/>
  <c r="P32" i="47"/>
  <c r="Y32" i="47" s="1"/>
  <c r="P33" i="47"/>
  <c r="Y33" i="47" s="1"/>
  <c r="P34" i="47"/>
  <c r="Y34" i="47" s="1"/>
  <c r="P35" i="47"/>
  <c r="Y35" i="47" s="1"/>
  <c r="P36" i="47"/>
  <c r="Y36" i="47" s="1"/>
  <c r="P37" i="47"/>
  <c r="Y37" i="47" s="1"/>
  <c r="P38" i="47"/>
  <c r="Y38" i="47" s="1"/>
  <c r="P39" i="47"/>
  <c r="Y39" i="47" s="1"/>
  <c r="P40" i="47"/>
  <c r="Y40" i="47" s="1"/>
  <c r="P41" i="47"/>
  <c r="Y41" i="47" s="1"/>
  <c r="P42" i="47"/>
  <c r="Y42" i="47" s="1"/>
  <c r="P43" i="47"/>
  <c r="Y43" i="47" s="1"/>
  <c r="P44" i="47"/>
  <c r="Y44" i="47" s="1"/>
  <c r="P45" i="47"/>
  <c r="Y45" i="47" s="1"/>
  <c r="P46" i="47"/>
  <c r="Y46" i="47" s="1"/>
  <c r="P47" i="47"/>
  <c r="Y47" i="47" s="1"/>
  <c r="P48" i="47"/>
  <c r="Y48" i="47" s="1"/>
  <c r="P49" i="47"/>
  <c r="Y49" i="47" s="1"/>
  <c r="P50" i="47"/>
  <c r="Y50" i="47" s="1"/>
  <c r="P51" i="47"/>
  <c r="Y51" i="47" s="1"/>
  <c r="P52" i="47"/>
  <c r="Y52" i="47" s="1"/>
  <c r="P53" i="47"/>
  <c r="Y53" i="47" s="1"/>
  <c r="P54" i="47"/>
  <c r="Y54" i="47" s="1"/>
  <c r="P55" i="47"/>
  <c r="Y55" i="47" s="1"/>
  <c r="P56" i="47"/>
  <c r="Y56" i="47" s="1"/>
  <c r="P57" i="47"/>
  <c r="Y57" i="47" s="1"/>
  <c r="P58" i="47"/>
  <c r="Y58" i="47" s="1"/>
  <c r="P59" i="47"/>
  <c r="Y59" i="47" s="1"/>
  <c r="P60" i="47"/>
  <c r="Y60" i="47" s="1"/>
  <c r="P61" i="47"/>
  <c r="Y61" i="47" s="1"/>
  <c r="P62" i="47"/>
  <c r="Y62" i="47" s="1"/>
  <c r="P63" i="47"/>
  <c r="Y63" i="47" s="1"/>
  <c r="P64" i="47"/>
  <c r="Y64" i="47" s="1"/>
  <c r="P65" i="47"/>
  <c r="Y65" i="47" s="1"/>
  <c r="P66" i="47"/>
  <c r="Y66" i="47" s="1"/>
  <c r="P67" i="47"/>
  <c r="Y67" i="47" s="1"/>
  <c r="P68" i="47"/>
  <c r="Y68" i="47" s="1"/>
  <c r="P69" i="47"/>
  <c r="Y69" i="47" s="1"/>
  <c r="P70" i="47"/>
  <c r="Y70" i="47" s="1"/>
  <c r="P71" i="47"/>
  <c r="Y71" i="47" s="1"/>
  <c r="P72" i="47"/>
  <c r="Y72" i="47" s="1"/>
  <c r="P73" i="47"/>
  <c r="Y73" i="47" s="1"/>
  <c r="P74" i="47"/>
  <c r="Y74" i="47" s="1"/>
  <c r="P75" i="47"/>
  <c r="Y75" i="47" s="1"/>
  <c r="P76" i="47"/>
  <c r="Y76" i="47" s="1"/>
  <c r="P77" i="47"/>
  <c r="Y77" i="47" s="1"/>
  <c r="P78" i="47"/>
  <c r="Y78" i="47" s="1"/>
  <c r="P79" i="47"/>
  <c r="Y79" i="47" s="1"/>
  <c r="P80" i="47"/>
  <c r="Y80" i="47" s="1"/>
  <c r="P81" i="47"/>
  <c r="Y81" i="47" s="1"/>
  <c r="P82" i="47"/>
  <c r="Y82" i="47" s="1"/>
  <c r="P83" i="47"/>
  <c r="Y83" i="47" s="1"/>
  <c r="P84" i="47"/>
  <c r="Y84" i="47" s="1"/>
  <c r="P85" i="47"/>
  <c r="Y85" i="47" s="1"/>
  <c r="P86" i="47"/>
  <c r="Y86" i="47" s="1"/>
  <c r="P87" i="47"/>
  <c r="Y87" i="47" s="1"/>
  <c r="P88" i="47"/>
  <c r="Y88" i="47" s="1"/>
  <c r="P89" i="47"/>
  <c r="Y89" i="47" s="1"/>
  <c r="P90" i="47"/>
  <c r="Y90" i="47" s="1"/>
  <c r="P91" i="47"/>
  <c r="Y91" i="47" s="1"/>
  <c r="P92" i="47"/>
  <c r="Y92" i="47" s="1"/>
  <c r="P93" i="47"/>
  <c r="Y93" i="47" s="1"/>
  <c r="P94" i="47"/>
  <c r="Y94" i="47" s="1"/>
  <c r="P95" i="47"/>
  <c r="Y95" i="47" s="1"/>
  <c r="P96" i="47"/>
  <c r="Y96" i="47" s="1"/>
  <c r="P97" i="47"/>
  <c r="Y97" i="47" s="1"/>
  <c r="P98" i="47"/>
  <c r="Y98" i="47" s="1"/>
  <c r="P99" i="47"/>
  <c r="Y99" i="47" s="1"/>
  <c r="P100" i="47"/>
  <c r="Y100" i="47" s="1"/>
  <c r="P101" i="47"/>
  <c r="Y101" i="47" s="1"/>
  <c r="P102" i="47"/>
  <c r="Y102" i="47" s="1"/>
  <c r="P103" i="47"/>
  <c r="Y103" i="47" s="1"/>
  <c r="P104" i="47"/>
  <c r="Y104" i="47" s="1"/>
  <c r="P105" i="47"/>
  <c r="Y105" i="47" s="1"/>
  <c r="P106" i="47"/>
  <c r="Y106" i="47" s="1"/>
  <c r="P107" i="47"/>
  <c r="Y107" i="47" s="1"/>
  <c r="P108" i="47"/>
  <c r="Y108" i="47" s="1"/>
  <c r="P109" i="47"/>
  <c r="Y109" i="47" s="1"/>
  <c r="P110" i="47"/>
  <c r="Y110" i="47" s="1"/>
  <c r="P111" i="47"/>
  <c r="Y111" i="47" s="1"/>
  <c r="P112" i="47"/>
  <c r="Y112" i="47" s="1"/>
  <c r="P113" i="47"/>
  <c r="Y113" i="47" s="1"/>
  <c r="P114" i="47"/>
  <c r="Y114" i="47" s="1"/>
  <c r="P115" i="47"/>
  <c r="Y115" i="47" s="1"/>
  <c r="P116" i="47"/>
  <c r="Y116" i="47" s="1"/>
  <c r="P117" i="47"/>
  <c r="Y117" i="47" s="1"/>
  <c r="P118" i="47"/>
  <c r="Y118" i="47" s="1"/>
  <c r="P119" i="47"/>
  <c r="Y119" i="47" s="1"/>
  <c r="P120" i="47"/>
  <c r="Y120" i="47" s="1"/>
  <c r="P121" i="47"/>
  <c r="Y121" i="47" s="1"/>
  <c r="P122" i="47"/>
  <c r="Y122" i="47" s="1"/>
  <c r="P123" i="47"/>
  <c r="Y123" i="47" s="1"/>
  <c r="P124" i="47"/>
  <c r="Y124" i="47" s="1"/>
  <c r="P125" i="47"/>
  <c r="Y125" i="47" s="1"/>
  <c r="P126" i="47"/>
  <c r="Y126" i="47" s="1"/>
  <c r="P127" i="47"/>
  <c r="Y127" i="47" s="1"/>
  <c r="P128" i="47"/>
  <c r="Y128" i="47" s="1"/>
  <c r="P129" i="47"/>
  <c r="Y129" i="47" s="1"/>
  <c r="P130" i="47"/>
  <c r="Y130" i="47" s="1"/>
  <c r="P131" i="47"/>
  <c r="Y131" i="47" s="1"/>
  <c r="P132" i="47"/>
  <c r="Y132" i="47" s="1"/>
  <c r="P133" i="47"/>
  <c r="Y133" i="47" s="1"/>
  <c r="P134" i="47"/>
  <c r="Y134" i="47" s="1"/>
  <c r="P135" i="47"/>
  <c r="Y135" i="47" s="1"/>
  <c r="P136" i="47"/>
  <c r="Y136" i="47" s="1"/>
  <c r="P137" i="47"/>
  <c r="Y137" i="47" s="1"/>
  <c r="P138" i="47"/>
  <c r="Y138" i="47" s="1"/>
  <c r="P139" i="47"/>
  <c r="Y139" i="47" s="1"/>
  <c r="P140" i="47"/>
  <c r="Y140" i="47" s="1"/>
  <c r="P141" i="47"/>
  <c r="Y141" i="47" s="1"/>
  <c r="P142" i="47"/>
  <c r="Y142" i="47" s="1"/>
  <c r="P143" i="47"/>
  <c r="Y143" i="47" s="1"/>
  <c r="P144" i="47"/>
  <c r="Y144" i="47" s="1"/>
  <c r="P145" i="47"/>
  <c r="Y145" i="47" s="1"/>
  <c r="P146" i="47"/>
  <c r="Y146" i="47" s="1"/>
  <c r="P147" i="47"/>
  <c r="Y147" i="47" s="1"/>
  <c r="P148" i="47"/>
  <c r="Y148" i="47" s="1"/>
  <c r="P149" i="47"/>
  <c r="Y149" i="47" s="1"/>
  <c r="P150" i="47"/>
  <c r="Y150" i="47" s="1"/>
  <c r="P151" i="47"/>
  <c r="Y151" i="47" s="1"/>
  <c r="P152" i="47"/>
  <c r="Y152" i="47" s="1"/>
  <c r="P153" i="47"/>
  <c r="Y153" i="47" s="1"/>
  <c r="P154" i="47"/>
  <c r="Y154" i="47" s="1"/>
  <c r="P155" i="47"/>
  <c r="Y155" i="47" s="1"/>
  <c r="P156" i="47"/>
  <c r="Y156" i="47" s="1"/>
  <c r="P157" i="47"/>
  <c r="Y157" i="47" s="1"/>
  <c r="P158" i="47"/>
  <c r="Y158" i="47" s="1"/>
  <c r="P159" i="47"/>
  <c r="Y159" i="47" s="1"/>
  <c r="P160" i="47"/>
  <c r="Y160" i="47" s="1"/>
  <c r="P161" i="47"/>
  <c r="Y161" i="47" s="1"/>
  <c r="P162" i="47"/>
  <c r="Y162" i="47" s="1"/>
  <c r="P163" i="47"/>
  <c r="Y163" i="47" s="1"/>
  <c r="P164" i="47"/>
  <c r="Y164" i="47" s="1"/>
  <c r="P165" i="47"/>
  <c r="Y165" i="47" s="1"/>
  <c r="P166" i="47"/>
  <c r="Y166" i="47" s="1"/>
  <c r="P167" i="47"/>
  <c r="Y167" i="47" s="1"/>
  <c r="P168" i="47"/>
  <c r="Y168" i="47" s="1"/>
  <c r="P169" i="47"/>
  <c r="Y169" i="47" s="1"/>
  <c r="P170" i="47"/>
  <c r="Y170" i="47" s="1"/>
  <c r="P171" i="47"/>
  <c r="Y171" i="47" s="1"/>
  <c r="P172" i="47"/>
  <c r="Y172" i="47" s="1"/>
  <c r="P173" i="47"/>
  <c r="Y173" i="47" s="1"/>
  <c r="P174" i="47"/>
  <c r="Y174" i="47" s="1"/>
  <c r="P175" i="47"/>
  <c r="Y175" i="47" s="1"/>
  <c r="P176" i="47"/>
  <c r="Y176" i="47" s="1"/>
  <c r="P177" i="47"/>
  <c r="Y177" i="47" s="1"/>
  <c r="P178" i="47"/>
  <c r="Y178" i="47" s="1"/>
  <c r="P179" i="47"/>
  <c r="Y179" i="47" s="1"/>
  <c r="P180" i="47"/>
  <c r="Y180" i="47" s="1"/>
  <c r="P181" i="47"/>
  <c r="Y181" i="47" s="1"/>
  <c r="P182" i="47"/>
  <c r="Y182" i="47" s="1"/>
  <c r="P183" i="47"/>
  <c r="Y183" i="47" s="1"/>
  <c r="P184" i="47"/>
  <c r="Y184" i="47" s="1"/>
  <c r="P185" i="47"/>
  <c r="Y185" i="47" s="1"/>
  <c r="P186" i="47"/>
  <c r="Y186" i="47" s="1"/>
  <c r="P187" i="47"/>
  <c r="Y187" i="47" s="1"/>
  <c r="P188" i="47"/>
  <c r="Y188" i="47" s="1"/>
  <c r="P189" i="47"/>
  <c r="Y189" i="47" s="1"/>
  <c r="P190" i="47"/>
  <c r="Y190" i="47" s="1"/>
  <c r="P191" i="47"/>
  <c r="Y191" i="47" s="1"/>
  <c r="P192" i="47"/>
  <c r="Y192" i="47" s="1"/>
  <c r="P193" i="47"/>
  <c r="Y193" i="47" s="1"/>
  <c r="P194" i="47"/>
  <c r="Y194" i="47" s="1"/>
  <c r="P195" i="47"/>
  <c r="Y195" i="47" s="1"/>
  <c r="P196" i="47"/>
  <c r="Y196" i="47" s="1"/>
  <c r="P197" i="47"/>
  <c r="Y197" i="47" s="1"/>
  <c r="P198" i="47"/>
  <c r="Y198" i="47" s="1"/>
  <c r="P199" i="47"/>
  <c r="Y199" i="47" s="1"/>
  <c r="P200" i="47"/>
  <c r="Y200" i="47" s="1"/>
  <c r="P201" i="47"/>
  <c r="Y201" i="47" s="1"/>
  <c r="P202" i="47"/>
  <c r="Y202" i="47" s="1"/>
  <c r="P203" i="47"/>
  <c r="Y203" i="47" s="1"/>
  <c r="P204" i="47"/>
  <c r="Y204" i="47" s="1"/>
  <c r="P205" i="47"/>
  <c r="Y205" i="47" s="1"/>
  <c r="P206" i="47"/>
  <c r="Y206" i="47" s="1"/>
  <c r="P207" i="47"/>
  <c r="Y207" i="47" s="1"/>
  <c r="P208" i="47"/>
  <c r="Y208" i="47" s="1"/>
  <c r="P209" i="47"/>
  <c r="Y209" i="47" s="1"/>
  <c r="P210" i="47"/>
  <c r="Y210" i="47" s="1"/>
  <c r="P211" i="47"/>
  <c r="Y211" i="47" s="1"/>
  <c r="P212" i="47"/>
  <c r="Y212" i="47" s="1"/>
  <c r="P213" i="47"/>
  <c r="Y213" i="47" s="1"/>
  <c r="P214" i="47"/>
  <c r="Y214" i="47" s="1"/>
  <c r="P215" i="47"/>
  <c r="Y215" i="47" s="1"/>
  <c r="P216" i="47"/>
  <c r="Y216" i="47" s="1"/>
  <c r="P217" i="47"/>
  <c r="Y217" i="47" s="1"/>
  <c r="P218" i="47"/>
  <c r="Y218" i="47" s="1"/>
  <c r="P219" i="47"/>
  <c r="Y219" i="47" s="1"/>
  <c r="P220" i="47"/>
  <c r="Y220" i="47" s="1"/>
  <c r="P221" i="47"/>
  <c r="Y221" i="47" s="1"/>
  <c r="P222" i="47"/>
  <c r="Y222" i="47" s="1"/>
  <c r="P223" i="47"/>
  <c r="Y223" i="47" s="1"/>
  <c r="P224" i="47"/>
  <c r="Y224" i="47" s="1"/>
  <c r="P225" i="47"/>
  <c r="Y225" i="47" s="1"/>
  <c r="P226" i="47"/>
  <c r="Y226" i="47" s="1"/>
  <c r="P227" i="47"/>
  <c r="Y227" i="47" s="1"/>
  <c r="P228" i="47"/>
  <c r="Y228" i="47" s="1"/>
  <c r="P229" i="47"/>
  <c r="Y229" i="47" s="1"/>
  <c r="P230" i="47"/>
  <c r="Y230" i="47" s="1"/>
  <c r="P231" i="47"/>
  <c r="Y231" i="47" s="1"/>
  <c r="P232" i="47"/>
  <c r="Y232" i="47" s="1"/>
  <c r="P233" i="47"/>
  <c r="Y233" i="47" s="1"/>
  <c r="P234" i="47"/>
  <c r="Y234" i="47" s="1"/>
  <c r="P235" i="47"/>
  <c r="Y235" i="47" s="1"/>
  <c r="P236" i="47"/>
  <c r="Y236" i="47" s="1"/>
  <c r="P237" i="47"/>
  <c r="Y237" i="47" s="1"/>
  <c r="P238" i="47"/>
  <c r="Y238" i="47" s="1"/>
  <c r="P239" i="47"/>
  <c r="Y239" i="47" s="1"/>
  <c r="P240" i="47"/>
  <c r="Y240" i="47" s="1"/>
  <c r="P241" i="47"/>
  <c r="Y241" i="47" s="1"/>
  <c r="P242" i="47"/>
  <c r="Y242" i="47" s="1"/>
  <c r="P243" i="47"/>
  <c r="Y243" i="47" s="1"/>
  <c r="P244" i="47"/>
  <c r="Y244" i="47" s="1"/>
  <c r="P245" i="47"/>
  <c r="Y245" i="47" s="1"/>
  <c r="P246" i="47"/>
  <c r="Y246" i="47" s="1"/>
  <c r="P247" i="47"/>
  <c r="Y247" i="47" s="1"/>
  <c r="P248" i="47"/>
  <c r="Y248" i="47" s="1"/>
  <c r="P249" i="47"/>
  <c r="Y249" i="47" s="1"/>
  <c r="P250" i="47"/>
  <c r="Y250" i="47" s="1"/>
  <c r="P251" i="47"/>
  <c r="Y251" i="47" s="1"/>
  <c r="P252" i="47"/>
  <c r="Y252" i="47" s="1"/>
  <c r="P253" i="47"/>
  <c r="Y253" i="47" s="1"/>
  <c r="P254" i="47"/>
  <c r="Y254" i="47" s="1"/>
  <c r="P255" i="47"/>
  <c r="Y255" i="47" s="1"/>
  <c r="P256" i="47"/>
  <c r="Y256" i="47" s="1"/>
  <c r="P257" i="47"/>
  <c r="Y257" i="47" s="1"/>
  <c r="P258" i="47"/>
  <c r="Y258" i="47" s="1"/>
  <c r="P259" i="47"/>
  <c r="Y259" i="47" s="1"/>
  <c r="P260" i="47"/>
  <c r="Y260" i="47" s="1"/>
  <c r="P261" i="47"/>
  <c r="Y261" i="47" s="1"/>
  <c r="P262" i="47"/>
  <c r="Y262" i="47" s="1"/>
  <c r="P263" i="47"/>
  <c r="Y263" i="47" s="1"/>
  <c r="P264" i="47"/>
  <c r="Y264" i="47" s="1"/>
  <c r="P265" i="47"/>
  <c r="Y265" i="47" s="1"/>
  <c r="P266" i="47"/>
  <c r="Y266" i="47" s="1"/>
  <c r="P267" i="47"/>
  <c r="Y267" i="47" s="1"/>
  <c r="P268" i="47"/>
  <c r="Y268" i="47" s="1"/>
  <c r="P269" i="47"/>
  <c r="Y269" i="47" s="1"/>
  <c r="P270" i="47"/>
  <c r="Y270" i="47" s="1"/>
  <c r="P271" i="47"/>
  <c r="Y271" i="47" s="1"/>
  <c r="P272" i="47"/>
  <c r="Y272" i="47" s="1"/>
  <c r="P273" i="47"/>
  <c r="Y273" i="47" s="1"/>
  <c r="P274" i="47"/>
  <c r="Y274" i="47" s="1"/>
  <c r="P275" i="47"/>
  <c r="Y275" i="47" s="1"/>
  <c r="P276" i="47"/>
  <c r="Y276" i="47" s="1"/>
  <c r="P277" i="47"/>
  <c r="Y277" i="47" s="1"/>
  <c r="P278" i="47"/>
  <c r="Y278" i="47" s="1"/>
  <c r="P279" i="47"/>
  <c r="Y279" i="47" s="1"/>
  <c r="P280" i="47"/>
  <c r="Y280" i="47" s="1"/>
  <c r="P281" i="47"/>
  <c r="Y281" i="47" s="1"/>
  <c r="P282" i="47"/>
  <c r="Y282" i="47" s="1"/>
  <c r="P283" i="47"/>
  <c r="Y283" i="47" s="1"/>
  <c r="P284" i="47"/>
  <c r="Y284" i="47" s="1"/>
  <c r="P285" i="47"/>
  <c r="Y285" i="47" s="1"/>
  <c r="P286" i="47"/>
  <c r="Y286" i="47" s="1"/>
  <c r="P287" i="47"/>
  <c r="Y287" i="47" s="1"/>
  <c r="P288" i="47"/>
  <c r="Y288" i="47" s="1"/>
  <c r="P289" i="47"/>
  <c r="Y289" i="47" s="1"/>
  <c r="P290" i="47"/>
  <c r="Y290" i="47" s="1"/>
  <c r="P291" i="47"/>
  <c r="Y291" i="47" s="1"/>
  <c r="P292" i="47"/>
  <c r="Y292" i="47" s="1"/>
  <c r="P293" i="47"/>
  <c r="Y293" i="47" s="1"/>
  <c r="P294" i="47"/>
  <c r="Y294" i="47" s="1"/>
  <c r="P295" i="47"/>
  <c r="Y295" i="47" s="1"/>
  <c r="P296" i="47"/>
  <c r="Y296" i="47" s="1"/>
  <c r="P297" i="47"/>
  <c r="Y297" i="47" s="1"/>
  <c r="P298" i="47"/>
  <c r="Y298" i="47" s="1"/>
  <c r="P299" i="47"/>
  <c r="Y299" i="47" s="1"/>
  <c r="P300" i="47"/>
  <c r="Y300" i="47" s="1"/>
  <c r="P301" i="47"/>
  <c r="Y301" i="47" s="1"/>
  <c r="P302" i="47"/>
  <c r="Y302" i="47" s="1"/>
  <c r="P303" i="47"/>
  <c r="Y303" i="47" s="1"/>
  <c r="P304" i="47"/>
  <c r="Y304" i="47" s="1"/>
  <c r="P305" i="47"/>
  <c r="Y305" i="47" s="1"/>
  <c r="P306" i="47"/>
  <c r="Y306" i="47" s="1"/>
  <c r="P307" i="47"/>
  <c r="Y307" i="47" s="1"/>
  <c r="P308" i="47"/>
  <c r="Y308" i="47" s="1"/>
  <c r="P309" i="47"/>
  <c r="Y309" i="47" s="1"/>
  <c r="P310" i="47"/>
  <c r="Y310" i="47" s="1"/>
  <c r="P311" i="47"/>
  <c r="Y311" i="47" s="1"/>
  <c r="P312" i="47"/>
  <c r="Y312" i="47" s="1"/>
  <c r="P313" i="47"/>
  <c r="Y313" i="47" s="1"/>
  <c r="P314" i="47"/>
  <c r="Y314" i="47" s="1"/>
  <c r="P315" i="47"/>
  <c r="Y315" i="47" s="1"/>
  <c r="P316" i="47"/>
  <c r="Y316" i="47" s="1"/>
  <c r="P317" i="47"/>
  <c r="Y317" i="47" s="1"/>
  <c r="P318" i="47"/>
  <c r="Y318" i="47" s="1"/>
  <c r="P319" i="47"/>
  <c r="Y319" i="47" s="1"/>
  <c r="P320" i="47"/>
  <c r="Y320" i="47" s="1"/>
  <c r="P321" i="47"/>
  <c r="Y321" i="47" s="1"/>
  <c r="P322" i="47"/>
  <c r="Y322" i="47" s="1"/>
  <c r="P323" i="47"/>
  <c r="Y323" i="47" s="1"/>
  <c r="P324" i="47"/>
  <c r="Y324" i="47" s="1"/>
  <c r="P325" i="47"/>
  <c r="Y325" i="47" s="1"/>
  <c r="P326" i="47"/>
  <c r="Y326" i="47" s="1"/>
  <c r="P327" i="47"/>
  <c r="Y327" i="47" s="1"/>
  <c r="P328" i="47"/>
  <c r="Y328" i="47" s="1"/>
  <c r="P329" i="47"/>
  <c r="Y329" i="47" s="1"/>
  <c r="P330" i="47"/>
  <c r="Y330" i="47" s="1"/>
  <c r="P331" i="47"/>
  <c r="Y331" i="47" s="1"/>
  <c r="P332" i="47"/>
  <c r="Y332" i="47" s="1"/>
  <c r="P333" i="47"/>
  <c r="Y333" i="47" s="1"/>
  <c r="P334" i="47"/>
  <c r="Y334" i="47" s="1"/>
  <c r="P335" i="47"/>
  <c r="Y335" i="47" s="1"/>
  <c r="P336" i="47"/>
  <c r="Y336" i="47" s="1"/>
  <c r="P337" i="47"/>
  <c r="Y337" i="47" s="1"/>
  <c r="P338" i="47"/>
  <c r="Y338" i="47" s="1"/>
  <c r="P339" i="47"/>
  <c r="Y339" i="47" s="1"/>
  <c r="P340" i="47"/>
  <c r="Y340" i="47" s="1"/>
  <c r="P341" i="47"/>
  <c r="Y341" i="47" s="1"/>
  <c r="P342" i="47"/>
  <c r="Y342" i="47" s="1"/>
  <c r="P343" i="47"/>
  <c r="Y343" i="47" s="1"/>
  <c r="P344" i="47"/>
  <c r="Y344" i="47" s="1"/>
  <c r="P345" i="47"/>
  <c r="Y345" i="47" s="1"/>
  <c r="P346" i="47"/>
  <c r="Y346" i="47" s="1"/>
  <c r="P347" i="47"/>
  <c r="Y347" i="47" s="1"/>
  <c r="P348" i="47"/>
  <c r="Y348" i="47" s="1"/>
  <c r="P349" i="47"/>
  <c r="Y349" i="47" s="1"/>
  <c r="P350" i="47"/>
  <c r="Y350" i="47" s="1"/>
  <c r="P351" i="47"/>
  <c r="Y351" i="47" s="1"/>
  <c r="P352" i="47"/>
  <c r="Y352" i="47" s="1"/>
  <c r="P353" i="47"/>
  <c r="Y353" i="47" s="1"/>
  <c r="P354" i="47"/>
  <c r="Y354" i="47" s="1"/>
  <c r="P355" i="47"/>
  <c r="Y355" i="47" s="1"/>
  <c r="P356" i="47"/>
  <c r="Y356" i="47" s="1"/>
  <c r="P357" i="47"/>
  <c r="Y357" i="47" s="1"/>
  <c r="P358" i="47"/>
  <c r="Y358" i="47" s="1"/>
  <c r="P359" i="47"/>
  <c r="Y359" i="47" s="1"/>
  <c r="P360" i="47"/>
  <c r="Y360" i="47" s="1"/>
  <c r="P361" i="47"/>
  <c r="Y361" i="47" s="1"/>
  <c r="P362" i="47"/>
  <c r="Y362" i="47" s="1"/>
  <c r="P363" i="47"/>
  <c r="Y363" i="47" s="1"/>
  <c r="P364" i="47"/>
  <c r="Y364" i="47" s="1"/>
  <c r="P365" i="47"/>
  <c r="Y365" i="47" s="1"/>
  <c r="P366" i="47"/>
  <c r="Y366" i="47" s="1"/>
  <c r="P367" i="47"/>
  <c r="Y367" i="47" s="1"/>
  <c r="P368" i="47"/>
  <c r="Y368" i="47" s="1"/>
  <c r="P369" i="47"/>
  <c r="Y369" i="47" s="1"/>
  <c r="P370" i="47"/>
  <c r="Y370" i="47" s="1"/>
  <c r="P371" i="47"/>
  <c r="Y371" i="47" s="1"/>
  <c r="P372" i="47"/>
  <c r="Y372" i="47" s="1"/>
  <c r="P373" i="47"/>
  <c r="Y373" i="47" s="1"/>
  <c r="P374" i="47"/>
  <c r="Y374" i="47" s="1"/>
  <c r="P375" i="47"/>
  <c r="Y375" i="47" s="1"/>
  <c r="P376" i="47"/>
  <c r="Y376" i="47" s="1"/>
  <c r="P377" i="47"/>
  <c r="Y377" i="47" s="1"/>
  <c r="P378" i="47"/>
  <c r="Y378" i="47" s="1"/>
  <c r="P379" i="47"/>
  <c r="Y379" i="47" s="1"/>
  <c r="P380" i="47"/>
  <c r="Y380" i="47" s="1"/>
  <c r="P381" i="47"/>
  <c r="Y381" i="47" s="1"/>
  <c r="P382" i="47"/>
  <c r="Y382" i="47" s="1"/>
  <c r="P383" i="47"/>
  <c r="Y383" i="47" s="1"/>
  <c r="P384" i="47"/>
  <c r="Y384" i="47" s="1"/>
  <c r="P385" i="47"/>
  <c r="Y385" i="47" s="1"/>
  <c r="P386" i="47"/>
  <c r="Y386" i="47" s="1"/>
  <c r="P387" i="47"/>
  <c r="Y387" i="47" s="1"/>
  <c r="P388" i="47"/>
  <c r="Y388" i="47" s="1"/>
  <c r="P389" i="47"/>
  <c r="Y389" i="47" s="1"/>
  <c r="P390" i="47"/>
  <c r="Y390" i="47" s="1"/>
  <c r="P391" i="47"/>
  <c r="Y391" i="47" s="1"/>
  <c r="P392" i="47"/>
  <c r="Y392" i="47" s="1"/>
  <c r="P393" i="47"/>
  <c r="Y393" i="47" s="1"/>
  <c r="P394" i="47"/>
  <c r="Y394" i="47" s="1"/>
  <c r="P395" i="47"/>
  <c r="Y395" i="47" s="1"/>
  <c r="P396" i="47"/>
  <c r="Y396" i="47" s="1"/>
  <c r="P397" i="47"/>
  <c r="Y397" i="47" s="1"/>
  <c r="P398" i="47"/>
  <c r="Y398" i="47" s="1"/>
  <c r="P399" i="47"/>
  <c r="Y399" i="47" s="1"/>
  <c r="P400" i="47"/>
  <c r="Y400" i="47" s="1"/>
  <c r="P401" i="47"/>
  <c r="Y401" i="47" s="1"/>
  <c r="P402" i="47"/>
  <c r="Y402" i="47" s="1"/>
  <c r="P403" i="47"/>
  <c r="Y403" i="47" s="1"/>
  <c r="P404" i="47"/>
  <c r="Y404" i="47" s="1"/>
  <c r="P405" i="47"/>
  <c r="Y405" i="47" s="1"/>
  <c r="P406" i="47"/>
  <c r="Y406" i="47" s="1"/>
  <c r="P407" i="47"/>
  <c r="Y407" i="47" s="1"/>
  <c r="P408" i="47"/>
  <c r="Y408" i="47" s="1"/>
  <c r="P409" i="47"/>
  <c r="Y409" i="47" s="1"/>
  <c r="P410" i="47"/>
  <c r="Y410" i="47" s="1"/>
  <c r="P411" i="47"/>
  <c r="Y411" i="47" s="1"/>
  <c r="P412" i="47"/>
  <c r="Y412" i="47" s="1"/>
  <c r="P413" i="47"/>
  <c r="Y413" i="47" s="1"/>
  <c r="P414" i="47"/>
  <c r="Y414" i="47" s="1"/>
  <c r="P415" i="47"/>
  <c r="Y415" i="47" s="1"/>
  <c r="P416" i="47"/>
  <c r="Y416" i="47" s="1"/>
  <c r="P417" i="47"/>
  <c r="Y417" i="47" s="1"/>
  <c r="P418" i="47"/>
  <c r="Y418" i="47" s="1"/>
  <c r="P419" i="47"/>
  <c r="Y419" i="47" s="1"/>
  <c r="P420" i="47"/>
  <c r="Y420" i="47" s="1"/>
  <c r="P421" i="47"/>
  <c r="Y421" i="47" s="1"/>
  <c r="P422" i="47"/>
  <c r="Y422" i="47" s="1"/>
  <c r="P423" i="47"/>
  <c r="Y423" i="47" s="1"/>
  <c r="P424" i="47"/>
  <c r="Y424" i="47" s="1"/>
  <c r="P425" i="47"/>
  <c r="Y425" i="47" s="1"/>
  <c r="P426" i="47"/>
  <c r="Y426" i="47" s="1"/>
  <c r="P427" i="47"/>
  <c r="Y427" i="47" s="1"/>
  <c r="P428" i="47"/>
  <c r="Y428" i="47" s="1"/>
  <c r="P429" i="47"/>
  <c r="Y429" i="47" s="1"/>
  <c r="P430" i="47"/>
  <c r="Y430" i="47" s="1"/>
  <c r="P431" i="47"/>
  <c r="Y431" i="47" s="1"/>
  <c r="P432" i="47"/>
  <c r="Y432" i="47" s="1"/>
  <c r="P433" i="47"/>
  <c r="Y433" i="47" s="1"/>
  <c r="P434" i="47"/>
  <c r="Y434" i="47" s="1"/>
  <c r="P435" i="47"/>
  <c r="Y435" i="47" s="1"/>
  <c r="P436" i="47"/>
  <c r="Y436" i="47" s="1"/>
  <c r="P437" i="47"/>
  <c r="Y437" i="47" s="1"/>
  <c r="P438" i="47"/>
  <c r="Y438" i="47" s="1"/>
  <c r="P439" i="47"/>
  <c r="Y439" i="47" s="1"/>
  <c r="P440" i="47"/>
  <c r="Y440" i="47" s="1"/>
  <c r="P441" i="47"/>
  <c r="Y441" i="47" s="1"/>
  <c r="P442" i="47"/>
  <c r="Y442" i="47" s="1"/>
  <c r="P443" i="47"/>
  <c r="Y443" i="47" s="1"/>
  <c r="P444" i="47"/>
  <c r="Y444" i="47" s="1"/>
  <c r="P445" i="47"/>
  <c r="Y445" i="47" s="1"/>
  <c r="P446" i="47"/>
  <c r="Y446" i="47" s="1"/>
  <c r="P447" i="47"/>
  <c r="Y447" i="47" s="1"/>
  <c r="P493" i="47"/>
  <c r="Y493" i="47" s="1"/>
  <c r="P494" i="47"/>
  <c r="Y494" i="47" s="1"/>
  <c r="P495" i="47"/>
  <c r="Y495" i="47" s="1"/>
  <c r="P496" i="47"/>
  <c r="Y496" i="47" s="1"/>
  <c r="P497" i="47"/>
  <c r="Y497" i="47" s="1"/>
  <c r="P498" i="47"/>
  <c r="Y498" i="47" s="1"/>
  <c r="P499" i="47"/>
  <c r="Y499" i="47" s="1"/>
  <c r="P500" i="47"/>
  <c r="Y500" i="47" s="1"/>
  <c r="P501" i="47"/>
  <c r="Y501" i="47" s="1"/>
  <c r="P502" i="47"/>
  <c r="Y502" i="47" s="1"/>
  <c r="P503" i="47"/>
  <c r="Y503" i="47" s="1"/>
  <c r="P504" i="47"/>
  <c r="Y504" i="47" s="1"/>
  <c r="P505" i="47"/>
  <c r="Y505" i="47" s="1"/>
  <c r="P506" i="47"/>
  <c r="Y506" i="47" s="1"/>
  <c r="P507" i="47"/>
  <c r="Y507" i="47" s="1"/>
  <c r="P508" i="47"/>
  <c r="Y508" i="47" s="1"/>
  <c r="P509" i="47"/>
  <c r="Y509" i="47" s="1"/>
  <c r="P510" i="47"/>
  <c r="Y510" i="47" s="1"/>
  <c r="P511" i="47"/>
  <c r="Y511" i="47" s="1"/>
  <c r="P512" i="47"/>
  <c r="Y512" i="47" s="1"/>
  <c r="P513" i="47"/>
  <c r="Y513" i="47" s="1"/>
  <c r="P514" i="47"/>
  <c r="Y514" i="47" s="1"/>
  <c r="P515" i="47"/>
  <c r="Y515" i="47" s="1"/>
  <c r="P516" i="47"/>
  <c r="Y516" i="47" s="1"/>
  <c r="P517" i="47"/>
  <c r="Y517" i="47" s="1"/>
  <c r="P518" i="47"/>
  <c r="Y518" i="47" s="1"/>
  <c r="P519" i="47"/>
  <c r="Y519" i="47" s="1"/>
  <c r="P520" i="47"/>
  <c r="Y520" i="47" s="1"/>
  <c r="P521" i="47"/>
  <c r="Y521" i="47" s="1"/>
  <c r="P522" i="47"/>
  <c r="Y522" i="47" s="1"/>
  <c r="P523" i="47"/>
  <c r="Y523" i="47" s="1"/>
  <c r="P524" i="47"/>
  <c r="Y524" i="47" s="1"/>
  <c r="P525" i="47"/>
  <c r="Y525" i="47" s="1"/>
  <c r="P526" i="47"/>
  <c r="Y526" i="47" s="1"/>
  <c r="P527" i="47"/>
  <c r="Y527" i="47" s="1"/>
  <c r="P528" i="47"/>
  <c r="Y528" i="47" s="1"/>
  <c r="P529" i="47"/>
  <c r="Y529" i="47" s="1"/>
  <c r="P530" i="47"/>
  <c r="Y530" i="47" s="1"/>
  <c r="P531" i="47"/>
  <c r="Y531" i="47" s="1"/>
  <c r="P532" i="47"/>
  <c r="Y532" i="47" s="1"/>
  <c r="P533" i="47"/>
  <c r="Y533" i="47" s="1"/>
  <c r="P534" i="47"/>
  <c r="Y534" i="47" s="1"/>
  <c r="P535" i="47"/>
  <c r="Y535" i="47" s="1"/>
  <c r="P536" i="47"/>
  <c r="Y536" i="47" s="1"/>
  <c r="P537" i="47"/>
  <c r="Y537" i="47" s="1"/>
  <c r="P538" i="47"/>
  <c r="Y538" i="47" s="1"/>
  <c r="P539" i="47"/>
  <c r="Y539" i="47" s="1"/>
  <c r="P540" i="47"/>
  <c r="Y540" i="47" s="1"/>
  <c r="P541" i="47"/>
  <c r="Y541" i="47" s="1"/>
  <c r="P542" i="47"/>
  <c r="Y542" i="47" s="1"/>
  <c r="P543" i="47"/>
  <c r="Y543" i="47" s="1"/>
  <c r="P544" i="47"/>
  <c r="Y544" i="47" s="1"/>
  <c r="P545" i="47"/>
  <c r="Y545" i="47" s="1"/>
  <c r="P546" i="47"/>
  <c r="Y546" i="47" s="1"/>
  <c r="P547" i="47"/>
  <c r="Y547" i="47" s="1"/>
  <c r="P548" i="47"/>
  <c r="Y548" i="47" s="1"/>
  <c r="P549" i="47"/>
  <c r="Y549" i="47" s="1"/>
  <c r="P550" i="47"/>
  <c r="Y550" i="47" s="1"/>
  <c r="P551" i="47"/>
  <c r="Y551" i="47" s="1"/>
  <c r="P552" i="47"/>
  <c r="Y552" i="47" s="1"/>
  <c r="P553" i="47"/>
  <c r="Y553" i="47" s="1"/>
  <c r="P554" i="47"/>
  <c r="Y554" i="47" s="1"/>
  <c r="P555" i="47"/>
  <c r="Y555" i="47" s="1"/>
  <c r="P556" i="47"/>
  <c r="Y556" i="47" s="1"/>
  <c r="P557" i="47"/>
  <c r="Y557" i="47" s="1"/>
  <c r="P558" i="47"/>
  <c r="Y558" i="47" s="1"/>
  <c r="P559" i="47"/>
  <c r="Y559" i="47" s="1"/>
  <c r="P560" i="47"/>
  <c r="Y560" i="47" s="1"/>
  <c r="P561" i="47"/>
  <c r="Y561" i="47" s="1"/>
  <c r="P562" i="47"/>
  <c r="Y562" i="47" s="1"/>
  <c r="P563" i="47"/>
  <c r="Y563" i="47" s="1"/>
  <c r="P564" i="47"/>
  <c r="Y564" i="47" s="1"/>
  <c r="P565" i="47"/>
  <c r="Y565" i="47" s="1"/>
  <c r="P566" i="47"/>
  <c r="Y566" i="47" s="1"/>
  <c r="P567" i="47"/>
  <c r="Y567" i="47" s="1"/>
  <c r="P568" i="47"/>
  <c r="Y568" i="47" s="1"/>
  <c r="P569" i="47"/>
  <c r="Y569" i="47" s="1"/>
  <c r="P570" i="47"/>
  <c r="Y570" i="47" s="1"/>
  <c r="P571" i="47"/>
  <c r="Y571" i="47" s="1"/>
  <c r="P572" i="47"/>
  <c r="Y572" i="47" s="1"/>
  <c r="P573" i="47"/>
  <c r="Y573" i="47" s="1"/>
  <c r="P574" i="47"/>
  <c r="Y574" i="47" s="1"/>
  <c r="P575" i="47"/>
  <c r="Y575" i="47" s="1"/>
  <c r="P576" i="47"/>
  <c r="Y576" i="47" s="1"/>
  <c r="P577" i="47"/>
  <c r="Y577" i="47" s="1"/>
  <c r="P578" i="47"/>
  <c r="Y578" i="47" s="1"/>
  <c r="P579" i="47"/>
  <c r="Y579" i="47" s="1"/>
  <c r="P580" i="47"/>
  <c r="Y580" i="47" s="1"/>
  <c r="P581" i="47"/>
  <c r="Y581" i="47" s="1"/>
  <c r="P582" i="47"/>
  <c r="Y582" i="47" s="1"/>
  <c r="P583" i="47"/>
  <c r="Y583" i="47" s="1"/>
  <c r="P584" i="47"/>
  <c r="Y584" i="47" s="1"/>
  <c r="P585" i="47"/>
  <c r="Y585" i="47" s="1"/>
  <c r="P586" i="47"/>
  <c r="Y586" i="47" s="1"/>
  <c r="P587" i="47"/>
  <c r="Y587" i="47" s="1"/>
  <c r="P588" i="47"/>
  <c r="Y588" i="47" s="1"/>
  <c r="P589" i="47"/>
  <c r="Y589" i="47" s="1"/>
  <c r="P590" i="47"/>
  <c r="Y590" i="47" s="1"/>
  <c r="P591" i="47"/>
  <c r="Y591" i="47" s="1"/>
  <c r="P592" i="47"/>
  <c r="Y592" i="47" s="1"/>
  <c r="P593" i="47"/>
  <c r="Y593" i="47" s="1"/>
  <c r="P594" i="47"/>
  <c r="Y594" i="47" s="1"/>
  <c r="P595" i="47"/>
  <c r="Y595" i="47" s="1"/>
  <c r="P596" i="47"/>
  <c r="Y596" i="47" s="1"/>
  <c r="P597" i="47"/>
  <c r="Y597" i="47" s="1"/>
  <c r="P598" i="47"/>
  <c r="Y598" i="47" s="1"/>
  <c r="P599" i="47"/>
  <c r="Y599" i="47" s="1"/>
  <c r="P600" i="47"/>
  <c r="Y600" i="47" s="1"/>
  <c r="P601" i="47"/>
  <c r="Y601" i="47" s="1"/>
  <c r="P602" i="47"/>
  <c r="Y602" i="47" s="1"/>
  <c r="P603" i="47"/>
  <c r="Y603" i="47" s="1"/>
  <c r="P604" i="47"/>
  <c r="Y604" i="47" s="1"/>
  <c r="P605" i="47"/>
  <c r="Y605" i="47" s="1"/>
  <c r="P606" i="47"/>
  <c r="Y606" i="47" s="1"/>
  <c r="P607" i="47"/>
  <c r="Y607" i="47" s="1"/>
  <c r="P608" i="47"/>
  <c r="Y608" i="47" s="1"/>
  <c r="P609" i="47"/>
  <c r="Y609" i="47" s="1"/>
  <c r="P610" i="47"/>
  <c r="Y610" i="47" s="1"/>
  <c r="P611" i="47"/>
  <c r="Y611" i="47" s="1"/>
  <c r="P612" i="47"/>
  <c r="Y612" i="47" s="1"/>
  <c r="P613" i="47"/>
  <c r="Y613" i="47" s="1"/>
  <c r="P614" i="47"/>
  <c r="Y614" i="47" s="1"/>
  <c r="P615" i="47"/>
  <c r="Y615" i="47" s="1"/>
  <c r="P616" i="47"/>
  <c r="Y616" i="47" s="1"/>
  <c r="P617" i="47"/>
  <c r="Y617" i="47" s="1"/>
  <c r="P618" i="47"/>
  <c r="Y618" i="47" s="1"/>
  <c r="P619" i="47"/>
  <c r="Y619" i="47" s="1"/>
  <c r="P620" i="47"/>
  <c r="Y620" i="47" s="1"/>
  <c r="P621" i="47"/>
  <c r="Y621" i="47" s="1"/>
  <c r="P622" i="47"/>
  <c r="Y622" i="47" s="1"/>
  <c r="P623" i="47"/>
  <c r="Y623" i="47" s="1"/>
  <c r="P624" i="47"/>
  <c r="Y624" i="47" s="1"/>
  <c r="P625" i="47"/>
  <c r="Y625" i="47" s="1"/>
  <c r="P626" i="47"/>
  <c r="Y626" i="47" s="1"/>
  <c r="P627" i="47"/>
  <c r="Y627" i="47" s="1"/>
  <c r="P628" i="47"/>
  <c r="Y628" i="47" s="1"/>
  <c r="P629" i="47"/>
  <c r="Y629" i="47" s="1"/>
  <c r="P630" i="47"/>
  <c r="Y630" i="47" s="1"/>
  <c r="P631" i="47"/>
  <c r="Y631" i="47" s="1"/>
  <c r="P632" i="47"/>
  <c r="Y632" i="47" s="1"/>
  <c r="P633" i="47"/>
  <c r="Y633" i="47" s="1"/>
  <c r="P634" i="47"/>
  <c r="Y634" i="47" s="1"/>
  <c r="P635" i="47"/>
  <c r="Y635" i="47" s="1"/>
  <c r="P636" i="47"/>
  <c r="Y636" i="47" s="1"/>
  <c r="P637" i="47"/>
  <c r="Y637" i="47" s="1"/>
  <c r="P638" i="47"/>
  <c r="Y638" i="47" s="1"/>
  <c r="P639" i="47"/>
  <c r="Y639" i="47" s="1"/>
  <c r="P640" i="47"/>
  <c r="Y640" i="47" s="1"/>
  <c r="P641" i="47"/>
  <c r="Y641" i="47" s="1"/>
  <c r="P642" i="47"/>
  <c r="Y642" i="47" s="1"/>
  <c r="P643" i="47"/>
  <c r="Y643" i="47" s="1"/>
  <c r="P644" i="47"/>
  <c r="Y644" i="47" s="1"/>
  <c r="P645" i="47"/>
  <c r="Y645" i="47" s="1"/>
  <c r="P646" i="47"/>
  <c r="Y646" i="47" s="1"/>
  <c r="P647" i="47"/>
  <c r="Y647" i="47" s="1"/>
  <c r="P648" i="47"/>
  <c r="Y648" i="47" s="1"/>
  <c r="P649" i="47"/>
  <c r="Y649" i="47" s="1"/>
  <c r="P650" i="47"/>
  <c r="Y650" i="47" s="1"/>
  <c r="P651" i="47"/>
  <c r="Y651" i="47" s="1"/>
  <c r="P652" i="47"/>
  <c r="Y652" i="47" s="1"/>
  <c r="P653" i="47"/>
  <c r="Y653" i="47" s="1"/>
  <c r="P654" i="47"/>
  <c r="Y654" i="47" s="1"/>
  <c r="P655" i="47"/>
  <c r="Y655" i="47" s="1"/>
  <c r="P656" i="47"/>
  <c r="Y656" i="47" s="1"/>
  <c r="P657" i="47"/>
  <c r="Y657" i="47" s="1"/>
  <c r="P658" i="47"/>
  <c r="Y658" i="47" s="1"/>
  <c r="P659" i="47"/>
  <c r="Y659" i="47" s="1"/>
  <c r="P660" i="47"/>
  <c r="Y660" i="47" s="1"/>
  <c r="P661" i="47"/>
  <c r="Y661" i="47" s="1"/>
  <c r="P662" i="47"/>
  <c r="Y662" i="47" s="1"/>
  <c r="P663" i="47"/>
  <c r="Y663" i="47" s="1"/>
  <c r="P664" i="47"/>
  <c r="Y664" i="47" s="1"/>
  <c r="P665" i="47"/>
  <c r="Y665" i="47" s="1"/>
  <c r="P666" i="47"/>
  <c r="Y666" i="47" s="1"/>
  <c r="P667" i="47"/>
  <c r="Y667" i="47" s="1"/>
  <c r="P668" i="47"/>
  <c r="Y668" i="47" s="1"/>
  <c r="P669" i="47"/>
  <c r="Y669" i="47" s="1"/>
  <c r="P670" i="47"/>
  <c r="Y670" i="47" s="1"/>
  <c r="P671" i="47"/>
  <c r="Y671" i="47" s="1"/>
  <c r="P672" i="47"/>
  <c r="Y672" i="47" s="1"/>
  <c r="P673" i="47"/>
  <c r="Y673" i="47" s="1"/>
  <c r="P674" i="47"/>
  <c r="Y674" i="47" s="1"/>
  <c r="P675" i="47"/>
  <c r="Y675" i="47" s="1"/>
  <c r="P676" i="47"/>
  <c r="Y676" i="47" s="1"/>
  <c r="P677" i="47"/>
  <c r="Y677" i="47" s="1"/>
  <c r="P678" i="47"/>
  <c r="Y678" i="47" s="1"/>
  <c r="P679" i="47"/>
  <c r="Y679" i="47" s="1"/>
  <c r="P680" i="47"/>
  <c r="Y680" i="47" s="1"/>
  <c r="P681" i="47"/>
  <c r="Y681" i="47" s="1"/>
  <c r="P682" i="47"/>
  <c r="Y682" i="47" s="1"/>
  <c r="P683" i="47"/>
  <c r="Y683" i="47" s="1"/>
  <c r="P684" i="47"/>
  <c r="Y684" i="47" s="1"/>
  <c r="P685" i="47"/>
  <c r="Y685" i="47" s="1"/>
  <c r="P686" i="47"/>
  <c r="Y686" i="47" s="1"/>
  <c r="P687" i="47"/>
  <c r="Y687" i="47" s="1"/>
  <c r="P688" i="47"/>
  <c r="Y688" i="47" s="1"/>
  <c r="P689" i="47"/>
  <c r="Y689" i="47" s="1"/>
  <c r="P690" i="47"/>
  <c r="Y690" i="47" s="1"/>
  <c r="P691" i="47"/>
  <c r="Y691" i="47" s="1"/>
  <c r="P692" i="47"/>
  <c r="Y692" i="47" s="1"/>
  <c r="P693" i="47"/>
  <c r="Y693" i="47" s="1"/>
  <c r="P694" i="47"/>
  <c r="Y694" i="47" s="1"/>
  <c r="P695" i="47"/>
  <c r="Y695" i="47" s="1"/>
  <c r="P696" i="47"/>
  <c r="Y696" i="47" s="1"/>
  <c r="P697" i="47"/>
  <c r="Y697" i="47" s="1"/>
  <c r="P698" i="47"/>
  <c r="Y698" i="47" s="1"/>
  <c r="P699" i="47"/>
  <c r="Y699" i="47" s="1"/>
  <c r="P700" i="47"/>
  <c r="Y700" i="47" s="1"/>
  <c r="P701" i="47"/>
  <c r="Y701" i="47" s="1"/>
  <c r="P702" i="47"/>
  <c r="Y702" i="47" s="1"/>
  <c r="P703" i="47"/>
  <c r="Y703" i="47" s="1"/>
  <c r="P704" i="47"/>
  <c r="Y704" i="47" s="1"/>
  <c r="P705" i="47"/>
  <c r="Y705" i="47" s="1"/>
  <c r="P706" i="47"/>
  <c r="Y706" i="47" s="1"/>
  <c r="P707" i="47"/>
  <c r="Y707" i="47" s="1"/>
  <c r="P708" i="47"/>
  <c r="Y708" i="47" s="1"/>
  <c r="P709" i="47"/>
  <c r="Y709" i="47" s="1"/>
  <c r="P710" i="47"/>
  <c r="Y710" i="47" s="1"/>
  <c r="P711" i="47"/>
  <c r="Y711" i="47" s="1"/>
  <c r="P712" i="47"/>
  <c r="Y712" i="47" s="1"/>
  <c r="P713" i="47"/>
  <c r="Y713" i="47" s="1"/>
  <c r="P714" i="47"/>
  <c r="Y714" i="47" s="1"/>
  <c r="P715" i="47"/>
  <c r="Y715" i="47" s="1"/>
  <c r="P716" i="47"/>
  <c r="Y716" i="47" s="1"/>
  <c r="P717" i="47"/>
  <c r="Y717" i="47" s="1"/>
  <c r="P718" i="47"/>
  <c r="Y718" i="47" s="1"/>
  <c r="P719" i="47"/>
  <c r="Y719" i="47" s="1"/>
  <c r="P720" i="47"/>
  <c r="Y720" i="47" s="1"/>
  <c r="P721" i="47"/>
  <c r="Y721" i="47" s="1"/>
  <c r="P722" i="47"/>
  <c r="Y722" i="47" s="1"/>
  <c r="P723" i="47"/>
  <c r="Y723" i="47" s="1"/>
  <c r="P724" i="47"/>
  <c r="Y724" i="47" s="1"/>
  <c r="P725" i="47"/>
  <c r="Y725" i="47" s="1"/>
  <c r="P726" i="47"/>
  <c r="Y726" i="47" s="1"/>
  <c r="P727" i="47"/>
  <c r="Y727" i="47" s="1"/>
  <c r="P728" i="47"/>
  <c r="Y728" i="47" s="1"/>
  <c r="P729" i="47"/>
  <c r="Y729" i="47" s="1"/>
  <c r="P730" i="47"/>
  <c r="Y730" i="47" s="1"/>
  <c r="P731" i="47"/>
  <c r="Y731" i="47" s="1"/>
  <c r="P732" i="47"/>
  <c r="Y732" i="47" s="1"/>
  <c r="P733" i="47"/>
  <c r="Y733" i="47" s="1"/>
  <c r="P734" i="47"/>
  <c r="Y734" i="47" s="1"/>
  <c r="P735" i="47"/>
  <c r="Y735" i="47" s="1"/>
  <c r="P736" i="47"/>
  <c r="Y736" i="47" s="1"/>
  <c r="P737" i="47"/>
  <c r="Y737" i="47" s="1"/>
  <c r="P738" i="47"/>
  <c r="Y738" i="47" s="1"/>
  <c r="P739" i="47"/>
  <c r="Y739" i="47" s="1"/>
  <c r="P740" i="47"/>
  <c r="Y740" i="47" s="1"/>
  <c r="P741" i="47"/>
  <c r="Y741" i="47" s="1"/>
  <c r="P742" i="47"/>
  <c r="Y742" i="47" s="1"/>
  <c r="P743" i="47"/>
  <c r="Y743" i="47" s="1"/>
  <c r="P744" i="47"/>
  <c r="Y744" i="47" s="1"/>
  <c r="P745" i="47"/>
  <c r="Y745" i="47" s="1"/>
  <c r="P746" i="47"/>
  <c r="Y746" i="47" s="1"/>
  <c r="P747" i="47"/>
  <c r="Y747" i="47" s="1"/>
  <c r="P748" i="47"/>
  <c r="Y748" i="47" s="1"/>
  <c r="P749" i="47"/>
  <c r="Y749" i="47" s="1"/>
  <c r="P750" i="47"/>
  <c r="Y750" i="47" s="1"/>
  <c r="P751" i="47"/>
  <c r="Y751" i="47" s="1"/>
  <c r="P752" i="47"/>
  <c r="Y752" i="47" s="1"/>
  <c r="P753" i="47"/>
  <c r="Y753" i="47" s="1"/>
  <c r="P754" i="47"/>
  <c r="Y754" i="47" s="1"/>
  <c r="P755" i="47"/>
  <c r="Y755" i="47" s="1"/>
  <c r="P756" i="47"/>
  <c r="Y756" i="47" s="1"/>
  <c r="P757" i="47"/>
  <c r="Y757" i="47" s="1"/>
  <c r="P758" i="47"/>
  <c r="Y758" i="47" s="1"/>
  <c r="P762" i="47"/>
  <c r="Y762" i="47" s="1"/>
  <c r="P763" i="47"/>
  <c r="Y763" i="47" s="1"/>
  <c r="P764" i="47"/>
  <c r="Y764" i="47" s="1"/>
  <c r="P765" i="47"/>
  <c r="Y765" i="47" s="1"/>
  <c r="P766" i="47"/>
  <c r="Y766" i="47" s="1"/>
  <c r="P767" i="47"/>
  <c r="Y767" i="47" s="1"/>
  <c r="P768" i="47"/>
  <c r="Y768" i="47" s="1"/>
  <c r="P769" i="47"/>
  <c r="Y769" i="47" s="1"/>
  <c r="P770" i="47"/>
  <c r="Y770" i="47" s="1"/>
  <c r="P771" i="47"/>
  <c r="Y771" i="47" s="1"/>
  <c r="P772" i="47"/>
  <c r="Y772" i="47" s="1"/>
  <c r="P773" i="47"/>
  <c r="Y773" i="47" s="1"/>
  <c r="P774" i="47"/>
  <c r="Y774" i="47" s="1"/>
  <c r="P775" i="47"/>
  <c r="Y775" i="47" s="1"/>
  <c r="P776" i="47"/>
  <c r="Y776" i="47" s="1"/>
  <c r="P777" i="47"/>
  <c r="Y777" i="47" s="1"/>
  <c r="P778" i="47"/>
  <c r="Y778" i="47" s="1"/>
  <c r="P779" i="47"/>
  <c r="Y779" i="47" s="1"/>
  <c r="P780" i="47"/>
  <c r="Y780" i="47" s="1"/>
  <c r="P781" i="47"/>
  <c r="Y781" i="47" s="1"/>
  <c r="P782" i="47"/>
  <c r="Y782" i="47" s="1"/>
  <c r="P783" i="47"/>
  <c r="Y783" i="47" s="1"/>
  <c r="P784" i="47"/>
  <c r="Y784" i="47" s="1"/>
  <c r="P785" i="47"/>
  <c r="Y785" i="47" s="1"/>
  <c r="P786" i="47"/>
  <c r="Y786" i="47" s="1"/>
  <c r="P787" i="47"/>
  <c r="Y787" i="47" s="1"/>
  <c r="Y788" i="47"/>
  <c r="P789" i="47"/>
  <c r="Y789" i="47" s="1"/>
  <c r="P790" i="47"/>
  <c r="Y790" i="47" s="1"/>
  <c r="P791" i="47"/>
  <c r="Y791" i="47" s="1"/>
  <c r="P792" i="47"/>
  <c r="Y792" i="47" s="1"/>
  <c r="P793" i="47"/>
  <c r="Y793" i="47" s="1"/>
  <c r="P794" i="47"/>
  <c r="Y794" i="47" s="1"/>
  <c r="P795" i="47"/>
  <c r="Y795" i="47" s="1"/>
  <c r="P796" i="47"/>
  <c r="Y796" i="47" s="1"/>
  <c r="P797" i="47"/>
  <c r="Y797" i="47" s="1"/>
  <c r="P798" i="47"/>
  <c r="Y798" i="47" s="1"/>
  <c r="P799" i="47"/>
  <c r="Y799" i="47" s="1"/>
  <c r="P800" i="47"/>
  <c r="Y800" i="47" s="1"/>
  <c r="P801" i="47"/>
  <c r="Y801" i="47" s="1"/>
  <c r="P802" i="47"/>
  <c r="Y802" i="47" s="1"/>
  <c r="P2" i="47"/>
  <c r="Y2" i="47" s="1"/>
  <c r="M61" i="46"/>
  <c r="M62" i="46"/>
  <c r="M63" i="46"/>
  <c r="M60" i="46"/>
  <c r="M64" i="46"/>
  <c r="M59" i="46"/>
  <c r="M28" i="46"/>
  <c r="M23" i="46" l="1"/>
  <c r="M24" i="46"/>
  <c r="M25" i="46"/>
  <c r="M26" i="46"/>
  <c r="M27" i="46"/>
  <c r="M31" i="46"/>
  <c r="M32" i="46"/>
  <c r="M33" i="46"/>
  <c r="M34" i="46"/>
  <c r="M35" i="46"/>
  <c r="M39" i="45" s="1"/>
  <c r="M36" i="46"/>
  <c r="M37" i="46"/>
  <c r="M38" i="46"/>
  <c r="M39" i="46"/>
  <c r="M40" i="46"/>
  <c r="M41" i="46"/>
  <c r="M42" i="46"/>
  <c r="M43" i="46"/>
  <c r="M44" i="46"/>
  <c r="M45" i="46"/>
  <c r="M46" i="46"/>
  <c r="M47" i="46"/>
  <c r="M48" i="46"/>
  <c r="M49" i="46"/>
  <c r="M50" i="46"/>
  <c r="M51" i="46"/>
  <c r="M52" i="46"/>
  <c r="M54" i="46"/>
  <c r="M55" i="46"/>
  <c r="M56" i="46"/>
  <c r="M58" i="46"/>
  <c r="M65" i="46"/>
  <c r="M22" i="46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40" i="45"/>
  <c r="M41" i="45"/>
  <c r="M42" i="45"/>
  <c r="M43" i="45"/>
  <c r="M44" i="45"/>
  <c r="M45" i="45"/>
  <c r="M46" i="45"/>
  <c r="M47" i="45"/>
  <c r="M48" i="45"/>
  <c r="M49" i="45"/>
  <c r="M50" i="45"/>
  <c r="M51" i="45"/>
  <c r="M52" i="45"/>
  <c r="M53" i="45"/>
  <c r="M54" i="45"/>
  <c r="M55" i="45"/>
  <c r="M56" i="45"/>
  <c r="M57" i="45"/>
  <c r="M58" i="45"/>
  <c r="M59" i="45"/>
  <c r="M60" i="45"/>
  <c r="M61" i="45"/>
  <c r="M62" i="45"/>
  <c r="M63" i="45"/>
  <c r="M64" i="45"/>
  <c r="M65" i="45"/>
  <c r="M66" i="45"/>
  <c r="M67" i="45"/>
  <c r="M68" i="45"/>
  <c r="M69" i="45"/>
  <c r="M70" i="45"/>
  <c r="M71" i="45"/>
  <c r="M72" i="45"/>
  <c r="M73" i="45"/>
  <c r="M74" i="45"/>
  <c r="M75" i="45"/>
  <c r="M76" i="45"/>
  <c r="M77" i="45"/>
  <c r="M78" i="45"/>
  <c r="M79" i="45"/>
  <c r="M80" i="45"/>
  <c r="M81" i="45"/>
  <c r="M82" i="45"/>
  <c r="M83" i="45"/>
  <c r="M84" i="45"/>
  <c r="M85" i="45"/>
  <c r="M86" i="45"/>
  <c r="M87" i="45"/>
  <c r="M88" i="45"/>
  <c r="M89" i="45"/>
  <c r="H53" i="46"/>
  <c r="M53" i="46" s="1"/>
  <c r="E17" i="35" l="1"/>
  <c r="H51" i="35"/>
  <c r="E16" i="35"/>
  <c r="D99" i="46" l="1"/>
  <c r="H99" i="46"/>
  <c r="I99" i="46"/>
  <c r="D100" i="46"/>
  <c r="H101" i="46"/>
  <c r="L101" i="46"/>
  <c r="M91" i="46"/>
  <c r="M92" i="46"/>
  <c r="M93" i="46"/>
  <c r="M94" i="46"/>
  <c r="M95" i="46"/>
  <c r="M96" i="46"/>
  <c r="M97" i="46"/>
  <c r="E16" i="46"/>
  <c r="C18" i="46"/>
  <c r="D18" i="46"/>
  <c r="H18" i="46"/>
  <c r="J18" i="46"/>
  <c r="L18" i="46"/>
  <c r="F6" i="46"/>
  <c r="F7" i="46"/>
  <c r="F8" i="46"/>
  <c r="F9" i="46"/>
  <c r="C101" i="46" l="1"/>
  <c r="F10" i="46"/>
  <c r="F18" i="46" s="1"/>
  <c r="D19" i="46" s="1"/>
  <c r="L21" i="44" l="1"/>
  <c r="L25" i="40" l="1"/>
  <c r="M21" i="44" l="1"/>
  <c r="L93" i="45"/>
  <c r="H93" i="45"/>
  <c r="D92" i="45"/>
  <c r="I91" i="45"/>
  <c r="H91" i="45"/>
  <c r="D91" i="45"/>
  <c r="L18" i="45"/>
  <c r="J18" i="45"/>
  <c r="H18" i="45"/>
  <c r="D18" i="45"/>
  <c r="C18" i="45"/>
  <c r="E16" i="45"/>
  <c r="F6" i="45"/>
  <c r="L24" i="40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38" i="44"/>
  <c r="M39" i="44"/>
  <c r="M40" i="44"/>
  <c r="M41" i="44"/>
  <c r="M42" i="44"/>
  <c r="M43" i="44"/>
  <c r="M44" i="44"/>
  <c r="M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22" i="44"/>
  <c r="C93" i="45" l="1"/>
  <c r="F10" i="45"/>
  <c r="H82" i="44"/>
  <c r="E16" i="44" l="1"/>
  <c r="H80" i="41"/>
  <c r="H111" i="40"/>
  <c r="D82" i="44" l="1"/>
  <c r="D83" i="44"/>
  <c r="H84" i="44"/>
  <c r="L84" i="44"/>
  <c r="I82" i="44"/>
  <c r="M80" i="44"/>
  <c r="C18" i="44"/>
  <c r="D18" i="44"/>
  <c r="H18" i="44"/>
  <c r="J18" i="44"/>
  <c r="L18" i="44"/>
  <c r="H4" i="43"/>
  <c r="H3" i="43"/>
  <c r="H2" i="43"/>
  <c r="C84" i="44" l="1"/>
  <c r="F10" i="44"/>
  <c r="H39" i="43"/>
  <c r="H71" i="40" l="1"/>
  <c r="H72" i="40" s="1"/>
  <c r="H73" i="40" s="1"/>
  <c r="H70" i="40"/>
  <c r="K38" i="42"/>
  <c r="L61" i="38"/>
  <c r="L79" i="38"/>
  <c r="L76" i="38"/>
  <c r="M59" i="41"/>
  <c r="M71" i="40" l="1"/>
  <c r="M48" i="41"/>
  <c r="M49" i="41"/>
  <c r="M50" i="41"/>
  <c r="M51" i="41"/>
  <c r="M52" i="41"/>
  <c r="M53" i="41"/>
  <c r="M54" i="41"/>
  <c r="M55" i="41"/>
  <c r="M60" i="41"/>
  <c r="M61" i="41"/>
  <c r="M62" i="41"/>
  <c r="M63" i="41"/>
  <c r="M64" i="41"/>
  <c r="M65" i="41"/>
  <c r="M66" i="41"/>
  <c r="M67" i="41"/>
  <c r="M68" i="41"/>
  <c r="M69" i="41"/>
  <c r="M70" i="41"/>
  <c r="M71" i="41"/>
  <c r="M72" i="41"/>
  <c r="M73" i="41"/>
  <c r="M74" i="41"/>
  <c r="M75" i="41"/>
  <c r="M33" i="41"/>
  <c r="M34" i="41"/>
  <c r="M35" i="41"/>
  <c r="M21" i="41"/>
  <c r="M22" i="41"/>
  <c r="M23" i="41"/>
  <c r="M24" i="41"/>
  <c r="M25" i="41"/>
  <c r="M26" i="41"/>
  <c r="M27" i="41"/>
  <c r="M28" i="41"/>
  <c r="M29" i="41"/>
  <c r="F25" i="42"/>
  <c r="F12" i="42"/>
  <c r="F14" i="42" s="1"/>
  <c r="M103" i="40"/>
  <c r="H57" i="41" l="1"/>
  <c r="M57" i="41" s="1"/>
  <c r="H58" i="41"/>
  <c r="M58" i="41" s="1"/>
  <c r="H56" i="41"/>
  <c r="M56" i="41" s="1"/>
  <c r="M81" i="40" l="1"/>
  <c r="M80" i="40"/>
  <c r="M47" i="41"/>
  <c r="G31" i="37" l="1"/>
  <c r="G30" i="37"/>
  <c r="E35" i="37"/>
  <c r="E43" i="37"/>
  <c r="G29" i="37"/>
  <c r="H45" i="41"/>
  <c r="M45" i="41" s="1"/>
  <c r="H46" i="41"/>
  <c r="M46" i="41" s="1"/>
  <c r="H44" i="41"/>
  <c r="M44" i="41" s="1"/>
  <c r="I43" i="41"/>
  <c r="I39" i="41"/>
  <c r="M39" i="41" s="1"/>
  <c r="M42" i="41"/>
  <c r="M41" i="41"/>
  <c r="M40" i="41"/>
  <c r="M38" i="41"/>
  <c r="M37" i="41"/>
  <c r="M36" i="41"/>
  <c r="M30" i="41"/>
  <c r="M31" i="41"/>
  <c r="M32" i="41"/>
  <c r="E51" i="37" l="1"/>
  <c r="M43" i="41"/>
  <c r="M61" i="38"/>
  <c r="D79" i="41" l="1"/>
  <c r="D78" i="41"/>
  <c r="M76" i="41"/>
  <c r="L80" i="41" s="1"/>
  <c r="I78" i="41"/>
  <c r="H78" i="41"/>
  <c r="L18" i="41"/>
  <c r="J18" i="41"/>
  <c r="H18" i="41"/>
  <c r="F18" i="41"/>
  <c r="D19" i="41" s="1"/>
  <c r="E18" i="41"/>
  <c r="D18" i="41"/>
  <c r="C18" i="41"/>
  <c r="F9" i="45" l="1"/>
  <c r="F9" i="44"/>
  <c r="C80" i="41"/>
  <c r="M35" i="40"/>
  <c r="H27" i="40"/>
  <c r="M27" i="40" s="1"/>
  <c r="H102" i="40" l="1"/>
  <c r="M102" i="40" s="1"/>
  <c r="H101" i="40"/>
  <c r="M101" i="40" s="1"/>
  <c r="H100" i="40"/>
  <c r="M100" i="40" s="1"/>
  <c r="H99" i="40"/>
  <c r="M99" i="40" s="1"/>
  <c r="H98" i="40"/>
  <c r="M98" i="40" s="1"/>
  <c r="H97" i="40"/>
  <c r="M97" i="40" s="1"/>
  <c r="M95" i="40"/>
  <c r="M94" i="40"/>
  <c r="M104" i="40"/>
  <c r="M105" i="40"/>
  <c r="M106" i="40"/>
  <c r="M96" i="40"/>
  <c r="H109" i="40" l="1"/>
  <c r="M26" i="40"/>
  <c r="M85" i="40"/>
  <c r="M86" i="40"/>
  <c r="M84" i="40"/>
  <c r="M21" i="40"/>
  <c r="M22" i="40"/>
  <c r="M23" i="40"/>
  <c r="M24" i="40"/>
  <c r="M25" i="40"/>
  <c r="M28" i="40"/>
  <c r="M29" i="40"/>
  <c r="M30" i="40"/>
  <c r="M31" i="40"/>
  <c r="M32" i="40"/>
  <c r="M33" i="40"/>
  <c r="M34" i="40"/>
  <c r="M36" i="40"/>
  <c r="M37" i="40"/>
  <c r="M38" i="40"/>
  <c r="M39" i="40"/>
  <c r="M40" i="40"/>
  <c r="M41" i="40"/>
  <c r="M42" i="40"/>
  <c r="M43" i="40"/>
  <c r="M44" i="40"/>
  <c r="M45" i="40"/>
  <c r="M46" i="40"/>
  <c r="M47" i="40"/>
  <c r="M48" i="40"/>
  <c r="M49" i="40"/>
  <c r="M50" i="40"/>
  <c r="M51" i="40"/>
  <c r="M52" i="40"/>
  <c r="M53" i="40"/>
  <c r="M54" i="40"/>
  <c r="M55" i="40"/>
  <c r="M56" i="40"/>
  <c r="M57" i="40"/>
  <c r="M58" i="40"/>
  <c r="M59" i="40"/>
  <c r="M60" i="40"/>
  <c r="M61" i="40"/>
  <c r="M62" i="40"/>
  <c r="M63" i="40"/>
  <c r="M64" i="40"/>
  <c r="M65" i="40"/>
  <c r="M66" i="40"/>
  <c r="M67" i="40"/>
  <c r="M68" i="40"/>
  <c r="M69" i="40"/>
  <c r="M70" i="40"/>
  <c r="M72" i="40"/>
  <c r="M73" i="40"/>
  <c r="M75" i="40"/>
  <c r="M76" i="40"/>
  <c r="M77" i="40"/>
  <c r="M78" i="40"/>
  <c r="M79" i="40"/>
  <c r="M82" i="40"/>
  <c r="M83" i="40"/>
  <c r="M87" i="40"/>
  <c r="M88" i="40"/>
  <c r="M89" i="40"/>
  <c r="M90" i="40"/>
  <c r="M91" i="40"/>
  <c r="M92" i="40"/>
  <c r="M93" i="40"/>
  <c r="M107" i="40"/>
  <c r="M46" i="38"/>
  <c r="I74" i="40" l="1"/>
  <c r="I109" i="40" l="1"/>
  <c r="M74" i="40"/>
  <c r="L111" i="40" s="1"/>
  <c r="F8" i="44" l="1"/>
  <c r="F8" i="45"/>
  <c r="M65" i="38"/>
  <c r="M64" i="38"/>
  <c r="D109" i="40"/>
  <c r="L18" i="40"/>
  <c r="J18" i="40"/>
  <c r="H18" i="40"/>
  <c r="F18" i="40"/>
  <c r="D19" i="40" s="1"/>
  <c r="E18" i="40"/>
  <c r="D18" i="40"/>
  <c r="C18" i="40"/>
  <c r="D110" i="40" l="1"/>
  <c r="C111" i="40" s="1"/>
  <c r="I50" i="35" l="1"/>
  <c r="I49" i="35"/>
  <c r="I48" i="35"/>
  <c r="I60" i="38"/>
  <c r="M60" i="38"/>
  <c r="I59" i="38"/>
  <c r="M57" i="38"/>
  <c r="M56" i="38"/>
  <c r="M53" i="38"/>
  <c r="M54" i="38"/>
  <c r="M55" i="38"/>
  <c r="M51" i="38"/>
  <c r="M52" i="38"/>
  <c r="M50" i="38"/>
  <c r="M48" i="38"/>
  <c r="M49" i="38"/>
  <c r="M47" i="38"/>
  <c r="M34" i="38" l="1"/>
  <c r="M35" i="38"/>
  <c r="M36" i="38"/>
  <c r="M37" i="38"/>
  <c r="M38" i="38"/>
  <c r="M39" i="38"/>
  <c r="M40" i="38"/>
  <c r="M41" i="38"/>
  <c r="M42" i="38"/>
  <c r="M58" i="38"/>
  <c r="M59" i="38"/>
  <c r="M43" i="38"/>
  <c r="M45" i="38"/>
  <c r="M32" i="38" l="1"/>
  <c r="M33" i="38"/>
  <c r="M25" i="36"/>
  <c r="M21" i="38"/>
  <c r="M22" i="38"/>
  <c r="M23" i="38"/>
  <c r="M24" i="38"/>
  <c r="M25" i="38"/>
  <c r="M26" i="38"/>
  <c r="M27" i="38"/>
  <c r="M28" i="38"/>
  <c r="M29" i="38"/>
  <c r="M30" i="38"/>
  <c r="M31" i="38"/>
  <c r="M62" i="38"/>
  <c r="M63" i="38"/>
  <c r="M66" i="38"/>
  <c r="M21" i="36"/>
  <c r="M22" i="36"/>
  <c r="M23" i="36"/>
  <c r="M24" i="36"/>
  <c r="M29" i="36"/>
  <c r="M30" i="36"/>
  <c r="M31" i="36"/>
  <c r="M33" i="36"/>
  <c r="M34" i="36"/>
  <c r="M35" i="36"/>
  <c r="M36" i="36"/>
  <c r="M37" i="36"/>
  <c r="M38" i="36"/>
  <c r="M39" i="36"/>
  <c r="M40" i="36"/>
  <c r="M41" i="36"/>
  <c r="M42" i="36"/>
  <c r="M43" i="36"/>
  <c r="M44" i="36"/>
  <c r="M45" i="36"/>
  <c r="M46" i="36"/>
  <c r="M47" i="36"/>
  <c r="M48" i="36"/>
  <c r="M49" i="36"/>
  <c r="M50" i="36"/>
  <c r="M51" i="36"/>
  <c r="M52" i="36"/>
  <c r="M24" i="35"/>
  <c r="M25" i="35"/>
  <c r="M26" i="35"/>
  <c r="M27" i="35"/>
  <c r="M28" i="35"/>
  <c r="M29" i="35"/>
  <c r="M31" i="35"/>
  <c r="M32" i="35"/>
  <c r="M33" i="35"/>
  <c r="M40" i="35"/>
  <c r="M41" i="35"/>
  <c r="M42" i="35"/>
  <c r="M43" i="35"/>
  <c r="M44" i="35"/>
  <c r="M45" i="35"/>
  <c r="M67" i="38" l="1"/>
  <c r="L70" i="38" s="1"/>
  <c r="I67" i="38"/>
  <c r="D69" i="38" s="1"/>
  <c r="C18" i="38"/>
  <c r="D18" i="38"/>
  <c r="E18" i="38"/>
  <c r="F18" i="38"/>
  <c r="D19" i="38" s="1"/>
  <c r="H18" i="38"/>
  <c r="J18" i="38"/>
  <c r="L18" i="38"/>
  <c r="L67" i="38"/>
  <c r="H70" i="38" s="1"/>
  <c r="H67" i="38"/>
  <c r="F7" i="45" s="1"/>
  <c r="F18" i="45" s="1"/>
  <c r="D19" i="45" s="1"/>
  <c r="J47" i="35"/>
  <c r="J46" i="35"/>
  <c r="I46" i="35"/>
  <c r="D68" i="38" l="1"/>
  <c r="C70" i="38" s="1"/>
  <c r="F7" i="44"/>
  <c r="I27" i="36" l="1"/>
  <c r="M27" i="36" s="1"/>
  <c r="H26" i="36" l="1"/>
  <c r="M26" i="36" s="1"/>
  <c r="I32" i="36"/>
  <c r="M32" i="36" s="1"/>
  <c r="I28" i="36"/>
  <c r="M28" i="36" s="1"/>
  <c r="I77" i="34" l="1"/>
  <c r="H22" i="35"/>
  <c r="M22" i="35" s="1"/>
  <c r="H44" i="30" l="1"/>
  <c r="I53" i="36"/>
  <c r="D55" i="36" s="1"/>
  <c r="L53" i="36"/>
  <c r="H56" i="36" s="1"/>
  <c r="L18" i="36"/>
  <c r="J18" i="36"/>
  <c r="H18" i="36"/>
  <c r="F18" i="36"/>
  <c r="D19" i="36" s="1"/>
  <c r="E18" i="36"/>
  <c r="D18" i="36"/>
  <c r="C18" i="36"/>
  <c r="I39" i="35"/>
  <c r="M39" i="35" s="1"/>
  <c r="I38" i="35"/>
  <c r="M38" i="35" s="1"/>
  <c r="I37" i="35"/>
  <c r="M37" i="35" s="1"/>
  <c r="I35" i="35"/>
  <c r="M35" i="35" s="1"/>
  <c r="I36" i="35"/>
  <c r="M36" i="35" s="1"/>
  <c r="I34" i="35"/>
  <c r="M34" i="35" s="1"/>
  <c r="H21" i="35"/>
  <c r="M21" i="35" s="1"/>
  <c r="M53" i="36" l="1"/>
  <c r="L56" i="36" s="1"/>
  <c r="H53" i="36"/>
  <c r="I30" i="35"/>
  <c r="M30" i="35" s="1"/>
  <c r="L61" i="32"/>
  <c r="L60" i="32"/>
  <c r="L59" i="32"/>
  <c r="H23" i="35"/>
  <c r="M23" i="35" s="1"/>
  <c r="H73" i="34"/>
  <c r="M73" i="34"/>
  <c r="L29" i="32"/>
  <c r="L20" i="32"/>
  <c r="L21" i="32"/>
  <c r="L22" i="32"/>
  <c r="L23" i="32"/>
  <c r="L24" i="32"/>
  <c r="L25" i="32"/>
  <c r="L26" i="32"/>
  <c r="L27" i="32"/>
  <c r="L28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51" i="32"/>
  <c r="L52" i="32"/>
  <c r="L53" i="32"/>
  <c r="L54" i="32"/>
  <c r="L55" i="32"/>
  <c r="L56" i="32"/>
  <c r="L57" i="32"/>
  <c r="L58" i="32"/>
  <c r="L62" i="32"/>
  <c r="L63" i="32"/>
  <c r="L64" i="32"/>
  <c r="M22" i="34"/>
  <c r="M23" i="34"/>
  <c r="M24" i="34"/>
  <c r="M25" i="34"/>
  <c r="M26" i="34"/>
  <c r="M27" i="34"/>
  <c r="M28" i="34"/>
  <c r="M29" i="34"/>
  <c r="M30" i="34"/>
  <c r="M31" i="34"/>
  <c r="M32" i="34"/>
  <c r="M34" i="34"/>
  <c r="M35" i="34"/>
  <c r="M37" i="34"/>
  <c r="M38" i="34"/>
  <c r="M39" i="34"/>
  <c r="M40" i="34"/>
  <c r="M41" i="34"/>
  <c r="M42" i="34"/>
  <c r="M43" i="34"/>
  <c r="M44" i="34"/>
  <c r="M45" i="34"/>
  <c r="M46" i="34"/>
  <c r="M47" i="34"/>
  <c r="M48" i="34"/>
  <c r="M49" i="34"/>
  <c r="M50" i="34"/>
  <c r="M51" i="34"/>
  <c r="M52" i="34"/>
  <c r="M53" i="34"/>
  <c r="M54" i="34"/>
  <c r="M55" i="34"/>
  <c r="M56" i="34"/>
  <c r="M57" i="34"/>
  <c r="M58" i="34"/>
  <c r="M59" i="34"/>
  <c r="M60" i="34"/>
  <c r="M61" i="34"/>
  <c r="M62" i="34"/>
  <c r="M63" i="34"/>
  <c r="M64" i="34"/>
  <c r="M65" i="34"/>
  <c r="M66" i="34"/>
  <c r="M67" i="34"/>
  <c r="M68" i="34"/>
  <c r="M69" i="34"/>
  <c r="M70" i="34"/>
  <c r="M71" i="34"/>
  <c r="M72" i="34"/>
  <c r="M74" i="34"/>
  <c r="M75" i="34"/>
  <c r="M76" i="34"/>
  <c r="M21" i="34"/>
  <c r="L51" i="35"/>
  <c r="H54" i="35" s="1"/>
  <c r="L18" i="35"/>
  <c r="J18" i="35"/>
  <c r="H18" i="35"/>
  <c r="F18" i="35"/>
  <c r="E18" i="35"/>
  <c r="D18" i="35"/>
  <c r="C18" i="35"/>
  <c r="D54" i="36" l="1"/>
  <c r="C56" i="36" s="1"/>
  <c r="F6" i="44"/>
  <c r="F18" i="44" s="1"/>
  <c r="D19" i="44" s="1"/>
  <c r="I51" i="35"/>
  <c r="D53" i="35" s="1"/>
  <c r="D19" i="35"/>
  <c r="M51" i="35"/>
  <c r="L54" i="35" s="1"/>
  <c r="H36" i="34"/>
  <c r="M36" i="34" s="1"/>
  <c r="H33" i="34"/>
  <c r="M33" i="34" s="1"/>
  <c r="L77" i="34"/>
  <c r="H80" i="34" s="1"/>
  <c r="D79" i="34"/>
  <c r="L18" i="34"/>
  <c r="J18" i="34"/>
  <c r="H18" i="34"/>
  <c r="F18" i="34"/>
  <c r="E18" i="34"/>
  <c r="D18" i="34"/>
  <c r="C18" i="34"/>
  <c r="J38" i="17"/>
  <c r="J37" i="17"/>
  <c r="J36" i="17"/>
  <c r="J35" i="17"/>
  <c r="J34" i="17"/>
  <c r="J33" i="17"/>
  <c r="E17" i="46" l="1"/>
  <c r="E18" i="46" s="1"/>
  <c r="E17" i="45"/>
  <c r="E18" i="45" s="1"/>
  <c r="D52" i="35"/>
  <c r="C54" i="35" s="1"/>
  <c r="E17" i="44"/>
  <c r="E18" i="44" s="1"/>
  <c r="M77" i="34"/>
  <c r="L80" i="34" s="1"/>
  <c r="H77" i="34"/>
  <c r="D78" i="34" s="1"/>
  <c r="C80" i="34" s="1"/>
  <c r="D19" i="34"/>
  <c r="H66" i="32"/>
  <c r="G65" i="32"/>
  <c r="J17" i="32"/>
  <c r="H17" i="32"/>
  <c r="F17" i="32"/>
  <c r="D17" i="32"/>
  <c r="H45" i="31"/>
  <c r="G44" i="31"/>
  <c r="J17" i="31"/>
  <c r="H17" i="31"/>
  <c r="F17" i="31"/>
  <c r="D17" i="31"/>
  <c r="G43" i="30"/>
  <c r="J17" i="30"/>
  <c r="H17" i="30"/>
  <c r="F17" i="30"/>
  <c r="D17" i="30"/>
  <c r="E38" i="29"/>
  <c r="F20" i="29"/>
  <c r="F32" i="29"/>
  <c r="E20" i="29"/>
  <c r="F50" i="28"/>
  <c r="F61" i="28"/>
  <c r="E68" i="28"/>
  <c r="E50" i="28"/>
  <c r="F29" i="27"/>
  <c r="F39" i="27" s="1"/>
  <c r="J28" i="27"/>
  <c r="E47" i="27"/>
  <c r="E29" i="27"/>
  <c r="J26" i="26"/>
  <c r="F27" i="26"/>
  <c r="F36" i="26"/>
  <c r="E45" i="26"/>
  <c r="E27" i="26"/>
  <c r="J46" i="21"/>
  <c r="E47" i="21"/>
  <c r="F47" i="21"/>
  <c r="F55" i="21"/>
  <c r="E65" i="21"/>
  <c r="E45" i="19"/>
  <c r="F27" i="19"/>
  <c r="D29" i="19"/>
  <c r="F34" i="19"/>
  <c r="E27" i="19"/>
  <c r="D49" i="21"/>
  <c r="J72" i="17"/>
  <c r="F73" i="17"/>
  <c r="L2" i="17" s="1"/>
  <c r="E73" i="17"/>
  <c r="D75" i="17"/>
  <c r="F79" i="17" s="1"/>
  <c r="E91" i="17"/>
  <c r="F53" i="21" l="1"/>
  <c r="F33" i="26"/>
  <c r="F35" i="27"/>
  <c r="F33" i="19"/>
  <c r="F56" i="28"/>
  <c r="F26" i="29"/>
  <c r="D46" i="31"/>
  <c r="L13" i="31" s="1"/>
  <c r="L17" i="31" s="1"/>
  <c r="D45" i="30"/>
  <c r="L12" i="30" s="1"/>
  <c r="L17" i="30" s="1"/>
  <c r="D67" i="32"/>
  <c r="L14" i="32" s="1"/>
  <c r="L17" i="32" s="1"/>
  <c r="M29" i="46" l="1"/>
  <c r="M3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tc={FAEE0087-8312-413B-B19F-D2A5A4988F01}</author>
  </authors>
  <commentList>
    <comment ref="M26" authorId="0" shapeId="0" xr:uid="{FAEE0087-8312-413B-B19F-D2A5A4988F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Credito a favor do cliente
</t>
      </text>
    </comment>
  </commentList>
</comments>
</file>

<file path=xl/sharedStrings.xml><?xml version="1.0" encoding="utf-8"?>
<sst xmlns="http://schemas.openxmlformats.org/spreadsheetml/2006/main" count="7801" uniqueCount="436">
  <si>
    <t>Nota Fiscal</t>
  </si>
  <si>
    <t>Emissão</t>
  </si>
  <si>
    <t>Destinatário</t>
  </si>
  <si>
    <t>Descrição</t>
  </si>
  <si>
    <t>Valor Venda</t>
  </si>
  <si>
    <t>Mão de Obra</t>
  </si>
  <si>
    <t>Vencimento</t>
  </si>
  <si>
    <t>Data pagto</t>
  </si>
  <si>
    <t>OBS</t>
  </si>
  <si>
    <t xml:space="preserve">Em aberto Valor </t>
  </si>
  <si>
    <t>Total Faturado Mão de Obra</t>
  </si>
  <si>
    <t>Total Faturado Venda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</si>
  <si>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</si>
  <si>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</si>
  <si>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</si>
  <si>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</si>
  <si>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</si>
  <si>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</si>
  <si>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</si>
  <si>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</si>
  <si>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</si>
  <si>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</si>
  <si>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</si>
  <si>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</si>
  <si>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</si>
  <si>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</si>
  <si>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Soares</t>
  </si>
  <si>
    <t>Componarte</t>
  </si>
  <si>
    <t>Frete 2021</t>
  </si>
  <si>
    <t>Frete     2022</t>
  </si>
  <si>
    <t>Frete  2023</t>
  </si>
  <si>
    <t>Frete 2024</t>
  </si>
  <si>
    <t>10.01.25</t>
  </si>
  <si>
    <t>08.01.25</t>
  </si>
  <si>
    <t>Frete 2025</t>
  </si>
  <si>
    <t xml:space="preserve">Croco metal </t>
  </si>
  <si>
    <t>05.02.25</t>
  </si>
  <si>
    <t>Croco</t>
  </si>
  <si>
    <t>06.02.25</t>
  </si>
  <si>
    <t>13.02.25</t>
  </si>
  <si>
    <t>20.02.25</t>
  </si>
  <si>
    <t>14.01.25</t>
  </si>
  <si>
    <t>11.02.25</t>
  </si>
  <si>
    <t>18.02.25</t>
  </si>
  <si>
    <t>25.02.25</t>
  </si>
  <si>
    <t>17.01.25</t>
  </si>
  <si>
    <t>14.02.25</t>
  </si>
  <si>
    <t xml:space="preserve">Crocodile </t>
  </si>
  <si>
    <t xml:space="preserve">Rafia glow </t>
  </si>
  <si>
    <t>21.02.25</t>
  </si>
  <si>
    <t>28.02.25</t>
  </si>
  <si>
    <t>20.01.25</t>
  </si>
  <si>
    <t>17.02.25</t>
  </si>
  <si>
    <t>24.02.25</t>
  </si>
  <si>
    <t>03.03.25</t>
  </si>
  <si>
    <t>21.01.25</t>
  </si>
  <si>
    <t>04.03.25</t>
  </si>
  <si>
    <t>22.01.25</t>
  </si>
  <si>
    <t>Rafia</t>
  </si>
  <si>
    <t>19.02.25</t>
  </si>
  <si>
    <t>26.02.25</t>
  </si>
  <si>
    <t>05.03.25</t>
  </si>
  <si>
    <t>23.01.25</t>
  </si>
  <si>
    <t>27.02.25</t>
  </si>
  <si>
    <t>06.03.25</t>
  </si>
  <si>
    <t>Lezard Metalic</t>
  </si>
  <si>
    <t xml:space="preserve">DL </t>
  </si>
  <si>
    <t>24.01.25</t>
  </si>
  <si>
    <t>DL</t>
  </si>
  <si>
    <t>01.03.25</t>
  </si>
  <si>
    <t>08.03.25</t>
  </si>
  <si>
    <t>20.03.25</t>
  </si>
  <si>
    <t>22.03.25</t>
  </si>
  <si>
    <t>29.03.29</t>
  </si>
  <si>
    <t xml:space="preserve">Materiais diversos </t>
  </si>
  <si>
    <t xml:space="preserve">Croco Metal </t>
  </si>
  <si>
    <t>07.03.25</t>
  </si>
  <si>
    <t>27.01.25</t>
  </si>
  <si>
    <t>10.03.25</t>
  </si>
  <si>
    <t xml:space="preserve">Croco verniz </t>
  </si>
  <si>
    <t>29.01.25</t>
  </si>
  <si>
    <t>Reptil verniz</t>
  </si>
  <si>
    <t>12.03.25</t>
  </si>
  <si>
    <t>30.01.25</t>
  </si>
  <si>
    <t>13.03.25</t>
  </si>
  <si>
    <t>31.01.25</t>
  </si>
  <si>
    <t>14.03.25</t>
  </si>
  <si>
    <t>03.02.25</t>
  </si>
  <si>
    <t>15.01.25</t>
  </si>
  <si>
    <t xml:space="preserve">Componarte </t>
  </si>
  <si>
    <t>Diamantina</t>
  </si>
  <si>
    <t>12.02.25</t>
  </si>
  <si>
    <t>Rafia Glow</t>
  </si>
  <si>
    <t>19.03.25</t>
  </si>
  <si>
    <t>07.02.25</t>
  </si>
  <si>
    <t>Croco Metal</t>
  </si>
  <si>
    <t xml:space="preserve">Rafia </t>
  </si>
  <si>
    <t>11.03.24</t>
  </si>
  <si>
    <t>18.03.25</t>
  </si>
  <si>
    <t>25.03.25</t>
  </si>
  <si>
    <t>Crocodile</t>
  </si>
  <si>
    <t>18.02.24</t>
  </si>
  <si>
    <t>21.03.25</t>
  </si>
  <si>
    <t>28.03.25</t>
  </si>
  <si>
    <t>Rafia Glow/ Napa</t>
  </si>
  <si>
    <t>Rafia Napa New</t>
  </si>
  <si>
    <t>04.04.25</t>
  </si>
  <si>
    <t>11.04.25</t>
  </si>
  <si>
    <t xml:space="preserve">Rafia Napa </t>
  </si>
  <si>
    <t>01.04.25</t>
  </si>
  <si>
    <t>08.04.25</t>
  </si>
  <si>
    <t>15.04.25</t>
  </si>
  <si>
    <t>Baby Croco</t>
  </si>
  <si>
    <t>18.04.25</t>
  </si>
  <si>
    <t xml:space="preserve">Rafia Napa Natural </t>
  </si>
  <si>
    <t>10.04.25</t>
  </si>
  <si>
    <t>17.04.25</t>
  </si>
  <si>
    <t>24.04.25</t>
  </si>
  <si>
    <t>Sores</t>
  </si>
  <si>
    <t>Croco Branco</t>
  </si>
  <si>
    <t>Rafia Napa</t>
  </si>
  <si>
    <t>16.04.25</t>
  </si>
  <si>
    <t>23.04.25</t>
  </si>
  <si>
    <t>30.04.25</t>
  </si>
  <si>
    <t xml:space="preserve">Croco </t>
  </si>
  <si>
    <t>01.05.25</t>
  </si>
  <si>
    <t>24.03.25</t>
  </si>
  <si>
    <t>Iguana Preto</t>
  </si>
  <si>
    <t>21.04.25</t>
  </si>
  <si>
    <t>28.04.25</t>
  </si>
  <si>
    <t xml:space="preserve">Iguana Rocha </t>
  </si>
  <si>
    <t>22.04.25</t>
  </si>
  <si>
    <t>26.03.25</t>
  </si>
  <si>
    <t>Croco/Rafia</t>
  </si>
  <si>
    <t>07.05.25</t>
  </si>
  <si>
    <t>Reptil</t>
  </si>
  <si>
    <t>27.03.25</t>
  </si>
  <si>
    <t>Rafia/Croco</t>
  </si>
  <si>
    <t>08.05.25</t>
  </si>
  <si>
    <t>25.04.25</t>
  </si>
  <si>
    <t>06.05.25</t>
  </si>
  <si>
    <t>13.05.25</t>
  </si>
  <si>
    <t>20.05.25</t>
  </si>
  <si>
    <t>Croco metal/Rafia</t>
  </si>
  <si>
    <t>Rafia Napa/Glow</t>
  </si>
  <si>
    <t>09.05.25</t>
  </si>
  <si>
    <t>16.05.25</t>
  </si>
  <si>
    <t>23.05.25</t>
  </si>
  <si>
    <t>14.04.25</t>
  </si>
  <si>
    <t>12.05.25</t>
  </si>
  <si>
    <t>27.05.25</t>
  </si>
  <si>
    <t>03.06.25</t>
  </si>
  <si>
    <t>29.04.25</t>
  </si>
  <si>
    <t>10.06.25</t>
  </si>
  <si>
    <t>05.05.2025</t>
  </si>
  <si>
    <t>02.06.2025</t>
  </si>
  <si>
    <t>09.06.2025</t>
  </si>
  <si>
    <t>16.06.2025</t>
  </si>
  <si>
    <t>05.05.25</t>
  </si>
  <si>
    <t>03.06.2025</t>
  </si>
  <si>
    <t>10.06.2025</t>
  </si>
  <si>
    <t>17.06.2025</t>
  </si>
  <si>
    <t>04.06.2025</t>
  </si>
  <si>
    <t>11.06.2025</t>
  </si>
  <si>
    <t>18.06.2025</t>
  </si>
  <si>
    <t>26.05.25</t>
  </si>
  <si>
    <t>30.06.2025</t>
  </si>
  <si>
    <t>23.06.2025</t>
  </si>
  <si>
    <t>07.07.2025</t>
  </si>
  <si>
    <t>30.05.25</t>
  </si>
  <si>
    <t>27.06.25</t>
  </si>
  <si>
    <t>04.07.25</t>
  </si>
  <si>
    <t>14.07.2025</t>
  </si>
  <si>
    <t>01.07.2025</t>
  </si>
  <si>
    <t>08.07.2025</t>
  </si>
  <si>
    <t>15.07.2025</t>
  </si>
  <si>
    <t>02.07.2025</t>
  </si>
  <si>
    <t>09.07.2025</t>
  </si>
  <si>
    <t>16.07.2025</t>
  </si>
  <si>
    <t>05.06.2025</t>
  </si>
  <si>
    <t>03.07.2025</t>
  </si>
  <si>
    <t>10.07.2025</t>
  </si>
  <si>
    <t>17.07.2025</t>
  </si>
  <si>
    <t>22.07.2025</t>
  </si>
  <si>
    <t xml:space="preserve">Soares </t>
  </si>
  <si>
    <t>23.07.2025</t>
  </si>
  <si>
    <t>30.07.2025</t>
  </si>
  <si>
    <t>20.06.2025</t>
  </si>
  <si>
    <t>18.07.2025</t>
  </si>
  <si>
    <t>25.07.2025</t>
  </si>
  <si>
    <t>01.08.2025</t>
  </si>
  <si>
    <t>25.06.2025</t>
  </si>
  <si>
    <t>23.07.025</t>
  </si>
  <si>
    <t>06.08.2025</t>
  </si>
  <si>
    <t>26.06.2025</t>
  </si>
  <si>
    <t>24.07.2025</t>
  </si>
  <si>
    <t>31.07.2025</t>
  </si>
  <si>
    <t>07.08.2025</t>
  </si>
  <si>
    <t>27.06.2025</t>
  </si>
  <si>
    <t>14.08.2025</t>
  </si>
  <si>
    <t>04.08.2025</t>
  </si>
  <si>
    <t>11.08.2025</t>
  </si>
  <si>
    <t>18.08.2025</t>
  </si>
  <si>
    <t>11.07.2025</t>
  </si>
  <si>
    <t>08.08.2025</t>
  </si>
  <si>
    <t>21.08.2025</t>
  </si>
  <si>
    <t>28.08.2025</t>
  </si>
  <si>
    <t>04.09.2025</t>
  </si>
  <si>
    <t>11.09.2025</t>
  </si>
  <si>
    <t>MÊS</t>
  </si>
  <si>
    <t>FEVEREIRO</t>
  </si>
  <si>
    <t>SETEMBRO</t>
  </si>
  <si>
    <t>NOVEMBRO</t>
  </si>
  <si>
    <t>DEZEMBRO</t>
  </si>
  <si>
    <t>TOTAL</t>
  </si>
  <si>
    <t>JANEIRO</t>
  </si>
  <si>
    <t>MARÇO</t>
  </si>
  <si>
    <t>ABRIL</t>
  </si>
  <si>
    <t>MAIO</t>
  </si>
  <si>
    <t>JUNHO</t>
  </si>
  <si>
    <t>JULHO</t>
  </si>
  <si>
    <t>AGOSTO</t>
  </si>
  <si>
    <t>OUTUBRO</t>
  </si>
  <si>
    <t>NOTA FISCAL</t>
  </si>
  <si>
    <t>DATA DE EMISSÃO</t>
  </si>
  <si>
    <t>DESTINATÁRIO</t>
  </si>
  <si>
    <t>VENDA</t>
  </si>
  <si>
    <t>MÃO DE OBRA</t>
  </si>
  <si>
    <t>VENCIMENTO</t>
  </si>
  <si>
    <t>DATA DE PAGAMENTO</t>
  </si>
  <si>
    <t>VALOR EM ABERTO</t>
  </si>
  <si>
    <t>OBS:</t>
  </si>
  <si>
    <t>PEDIDO</t>
  </si>
  <si>
    <t>.</t>
  </si>
  <si>
    <t>TOTAL MÃO DE OBRA</t>
  </si>
  <si>
    <t>TOTAL VENDA</t>
  </si>
  <si>
    <t>SOARES</t>
  </si>
  <si>
    <t>LC COMPONENTES</t>
  </si>
  <si>
    <t>GRIFFE SHOES</t>
  </si>
  <si>
    <t xml:space="preserve">  FRETES</t>
  </si>
  <si>
    <t>1966/2000</t>
  </si>
  <si>
    <t>NH TEX</t>
  </si>
  <si>
    <t>MAT. SEGUNDA</t>
  </si>
  <si>
    <t>19705/06</t>
  </si>
  <si>
    <t xml:space="preserve"> </t>
  </si>
  <si>
    <t>Venda Neomir</t>
  </si>
  <si>
    <t>23.09.2025</t>
  </si>
  <si>
    <t>24.06.2025</t>
  </si>
  <si>
    <t>SMART</t>
  </si>
  <si>
    <t>STK</t>
  </si>
  <si>
    <t>TOTAL CONSOLIDADO 2025:</t>
  </si>
  <si>
    <t>EMPRESA</t>
  </si>
  <si>
    <t>VALOR PAGO</t>
  </si>
  <si>
    <t>MARIOTA</t>
  </si>
  <si>
    <t>GLAUCIA</t>
  </si>
  <si>
    <t>LEANDRENSE</t>
  </si>
  <si>
    <t>Total</t>
  </si>
  <si>
    <t>TOTAL VENDA:</t>
  </si>
  <si>
    <t>TOTAL MÃO DE OBRA:</t>
  </si>
  <si>
    <t xml:space="preserve">TOTAL: </t>
  </si>
  <si>
    <t>TOTAL RECEBIDO:</t>
  </si>
  <si>
    <t>TOTAL À RECEBER:</t>
  </si>
  <si>
    <t>RM</t>
  </si>
  <si>
    <t>VR</t>
  </si>
  <si>
    <t>MARIOTTA</t>
  </si>
  <si>
    <t>NS DEVIDES</t>
  </si>
  <si>
    <t>Vânia</t>
  </si>
  <si>
    <t>Marcelo</t>
  </si>
  <si>
    <t>REPRESENTANTE</t>
  </si>
  <si>
    <t>REPREENTANTE</t>
  </si>
  <si>
    <t>MARCELO</t>
  </si>
  <si>
    <t>SILVANO</t>
  </si>
  <si>
    <t>MARCIANO</t>
  </si>
  <si>
    <t>CLEMILSON</t>
  </si>
  <si>
    <t>TOTAL CONSOLIDADO 2026:</t>
  </si>
  <si>
    <t>DIRETO</t>
  </si>
  <si>
    <t>RM CALÇADOS</t>
  </si>
  <si>
    <t>Dt.ent.item</t>
  </si>
  <si>
    <t>Dt.faturam</t>
  </si>
  <si>
    <t>Pedido</t>
  </si>
  <si>
    <t>Produto</t>
  </si>
  <si>
    <t>Desc.completa</t>
  </si>
  <si>
    <t>Grupo</t>
  </si>
  <si>
    <t>Nro.nota</t>
  </si>
  <si>
    <t>Nat.oper</t>
  </si>
  <si>
    <t>Qtd.item/Ft</t>
  </si>
  <si>
    <t>Qtd.solic.item</t>
  </si>
  <si>
    <t>Valor Fat+Valor IPI+Valor Frete</t>
  </si>
  <si>
    <t>Vlr.unit.líq</t>
  </si>
  <si>
    <t>Descr.Pos.item</t>
  </si>
  <si>
    <t>Cliente</t>
  </si>
  <si>
    <t>Razão social</t>
  </si>
  <si>
    <t>Abreviação</t>
  </si>
  <si>
    <t>Cidade</t>
  </si>
  <si>
    <t>UF</t>
  </si>
  <si>
    <t>Sig.emp</t>
  </si>
  <si>
    <t>NAPA METAL LYON PU 0,9MM - OURO LIGHT</t>
  </si>
  <si>
    <t>STK LINE</t>
  </si>
  <si>
    <t>Faturado</t>
  </si>
  <si>
    <t>F &amp; F IND.COM CALCADOS LTDA</t>
  </si>
  <si>
    <t>BIRIGUI</t>
  </si>
  <si>
    <t>SP</t>
  </si>
  <si>
    <t>SM3</t>
  </si>
  <si>
    <t>TITULO 1 - R$</t>
  </si>
  <si>
    <t>Vecto</t>
  </si>
  <si>
    <t>TITULO 2 - R$</t>
  </si>
  <si>
    <t>TITULO 3 - R$</t>
  </si>
  <si>
    <t>TITULO 4 - R$</t>
  </si>
  <si>
    <t>TITULO 5 - R$</t>
  </si>
  <si>
    <t>TITULO 6 - R$</t>
  </si>
  <si>
    <t>NOSSA SRA DE FAT</t>
  </si>
  <si>
    <t>s/pedido</t>
  </si>
  <si>
    <t>VIASCARPA</t>
  </si>
  <si>
    <t>ATENÇÃO: COMISSÃO 1%</t>
  </si>
  <si>
    <t>02/002/26</t>
  </si>
  <si>
    <t>NHTEX</t>
  </si>
  <si>
    <t xml:space="preserve">DIRETO </t>
  </si>
  <si>
    <t>VIA BELLA</t>
  </si>
  <si>
    <t>ACERTO</t>
  </si>
  <si>
    <t>-</t>
  </si>
  <si>
    <t>Benef em cima de Napa Like Aveia que veio errado via Importação. Transformado em Napa Metal Lyon O. Light</t>
  </si>
  <si>
    <t>Coluna1</t>
  </si>
  <si>
    <t>Sem pedido</t>
  </si>
  <si>
    <t>Benef em cima de Napa Like Aveia que veio errado via Importação. Transformado em Napa Like Mocca</t>
  </si>
  <si>
    <t>Benef em cima de Napa Like Aveia que veio errado via Importação. Transformado em Napa Like Capuccino</t>
  </si>
  <si>
    <t>REI COLAS</t>
  </si>
  <si>
    <t>FERNANDO</t>
  </si>
  <si>
    <t>YPORA</t>
  </si>
  <si>
    <t xml:space="preserve">STK </t>
  </si>
  <si>
    <t xml:space="preserve">SANTOS </t>
  </si>
  <si>
    <t>ITAIPE</t>
  </si>
  <si>
    <t xml:space="preserve">FELIPE NANUQUE </t>
  </si>
  <si>
    <t xml:space="preserve">HENRIQUE </t>
  </si>
  <si>
    <t>MATOS IND</t>
  </si>
  <si>
    <t>S/ COMISSÃO</t>
  </si>
  <si>
    <t>Acerto</t>
  </si>
  <si>
    <t>Rosa D'alva</t>
  </si>
  <si>
    <t>A VISTA</t>
  </si>
  <si>
    <t>P&amp;G</t>
  </si>
  <si>
    <t>VR CALÇADOS</t>
  </si>
  <si>
    <t>Venda estoque</t>
  </si>
  <si>
    <t>LC COMP</t>
  </si>
  <si>
    <t>FRETES</t>
  </si>
  <si>
    <t>Vencidas</t>
  </si>
  <si>
    <t>A vencer</t>
  </si>
  <si>
    <t>PEDIDOS EM PRODUÇÃO</t>
  </si>
  <si>
    <t>PEDIDOS PARA FATURAR ATÉ 17/04</t>
  </si>
  <si>
    <t>812 E 4410</t>
  </si>
  <si>
    <t>Napa Linha Dakar</t>
  </si>
  <si>
    <t>Amalfi Off White</t>
  </si>
  <si>
    <t>1.000 ml</t>
  </si>
  <si>
    <t>Amalfi</t>
  </si>
  <si>
    <t>Integral</t>
  </si>
  <si>
    <t xml:space="preserve">BOLETOS </t>
  </si>
  <si>
    <t>ROSA 'DALVA</t>
  </si>
  <si>
    <t>NF</t>
  </si>
  <si>
    <t>EMISSÃO</t>
  </si>
  <si>
    <t>CLIENTE</t>
  </si>
  <si>
    <t>REP</t>
  </si>
  <si>
    <t>VALOR</t>
  </si>
  <si>
    <t>VECTO</t>
  </si>
  <si>
    <t xml:space="preserve">Pagou </t>
  </si>
  <si>
    <t>Saldo atrasado</t>
  </si>
  <si>
    <t>Dep Glaucia 17/04</t>
  </si>
  <si>
    <t>Dep Glaucia 23/04</t>
  </si>
  <si>
    <t>SELTEN</t>
  </si>
  <si>
    <t>FERREIRA</t>
  </si>
  <si>
    <t>pix já em poder no Diego para transferir</t>
  </si>
  <si>
    <t>CRIAÇÕES ROGER</t>
  </si>
  <si>
    <t>Pagou 1.291,53 dia 23/04 e saldo dia 22/05</t>
  </si>
  <si>
    <t>Saldo de 9000,00 depositado dia 22/05 foi abatido nessa duplicata</t>
  </si>
  <si>
    <t>JC ACESSORIOS</t>
  </si>
  <si>
    <t>HENRIQUE</t>
  </si>
  <si>
    <t>Referente 160m de devolução da NF22.910 - NF DEVOLUÇÃO: 000.015</t>
  </si>
  <si>
    <t>Pago 50% 04/05 e saldo 18/05</t>
  </si>
  <si>
    <t>COMÉRCIO SANTOS</t>
  </si>
  <si>
    <t>RM CALCADOS</t>
  </si>
  <si>
    <t>ADMX</t>
  </si>
  <si>
    <t>COMERCIO SANTOS</t>
  </si>
  <si>
    <t xml:space="preserve">LEANDRENSE </t>
  </si>
  <si>
    <t>MÊS REF</t>
  </si>
  <si>
    <t>ANO</t>
  </si>
  <si>
    <t>DATA EMISSÃO</t>
  </si>
  <si>
    <t>DESCRIÇÃO</t>
  </si>
  <si>
    <t>STATUS</t>
  </si>
  <si>
    <t>ORIGEM</t>
  </si>
  <si>
    <t>Croco metal</t>
  </si>
  <si>
    <t>Rafia glow</t>
  </si>
  <si>
    <t>Materiais diversos</t>
  </si>
  <si>
    <t>Croco verniz</t>
  </si>
  <si>
    <t>COMPONARTE</t>
  </si>
  <si>
    <t>Rafia Napa Natural</t>
  </si>
  <si>
    <t>Iguana Rocha</t>
  </si>
  <si>
    <t>Maio 2025</t>
  </si>
  <si>
    <t>Junho 2025</t>
  </si>
  <si>
    <t>Julho 2025</t>
  </si>
  <si>
    <t>Agosto 2025</t>
  </si>
  <si>
    <t>VÂNIA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</si>
  <si>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</si>
  <si>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</si>
  <si>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</si>
  <si>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</si>
  <si>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</si>
  <si>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</si>
  <si>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</si>
  <si>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ROSA D'ALVA</t>
  </si>
  <si>
    <t>SANTOS</t>
  </si>
  <si>
    <t>FELIPE NANUQUE</t>
  </si>
  <si>
    <t>Abril 2026</t>
  </si>
  <si>
    <t>Maio 2026</t>
  </si>
  <si>
    <t>Junho 2026</t>
  </si>
  <si>
    <t>Julho 2026</t>
  </si>
  <si>
    <t>VALOR PAGO 1</t>
  </si>
  <si>
    <t>VALOR EM ABERTO 2</t>
  </si>
  <si>
    <t>VALOR EM ABERTO 3</t>
  </si>
  <si>
    <t>DATA DE PAGAMENTO 3</t>
  </si>
  <si>
    <t>VALOR EM ABERTO 4</t>
  </si>
  <si>
    <t>DATA DE PAGAMENTO4</t>
  </si>
  <si>
    <t>DATA DE PAGAMENTO 2</t>
  </si>
  <si>
    <t>DATA DE PAGAMENTO 1</t>
  </si>
  <si>
    <t>VALOR EM ABERTO 5</t>
  </si>
  <si>
    <t>DATA DE PAGAMENTO 5</t>
  </si>
  <si>
    <t>MATOS</t>
  </si>
  <si>
    <t>SILVANO - S/ COMISSÃO</t>
  </si>
  <si>
    <t>CLAUDEMIR</t>
  </si>
  <si>
    <t>CARMEZIN</t>
  </si>
  <si>
    <t>SILVANO-S/COMISSÃO</t>
  </si>
  <si>
    <t>950-Estoque</t>
  </si>
  <si>
    <t>954- estoque</t>
  </si>
  <si>
    <t>5833 - Estoque</t>
  </si>
  <si>
    <t>948- estoque</t>
  </si>
  <si>
    <t>5832- estoque</t>
  </si>
  <si>
    <t>SAMBELLI</t>
  </si>
  <si>
    <t>PAGO</t>
  </si>
  <si>
    <t>DIAS ATRASO</t>
  </si>
  <si>
    <t>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</si>
</sst>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R$-416]\ #,##0.00;\-[$R$-416]\ #,##0.00"/>
    <numFmt numFmtId="165" formatCode="&quot;R$&quot;\ #,##0.00"/>
    <numFmt numFmtId="166" formatCode="dd/mm/yy;@"/>
    <numFmt numFmtId="167" formatCode="d/m/yy;@"/>
    <numFmt numFmtId="168" formatCode="[Blue]###########0;[Red]\-###########0"/>
    <numFmt numFmtId="169" formatCode="[Blue]###,###,###,##0.00;[Red]\-###,###,###,##0.00"/>
    <numFmt numFmtId="170" formatCode="[Blue]###,###,###,##0.000;[Red]\-###,###,###,##0.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ptos ExtraBold"/>
      <family val="2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ptos ExtraBold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800000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20"/>
      <color theme="1"/>
      <name val="Aptos ExtraBold"/>
      <family val="2"/>
    </font>
    <font>
      <b/>
      <sz val="11"/>
      <color theme="0"/>
      <name val="Aptos ExtraBold"/>
      <family val="2"/>
    </font>
    <font>
      <b/>
      <sz val="11"/>
      <color theme="4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20"/>
      <color theme="1"/>
      <name val="Aptos ExtraBold"/>
      <family val="2"/>
    </font>
    <font>
      <b/>
      <sz val="11"/>
      <color theme="0"/>
      <name val="Aptos ExtraBold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2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E887C"/>
        <bgColor indexed="64"/>
      </patternFill>
    </fill>
    <fill>
      <patternFill patternType="solid">
        <fgColor rgb="FFD1712F"/>
        <bgColor indexed="64"/>
      </patternFill>
    </fill>
    <fill>
      <patternFill patternType="solid">
        <fgColor rgb="FFF5693D"/>
        <bgColor indexed="64"/>
      </patternFill>
    </fill>
    <fill>
      <patternFill patternType="solid">
        <fgColor rgb="FFEA80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</patternFill>
    </fill>
    <fill>
      <patternFill patternType="solid">
        <fgColor theme="5" tint="0.79998168889431442"/>
        <bgColor theme="5" tint="0.79998168889431442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2" tint="-0.749992370372631"/>
      </top>
      <bottom/>
      <diagonal/>
    </border>
    <border>
      <left/>
      <right/>
      <top/>
      <bottom style="medium">
        <color theme="2" tint="-0.749992370372631"/>
      </bottom>
      <diagonal/>
    </border>
    <border>
      <left/>
      <right style="medium">
        <color theme="1"/>
      </right>
      <top/>
      <bottom style="medium">
        <color theme="2" tint="-0.749992370372631"/>
      </bottom>
      <diagonal/>
    </border>
    <border>
      <left style="medium">
        <color theme="1"/>
      </left>
      <right/>
      <top/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/>
      <right style="medium">
        <color theme="1"/>
      </right>
      <top style="medium">
        <color theme="2" tint="-0.749992370372631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theme="2" tint="-0.749992370372631"/>
      </top>
      <bottom/>
      <diagonal/>
    </border>
    <border>
      <left/>
      <right/>
      <top/>
      <bottom style="thin">
        <color rgb="FFFFC000"/>
      </bottom>
      <diagonal/>
    </border>
    <border>
      <left style="medium">
        <color theme="1"/>
      </left>
      <right/>
      <top/>
      <bottom style="thin">
        <color rgb="FFFFC000"/>
      </bottom>
      <diagonal/>
    </border>
    <border>
      <left/>
      <right style="medium">
        <color theme="1"/>
      </right>
      <top/>
      <bottom style="thin">
        <color rgb="FFFFC000"/>
      </bottom>
      <diagonal/>
    </border>
    <border>
      <left style="medium">
        <color theme="1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medium">
        <color theme="1"/>
      </right>
      <top style="thin">
        <color rgb="FFFFC000"/>
      </top>
      <bottom style="thin">
        <color rgb="FFFFC000"/>
      </bottom>
      <diagonal/>
    </border>
    <border>
      <left style="medium">
        <color theme="1"/>
      </left>
      <right/>
      <top style="thin">
        <color rgb="FFFFC000"/>
      </top>
      <bottom style="medium">
        <color theme="1"/>
      </bottom>
      <diagonal/>
    </border>
    <border>
      <left/>
      <right/>
      <top style="thin">
        <color rgb="FFFFC000"/>
      </top>
      <bottom style="medium">
        <color theme="1"/>
      </bottom>
      <diagonal/>
    </border>
    <border>
      <left/>
      <right style="medium">
        <color theme="1"/>
      </right>
      <top style="thin">
        <color rgb="FFFFC000"/>
      </top>
      <bottom style="medium">
        <color theme="1"/>
      </bottom>
      <diagonal/>
    </border>
    <border>
      <left style="thin">
        <color rgb="FFFFC000"/>
      </left>
      <right/>
      <top style="thin">
        <color rgb="FFFFC000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2" tint="-0.749992370372631"/>
      </top>
      <bottom style="medium">
        <color indexed="64"/>
      </bottom>
      <diagonal/>
    </border>
    <border>
      <left/>
      <right/>
      <top style="medium">
        <color theme="2" tint="-0.749992370372631"/>
      </top>
      <bottom style="medium">
        <color indexed="64"/>
      </bottom>
      <diagonal/>
    </border>
    <border>
      <left/>
      <right style="medium">
        <color theme="1"/>
      </right>
      <top style="medium">
        <color theme="2" tint="-0.749992370372631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rgb="FF000000"/>
      </top>
      <bottom style="thin">
        <color theme="5"/>
      </bottom>
      <diagonal/>
    </border>
    <border>
      <left/>
      <right/>
      <top style="medium">
        <color rgb="FF000000"/>
      </top>
      <bottom style="thin">
        <color theme="5"/>
      </bottom>
      <diagonal/>
    </border>
    <border>
      <left/>
      <right style="medium">
        <color indexed="64"/>
      </right>
      <top style="medium">
        <color rgb="FF000000"/>
      </top>
      <bottom style="thin">
        <color theme="5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</cellStyleXfs>
  <cellXfs count="694">
    <xf numFmtId="0" fontId="0" fillId="0" borderId="0" xfId="0"/>
    <xf numFmtId="0" fontId="0" fillId="2" borderId="1" xfId="0" applyFill="1" applyBorder="1" applyAlignment="1">
      <alignment horizontal="center"/>
    </xf>
    <xf numFmtId="44" fontId="0" fillId="4" borderId="5" xfId="1" applyFont="1" applyFill="1" applyBorder="1" applyAlignment="1">
      <alignment horizontal="center"/>
    </xf>
    <xf numFmtId="164" fontId="3" fillId="3" borderId="3" xfId="0" applyNumberFormat="1" applyFont="1" applyFill="1" applyBorder="1"/>
    <xf numFmtId="164" fontId="3" fillId="3" borderId="6" xfId="0" applyNumberFormat="1" applyFont="1" applyFill="1" applyBorder="1"/>
    <xf numFmtId="165" fontId="0" fillId="4" borderId="7" xfId="0" applyNumberFormat="1" applyFill="1" applyBorder="1" applyAlignment="1">
      <alignment horizontal="center"/>
    </xf>
    <xf numFmtId="164" fontId="3" fillId="3" borderId="9" xfId="0" applyNumberFormat="1" applyFont="1" applyFill="1" applyBorder="1"/>
    <xf numFmtId="164" fontId="3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44" fontId="0" fillId="0" borderId="8" xfId="1" applyFont="1" applyBorder="1"/>
    <xf numFmtId="0" fontId="0" fillId="0" borderId="5" xfId="0" applyBorder="1" applyAlignment="1">
      <alignment horizontal="center" vertical="center"/>
    </xf>
    <xf numFmtId="0" fontId="0" fillId="7" borderId="8" xfId="0" applyFill="1" applyBorder="1"/>
    <xf numFmtId="0" fontId="0" fillId="0" borderId="8" xfId="0" applyBorder="1" applyAlignment="1">
      <alignment horizontal="center" vertical="center"/>
    </xf>
    <xf numFmtId="44" fontId="0" fillId="7" borderId="8" xfId="1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/>
    </xf>
    <xf numFmtId="44" fontId="3" fillId="6" borderId="5" xfId="1" applyFont="1" applyFill="1" applyBorder="1"/>
    <xf numFmtId="164" fontId="3" fillId="6" borderId="8" xfId="0" applyNumberFormat="1" applyFont="1" applyFill="1" applyBorder="1" applyAlignment="1">
      <alignment horizontal="center" wrapText="1"/>
    </xf>
    <xf numFmtId="44" fontId="0" fillId="0" borderId="0" xfId="0" applyNumberFormat="1"/>
    <xf numFmtId="0" fontId="0" fillId="2" borderId="11" xfId="0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164" fontId="0" fillId="0" borderId="1" xfId="1" applyNumberFormat="1" applyFont="1" applyBorder="1"/>
    <xf numFmtId="0" fontId="0" fillId="0" borderId="12" xfId="0" applyBorder="1"/>
    <xf numFmtId="44" fontId="0" fillId="0" borderId="13" xfId="1" applyFont="1" applyBorder="1"/>
    <xf numFmtId="44" fontId="0" fillId="0" borderId="14" xfId="1" applyFont="1" applyBorder="1"/>
    <xf numFmtId="0" fontId="0" fillId="0" borderId="15" xfId="0" applyBorder="1"/>
    <xf numFmtId="164" fontId="0" fillId="0" borderId="8" xfId="0" applyNumberFormat="1" applyBorder="1"/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7" borderId="2" xfId="0" applyFill="1" applyBorder="1" applyAlignment="1">
      <alignment vertical="center"/>
    </xf>
    <xf numFmtId="0" fontId="0" fillId="0" borderId="5" xfId="0" applyBorder="1" applyAlignment="1">
      <alignment vertical="center"/>
    </xf>
    <xf numFmtId="44" fontId="0" fillId="0" borderId="8" xfId="0" applyNumberFormat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44" fontId="0" fillId="7" borderId="1" xfId="1" applyFont="1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44" fontId="0" fillId="0" borderId="2" xfId="1" applyFont="1" applyFill="1" applyBorder="1"/>
    <xf numFmtId="44" fontId="0" fillId="7" borderId="1" xfId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44" fontId="0" fillId="7" borderId="5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/>
    <xf numFmtId="0" fontId="0" fillId="0" borderId="3" xfId="0" applyBorder="1"/>
    <xf numFmtId="44" fontId="0" fillId="0" borderId="0" xfId="1" applyFont="1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9" borderId="34" xfId="0" applyFill="1" applyBorder="1"/>
    <xf numFmtId="44" fontId="0" fillId="9" borderId="34" xfId="0" applyNumberFormat="1" applyFill="1" applyBorder="1"/>
    <xf numFmtId="0" fontId="0" fillId="9" borderId="35" xfId="0" applyFill="1" applyBorder="1"/>
    <xf numFmtId="0" fontId="0" fillId="8" borderId="37" xfId="0" applyFill="1" applyBorder="1"/>
    <xf numFmtId="0" fontId="0" fillId="8" borderId="38" xfId="0" applyFill="1" applyBorder="1"/>
    <xf numFmtId="44" fontId="6" fillId="8" borderId="37" xfId="0" applyNumberFormat="1" applyFont="1" applyFill="1" applyBorder="1"/>
    <xf numFmtId="44" fontId="6" fillId="9" borderId="34" xfId="0" applyNumberFormat="1" applyFont="1" applyFill="1" applyBorder="1"/>
    <xf numFmtId="0" fontId="0" fillId="0" borderId="30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44" fontId="0" fillId="0" borderId="40" xfId="1" applyFont="1" applyBorder="1"/>
    <xf numFmtId="0" fontId="2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44" fontId="2" fillId="0" borderId="0" xfId="1" applyFont="1" applyBorder="1"/>
    <xf numFmtId="44" fontId="2" fillId="0" borderId="40" xfId="1" applyFont="1" applyBorder="1"/>
    <xf numFmtId="16" fontId="0" fillId="0" borderId="0" xfId="0" applyNumberFormat="1"/>
    <xf numFmtId="0" fontId="0" fillId="0" borderId="40" xfId="0" applyBorder="1"/>
    <xf numFmtId="16" fontId="2" fillId="0" borderId="0" xfId="0" applyNumberFormat="1" applyFont="1" applyAlignment="1">
      <alignment horizontal="center"/>
    </xf>
    <xf numFmtId="16" fontId="2" fillId="0" borderId="40" xfId="0" applyNumberFormat="1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6" fontId="0" fillId="0" borderId="43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0" xfId="0" applyFont="1" applyBorder="1"/>
    <xf numFmtId="0" fontId="2" fillId="0" borderId="32" xfId="0" applyFont="1" applyBorder="1"/>
    <xf numFmtId="0" fontId="2" fillId="0" borderId="42" xfId="0" applyFont="1" applyBorder="1"/>
    <xf numFmtId="0" fontId="0" fillId="0" borderId="44" xfId="0" applyBorder="1"/>
    <xf numFmtId="0" fontId="0" fillId="0" borderId="32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9" fillId="0" borderId="0" xfId="0" applyFont="1"/>
    <xf numFmtId="0" fontId="2" fillId="0" borderId="30" xfId="0" applyFont="1" applyBorder="1" applyAlignment="1">
      <alignment horizontal="center"/>
    </xf>
    <xf numFmtId="44" fontId="0" fillId="0" borderId="0" xfId="1" applyFont="1"/>
    <xf numFmtId="44" fontId="2" fillId="0" borderId="0" xfId="1" applyFont="1"/>
    <xf numFmtId="0" fontId="0" fillId="0" borderId="34" xfId="0" applyBorder="1"/>
    <xf numFmtId="44" fontId="0" fillId="0" borderId="34" xfId="1" applyFont="1" applyBorder="1"/>
    <xf numFmtId="44" fontId="2" fillId="0" borderId="34" xfId="1" applyFont="1" applyBorder="1"/>
    <xf numFmtId="16" fontId="2" fillId="0" borderId="34" xfId="0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/>
    <xf numFmtId="0" fontId="0" fillId="0" borderId="33" xfId="0" applyBorder="1"/>
    <xf numFmtId="0" fontId="2" fillId="0" borderId="33" xfId="0" applyFont="1" applyBorder="1" applyAlignment="1">
      <alignment horizontal="center"/>
    </xf>
    <xf numFmtId="16" fontId="0" fillId="0" borderId="34" xfId="0" applyNumberFormat="1" applyBorder="1"/>
    <xf numFmtId="0" fontId="2" fillId="0" borderId="34" xfId="0" applyFont="1" applyBorder="1"/>
    <xf numFmtId="0" fontId="2" fillId="0" borderId="36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" fontId="0" fillId="0" borderId="37" xfId="0" applyNumberFormat="1" applyBorder="1"/>
    <xf numFmtId="0" fontId="2" fillId="0" borderId="37" xfId="0" applyFont="1" applyBorder="1"/>
    <xf numFmtId="0" fontId="0" fillId="0" borderId="37" xfId="0" applyBorder="1"/>
    <xf numFmtId="44" fontId="0" fillId="0" borderId="37" xfId="1" applyFont="1" applyBorder="1"/>
    <xf numFmtId="44" fontId="2" fillId="0" borderId="37" xfId="1" applyFont="1" applyBorder="1"/>
    <xf numFmtId="16" fontId="2" fillId="0" borderId="37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6" xfId="0" applyBorder="1"/>
    <xf numFmtId="0" fontId="0" fillId="0" borderId="46" xfId="0" applyBorder="1"/>
    <xf numFmtId="0" fontId="0" fillId="0" borderId="7" xfId="0" applyBorder="1"/>
    <xf numFmtId="44" fontId="0" fillId="0" borderId="7" xfId="1" applyFont="1" applyBorder="1"/>
    <xf numFmtId="44" fontId="2" fillId="0" borderId="7" xfId="1" applyFont="1" applyBorder="1"/>
    <xf numFmtId="16" fontId="2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6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48" xfId="0" applyBorder="1" applyAlignment="1">
      <alignment horizontal="center"/>
    </xf>
    <xf numFmtId="0" fontId="2" fillId="0" borderId="49" xfId="0" applyFont="1" applyBorder="1" applyAlignment="1">
      <alignment horizontal="center"/>
    </xf>
    <xf numFmtId="16" fontId="0" fillId="0" borderId="48" xfId="0" applyNumberFormat="1" applyBorder="1"/>
    <xf numFmtId="0" fontId="2" fillId="0" borderId="48" xfId="0" applyFont="1" applyBorder="1"/>
    <xf numFmtId="0" fontId="0" fillId="0" borderId="48" xfId="0" applyBorder="1"/>
    <xf numFmtId="44" fontId="0" fillId="0" borderId="48" xfId="1" applyFont="1" applyBorder="1"/>
    <xf numFmtId="44" fontId="2" fillId="0" borderId="48" xfId="1" applyFont="1" applyBorder="1"/>
    <xf numFmtId="16" fontId="2" fillId="0" borderId="48" xfId="0" applyNumberFormat="1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0" fillId="0" borderId="52" xfId="0" applyBorder="1" applyAlignment="1">
      <alignment horizontal="center"/>
    </xf>
    <xf numFmtId="16" fontId="0" fillId="0" borderId="52" xfId="0" applyNumberFormat="1" applyBorder="1"/>
    <xf numFmtId="0" fontId="2" fillId="0" borderId="52" xfId="0" applyFont="1" applyBorder="1"/>
    <xf numFmtId="0" fontId="0" fillId="0" borderId="52" xfId="0" applyBorder="1"/>
    <xf numFmtId="44" fontId="0" fillId="0" borderId="52" xfId="1" applyFont="1" applyBorder="1"/>
    <xf numFmtId="44" fontId="2" fillId="0" borderId="52" xfId="1" applyFont="1" applyBorder="1"/>
    <xf numFmtId="16" fontId="2" fillId="0" borderId="52" xfId="0" applyNumberFormat="1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9" xfId="0" applyBorder="1"/>
    <xf numFmtId="0" fontId="2" fillId="0" borderId="26" xfId="0" applyFont="1" applyBorder="1" applyAlignment="1">
      <alignment horizontal="center"/>
    </xf>
    <xf numFmtId="0" fontId="0" fillId="0" borderId="32" xfId="0" applyBorder="1"/>
    <xf numFmtId="0" fontId="0" fillId="0" borderId="33" xfId="0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16" fontId="0" fillId="0" borderId="55" xfId="0" applyNumberFormat="1" applyBorder="1"/>
    <xf numFmtId="0" fontId="2" fillId="0" borderId="55" xfId="0" applyFont="1" applyBorder="1"/>
    <xf numFmtId="0" fontId="0" fillId="0" borderId="55" xfId="0" applyBorder="1"/>
    <xf numFmtId="44" fontId="0" fillId="0" borderId="55" xfId="1" applyFont="1" applyBorder="1"/>
    <xf numFmtId="44" fontId="2" fillId="0" borderId="55" xfId="1" applyFont="1" applyBorder="1"/>
    <xf numFmtId="16" fontId="2" fillId="0" borderId="55" xfId="0" applyNumberFormat="1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9" fillId="0" borderId="55" xfId="0" applyFont="1" applyBorder="1"/>
    <xf numFmtId="0" fontId="0" fillId="0" borderId="57" xfId="0" applyBorder="1"/>
    <xf numFmtId="44" fontId="1" fillId="0" borderId="37" xfId="1" applyFont="1" applyBorder="1"/>
    <xf numFmtId="0" fontId="0" fillId="0" borderId="38" xfId="0" applyBorder="1"/>
    <xf numFmtId="44" fontId="2" fillId="0" borderId="28" xfId="1" applyFont="1" applyBorder="1"/>
    <xf numFmtId="16" fontId="2" fillId="0" borderId="28" xfId="0" applyNumberFormat="1" applyFont="1" applyBorder="1" applyAlignment="1">
      <alignment horizontal="center"/>
    </xf>
    <xf numFmtId="0" fontId="0" fillId="0" borderId="28" xfId="0" applyBorder="1"/>
    <xf numFmtId="166" fontId="0" fillId="2" borderId="1" xfId="0" applyNumberFormat="1" applyFill="1" applyBorder="1" applyAlignment="1">
      <alignment horizontal="center" vertical="center"/>
    </xf>
    <xf numFmtId="166" fontId="0" fillId="7" borderId="8" xfId="0" applyNumberFormat="1" applyFill="1" applyBorder="1"/>
    <xf numFmtId="166" fontId="0" fillId="0" borderId="8" xfId="0" applyNumberFormat="1" applyBorder="1"/>
    <xf numFmtId="166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14" fontId="0" fillId="7" borderId="8" xfId="0" applyNumberFormat="1" applyFill="1" applyBorder="1"/>
    <xf numFmtId="14" fontId="0" fillId="0" borderId="8" xfId="0" applyNumberFormat="1" applyBorder="1"/>
    <xf numFmtId="14" fontId="0" fillId="0" borderId="0" xfId="0" applyNumberFormat="1"/>
    <xf numFmtId="14" fontId="0" fillId="7" borderId="1" xfId="0" applyNumberFormat="1" applyFill="1" applyBorder="1"/>
    <xf numFmtId="166" fontId="0" fillId="7" borderId="1" xfId="0" applyNumberFormat="1" applyFill="1" applyBorder="1"/>
    <xf numFmtId="166" fontId="0" fillId="0" borderId="0" xfId="0" applyNumberFormat="1" applyAlignment="1">
      <alignment horizontal="center"/>
    </xf>
    <xf numFmtId="166" fontId="0" fillId="0" borderId="40" xfId="0" applyNumberFormat="1" applyBorder="1" applyAlignment="1">
      <alignment horizontal="center"/>
    </xf>
    <xf numFmtId="166" fontId="0" fillId="0" borderId="34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7" fontId="0" fillId="0" borderId="48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34" xfId="0" applyNumberFormat="1" applyBorder="1" applyAlignment="1">
      <alignment horizontal="center"/>
    </xf>
    <xf numFmtId="167" fontId="0" fillId="0" borderId="52" xfId="0" applyNumberFormat="1" applyBorder="1" applyAlignment="1">
      <alignment horizontal="center"/>
    </xf>
    <xf numFmtId="167" fontId="0" fillId="0" borderId="55" xfId="0" applyNumberFormat="1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16" fontId="0" fillId="0" borderId="2" xfId="0" applyNumberFormat="1" applyBorder="1" applyAlignment="1">
      <alignment horizontal="center" vertical="center"/>
    </xf>
    <xf numFmtId="0" fontId="11" fillId="13" borderId="22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11" fillId="14" borderId="24" xfId="0" applyFont="1" applyFill="1" applyBorder="1" applyAlignment="1">
      <alignment horizontal="center" vertical="center"/>
    </xf>
    <xf numFmtId="0" fontId="2" fillId="12" borderId="62" xfId="0" applyFont="1" applyFill="1" applyBorder="1" applyAlignment="1">
      <alignment vertical="center"/>
    </xf>
    <xf numFmtId="44" fontId="0" fillId="12" borderId="26" xfId="1" applyFont="1" applyFill="1" applyBorder="1" applyAlignment="1"/>
    <xf numFmtId="44" fontId="0" fillId="12" borderId="62" xfId="1" applyFont="1" applyFill="1" applyBorder="1" applyAlignment="1"/>
    <xf numFmtId="44" fontId="0" fillId="12" borderId="0" xfId="1" applyFont="1" applyFill="1" applyBorder="1" applyAlignment="1">
      <alignment vertical="center"/>
    </xf>
    <xf numFmtId="44" fontId="0" fillId="12" borderId="3" xfId="1" applyFont="1" applyFill="1" applyBorder="1" applyAlignment="1"/>
    <xf numFmtId="44" fontId="0" fillId="12" borderId="62" xfId="1" applyFont="1" applyFill="1" applyBorder="1" applyAlignment="1">
      <alignment vertical="center"/>
    </xf>
    <xf numFmtId="44" fontId="0" fillId="12" borderId="3" xfId="1" applyFont="1" applyFill="1" applyBorder="1" applyAlignment="1">
      <alignment vertical="center"/>
    </xf>
    <xf numFmtId="0" fontId="2" fillId="0" borderId="62" xfId="0" applyFont="1" applyBorder="1" applyAlignment="1">
      <alignment vertical="center"/>
    </xf>
    <xf numFmtId="44" fontId="0" fillId="0" borderId="26" xfId="1" applyFont="1" applyBorder="1" applyAlignment="1"/>
    <xf numFmtId="44" fontId="0" fillId="0" borderId="62" xfId="1" applyFont="1" applyBorder="1" applyAlignment="1"/>
    <xf numFmtId="44" fontId="0" fillId="0" borderId="0" xfId="1" applyFont="1" applyBorder="1" applyAlignment="1"/>
    <xf numFmtId="44" fontId="0" fillId="0" borderId="3" xfId="1" applyFont="1" applyBorder="1" applyAlignment="1"/>
    <xf numFmtId="44" fontId="0" fillId="12" borderId="0" xfId="1" applyFont="1" applyFill="1" applyBorder="1" applyAlignment="1"/>
    <xf numFmtId="0" fontId="2" fillId="0" borderId="61" xfId="0" applyFont="1" applyBorder="1" applyAlignment="1">
      <alignment vertical="center"/>
    </xf>
    <xf numFmtId="44" fontId="0" fillId="0" borderId="25" xfId="1" applyFont="1" applyBorder="1" applyAlignment="1"/>
    <xf numFmtId="44" fontId="0" fillId="0" borderId="61" xfId="1" applyFont="1" applyBorder="1" applyAlignment="1"/>
    <xf numFmtId="44" fontId="0" fillId="0" borderId="9" xfId="1" applyFont="1" applyBorder="1" applyAlignment="1"/>
    <xf numFmtId="0" fontId="2" fillId="12" borderId="22" xfId="0" applyFont="1" applyFill="1" applyBorder="1" applyAlignment="1">
      <alignment vertical="center"/>
    </xf>
    <xf numFmtId="44" fontId="2" fillId="12" borderId="24" xfId="0" applyNumberFormat="1" applyFont="1" applyFill="1" applyBorder="1" applyAlignment="1">
      <alignment vertical="center"/>
    </xf>
    <xf numFmtId="44" fontId="2" fillId="12" borderId="22" xfId="0" applyNumberFormat="1" applyFont="1" applyFill="1" applyBorder="1" applyAlignment="1">
      <alignment vertical="center"/>
    </xf>
    <xf numFmtId="44" fontId="2" fillId="12" borderId="26" xfId="1" applyFont="1" applyFill="1" applyBorder="1" applyAlignment="1">
      <alignment vertical="center"/>
    </xf>
    <xf numFmtId="44" fontId="2" fillId="12" borderId="3" xfId="1" applyFont="1" applyFill="1" applyBorder="1" applyAlignment="1">
      <alignment vertical="center"/>
    </xf>
    <xf numFmtId="44" fontId="2" fillId="12" borderId="22" xfId="1" applyFont="1" applyFill="1" applyBorder="1" applyAlignment="1">
      <alignment vertical="center"/>
    </xf>
    <xf numFmtId="44" fontId="2" fillId="12" borderId="24" xfId="1" applyFont="1" applyFill="1" applyBorder="1" applyAlignment="1">
      <alignment vertical="center"/>
    </xf>
    <xf numFmtId="44" fontId="2" fillId="12" borderId="0" xfId="1" applyFont="1" applyFill="1" applyBorder="1" applyAlignment="1">
      <alignment vertical="center"/>
    </xf>
    <xf numFmtId="44" fontId="11" fillId="15" borderId="28" xfId="0" applyNumberFormat="1" applyFont="1" applyFill="1" applyBorder="1" applyAlignment="1">
      <alignment horizontal="center" vertical="center"/>
    </xf>
    <xf numFmtId="0" fontId="12" fillId="15" borderId="28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0" fillId="0" borderId="65" xfId="0" applyBorder="1" applyAlignment="1">
      <alignment horizontal="center" vertical="top"/>
    </xf>
    <xf numFmtId="0" fontId="0" fillId="0" borderId="66" xfId="0" applyBorder="1" applyAlignment="1">
      <alignment horizontal="center" vertical="top"/>
    </xf>
    <xf numFmtId="0" fontId="0" fillId="0" borderId="59" xfId="0" applyBorder="1" applyAlignment="1">
      <alignment horizontal="center" vertical="top"/>
    </xf>
    <xf numFmtId="0" fontId="0" fillId="0" borderId="59" xfId="0" applyBorder="1" applyAlignment="1">
      <alignment horizontal="center" vertical="top" wrapText="1"/>
    </xf>
    <xf numFmtId="0" fontId="0" fillId="0" borderId="60" xfId="0" applyBorder="1" applyAlignment="1">
      <alignment horizontal="center" vertical="top" wrapText="1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6" fontId="0" fillId="0" borderId="23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24" xfId="0" applyNumberFormat="1" applyBorder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25" xfId="0" applyFont="1" applyBorder="1" applyAlignment="1">
      <alignment horizontal="center"/>
    </xf>
    <xf numFmtId="44" fontId="0" fillId="0" borderId="34" xfId="0" applyNumberForma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16" fontId="0" fillId="0" borderId="34" xfId="0" applyNumberFormat="1" applyBorder="1" applyAlignment="1">
      <alignment horizontal="center"/>
    </xf>
    <xf numFmtId="0" fontId="9" fillId="0" borderId="34" xfId="0" applyFon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2" fillId="0" borderId="0" xfId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6" fontId="0" fillId="0" borderId="28" xfId="0" applyNumberFormat="1" applyBorder="1" applyAlignment="1">
      <alignment horizontal="center"/>
    </xf>
    <xf numFmtId="44" fontId="0" fillId="0" borderId="28" xfId="0" applyNumberFormat="1" applyBorder="1" applyAlignment="1">
      <alignment horizontal="center"/>
    </xf>
    <xf numFmtId="44" fontId="2" fillId="0" borderId="7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44" fontId="0" fillId="0" borderId="23" xfId="0" applyNumberFormat="1" applyBorder="1" applyAlignment="1">
      <alignment horizontal="center"/>
    </xf>
    <xf numFmtId="44" fontId="2" fillId="0" borderId="0" xfId="0" applyNumberFormat="1" applyFont="1" applyAlignment="1">
      <alignment horizontal="center"/>
    </xf>
    <xf numFmtId="44" fontId="2" fillId="0" borderId="59" xfId="0" applyNumberFormat="1" applyFont="1" applyBorder="1" applyAlignment="1">
      <alignment horizontal="center"/>
    </xf>
    <xf numFmtId="44" fontId="0" fillId="0" borderId="67" xfId="0" applyNumberFormat="1" applyBorder="1" applyAlignment="1">
      <alignment horizontal="center"/>
    </xf>
    <xf numFmtId="44" fontId="0" fillId="0" borderId="68" xfId="0" applyNumberFormat="1" applyBorder="1" applyAlignment="1">
      <alignment horizontal="center"/>
    </xf>
    <xf numFmtId="44" fontId="15" fillId="12" borderId="37" xfId="0" applyNumberFormat="1" applyFont="1" applyFill="1" applyBorder="1"/>
    <xf numFmtId="0" fontId="0" fillId="12" borderId="37" xfId="0" applyFill="1" applyBorder="1"/>
    <xf numFmtId="44" fontId="6" fillId="12" borderId="37" xfId="0" applyNumberFormat="1" applyFont="1" applyFill="1" applyBorder="1"/>
    <xf numFmtId="44" fontId="11" fillId="12" borderId="37" xfId="0" applyNumberFormat="1" applyFont="1" applyFill="1" applyBorder="1"/>
    <xf numFmtId="0" fontId="0" fillId="12" borderId="34" xfId="0" applyFill="1" applyBorder="1"/>
    <xf numFmtId="0" fontId="0" fillId="12" borderId="38" xfId="0" applyFill="1" applyBorder="1"/>
    <xf numFmtId="44" fontId="15" fillId="16" borderId="34" xfId="0" applyNumberFormat="1" applyFont="1" applyFill="1" applyBorder="1"/>
    <xf numFmtId="0" fontId="0" fillId="16" borderId="34" xfId="0" applyFill="1" applyBorder="1"/>
    <xf numFmtId="44" fontId="0" fillId="16" borderId="34" xfId="0" applyNumberFormat="1" applyFill="1" applyBorder="1"/>
    <xf numFmtId="44" fontId="6" fillId="16" borderId="34" xfId="0" applyNumberFormat="1" applyFont="1" applyFill="1" applyBorder="1"/>
    <xf numFmtId="44" fontId="11" fillId="16" borderId="34" xfId="0" applyNumberFormat="1" applyFont="1" applyFill="1" applyBorder="1"/>
    <xf numFmtId="0" fontId="0" fillId="16" borderId="35" xfId="0" applyFill="1" applyBorder="1"/>
    <xf numFmtId="0" fontId="16" fillId="14" borderId="37" xfId="0" applyFont="1" applyFill="1" applyBorder="1"/>
    <xf numFmtId="44" fontId="10" fillId="14" borderId="37" xfId="0" applyNumberFormat="1" applyFont="1" applyFill="1" applyBorder="1"/>
    <xf numFmtId="0" fontId="2" fillId="0" borderId="69" xfId="0" applyFont="1" applyBorder="1" applyAlignment="1">
      <alignment horizontal="center"/>
    </xf>
    <xf numFmtId="0" fontId="0" fillId="0" borderId="70" xfId="0" applyBorder="1" applyAlignment="1">
      <alignment horizontal="center"/>
    </xf>
    <xf numFmtId="16" fontId="0" fillId="0" borderId="70" xfId="0" applyNumberFormat="1" applyBorder="1"/>
    <xf numFmtId="0" fontId="2" fillId="0" borderId="70" xfId="0" applyFont="1" applyBorder="1"/>
    <xf numFmtId="44" fontId="2" fillId="0" borderId="70" xfId="1" applyFont="1" applyBorder="1"/>
    <xf numFmtId="16" fontId="2" fillId="0" borderId="70" xfId="0" applyNumberFormat="1" applyFont="1" applyBorder="1" applyAlignment="1">
      <alignment horizontal="center"/>
    </xf>
    <xf numFmtId="166" fontId="0" fillId="0" borderId="70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0" fillId="0" borderId="59" xfId="0" applyBorder="1" applyAlignment="1">
      <alignment horizontal="center"/>
    </xf>
    <xf numFmtId="16" fontId="0" fillId="0" borderId="59" xfId="0" applyNumberFormat="1" applyBorder="1"/>
    <xf numFmtId="0" fontId="2" fillId="0" borderId="59" xfId="0" applyFont="1" applyBorder="1"/>
    <xf numFmtId="44" fontId="2" fillId="0" borderId="59" xfId="1" applyFont="1" applyBorder="1"/>
    <xf numFmtId="16" fontId="2" fillId="0" borderId="59" xfId="0" applyNumberFormat="1" applyFont="1" applyBorder="1" applyAlignment="1">
      <alignment horizontal="center"/>
    </xf>
    <xf numFmtId="166" fontId="0" fillId="0" borderId="59" xfId="0" applyNumberFormat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0" xfId="0" applyBorder="1"/>
    <xf numFmtId="44" fontId="0" fillId="0" borderId="70" xfId="1" applyFont="1" applyBorder="1"/>
    <xf numFmtId="167" fontId="0" fillId="0" borderId="64" xfId="0" applyNumberFormat="1" applyBorder="1" applyAlignment="1">
      <alignment horizontal="center"/>
    </xf>
    <xf numFmtId="167" fontId="0" fillId="17" borderId="55" xfId="0" applyNumberFormat="1" applyFill="1" applyBorder="1" applyAlignment="1">
      <alignment horizontal="center"/>
    </xf>
    <xf numFmtId="167" fontId="0" fillId="17" borderId="34" xfId="0" applyNumberFormat="1" applyFill="1" applyBorder="1" applyAlignment="1">
      <alignment horizontal="center"/>
    </xf>
    <xf numFmtId="167" fontId="0" fillId="17" borderId="0" xfId="0" applyNumberFormat="1" applyFill="1" applyAlignment="1">
      <alignment horizontal="center"/>
    </xf>
    <xf numFmtId="167" fontId="0" fillId="17" borderId="48" xfId="0" applyNumberFormat="1" applyFill="1" applyBorder="1" applyAlignment="1">
      <alignment horizontal="center"/>
    </xf>
    <xf numFmtId="167" fontId="0" fillId="17" borderId="28" xfId="0" applyNumberFormat="1" applyFill="1" applyBorder="1" applyAlignment="1">
      <alignment horizontal="center"/>
    </xf>
    <xf numFmtId="44" fontId="0" fillId="0" borderId="48" xfId="0" applyNumberFormat="1" applyBorder="1" applyAlignment="1">
      <alignment horizontal="center"/>
    </xf>
    <xf numFmtId="0" fontId="0" fillId="0" borderId="31" xfId="0" applyBorder="1" applyAlignment="1">
      <alignment vertical="center"/>
    </xf>
    <xf numFmtId="167" fontId="0" fillId="17" borderId="37" xfId="0" applyNumberFormat="1" applyFill="1" applyBorder="1"/>
    <xf numFmtId="0" fontId="2" fillId="0" borderId="7" xfId="0" applyFont="1" applyBorder="1"/>
    <xf numFmtId="44" fontId="0" fillId="0" borderId="3" xfId="0" applyNumberForma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16" fontId="0" fillId="0" borderId="59" xfId="0" applyNumberFormat="1" applyBorder="1" applyAlignment="1">
      <alignment horizontal="center"/>
    </xf>
    <xf numFmtId="0" fontId="0" fillId="0" borderId="59" xfId="0" applyBorder="1"/>
    <xf numFmtId="44" fontId="0" fillId="0" borderId="59" xfId="0" applyNumberFormat="1" applyBorder="1" applyAlignment="1">
      <alignment horizontal="center"/>
    </xf>
    <xf numFmtId="44" fontId="0" fillId="0" borderId="60" xfId="0" applyNumberFormat="1" applyBorder="1" applyAlignment="1">
      <alignment horizontal="center"/>
    </xf>
    <xf numFmtId="44" fontId="2" fillId="0" borderId="23" xfId="1" applyFont="1" applyBorder="1"/>
    <xf numFmtId="16" fontId="2" fillId="0" borderId="23" xfId="0" applyNumberFormat="1" applyFont="1" applyBorder="1" applyAlignment="1">
      <alignment horizontal="center"/>
    </xf>
    <xf numFmtId="44" fontId="2" fillId="0" borderId="23" xfId="1" applyFont="1" applyBorder="1" applyAlignment="1">
      <alignment horizontal="center"/>
    </xf>
    <xf numFmtId="44" fontId="0" fillId="0" borderId="59" xfId="0" applyNumberFormat="1" applyBorder="1"/>
    <xf numFmtId="3" fontId="2" fillId="0" borderId="59" xfId="0" applyNumberFormat="1" applyFont="1" applyBorder="1" applyAlignment="1">
      <alignment horizontal="center"/>
    </xf>
    <xf numFmtId="44" fontId="2" fillId="0" borderId="59" xfId="1" applyFont="1" applyBorder="1" applyAlignment="1">
      <alignment horizontal="center"/>
    </xf>
    <xf numFmtId="0" fontId="9" fillId="0" borderId="73" xfId="0" applyFont="1" applyBorder="1"/>
    <xf numFmtId="0" fontId="0" fillId="0" borderId="0" xfId="0" applyAlignment="1">
      <alignment horizontal="left"/>
    </xf>
    <xf numFmtId="0" fontId="0" fillId="0" borderId="3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3" xfId="0" applyBorder="1"/>
    <xf numFmtId="0" fontId="0" fillId="12" borderId="37" xfId="0" applyFill="1" applyBorder="1" applyAlignment="1">
      <alignment horizontal="center"/>
    </xf>
    <xf numFmtId="44" fontId="6" fillId="12" borderId="37" xfId="0" applyNumberFormat="1" applyFont="1" applyFill="1" applyBorder="1" applyAlignment="1">
      <alignment horizontal="center"/>
    </xf>
    <xf numFmtId="0" fontId="0" fillId="16" borderId="34" xfId="0" applyFill="1" applyBorder="1" applyAlignment="1">
      <alignment horizontal="center"/>
    </xf>
    <xf numFmtId="44" fontId="0" fillId="16" borderId="34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23" xfId="0" applyNumberFormat="1" applyFon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28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0" fillId="0" borderId="59" xfId="0" applyNumberFormat="1" applyBorder="1"/>
    <xf numFmtId="49" fontId="17" fillId="0" borderId="0" xfId="2" applyNumberFormat="1"/>
    <xf numFmtId="0" fontId="18" fillId="18" borderId="8" xfId="2" applyFont="1" applyFill="1" applyBorder="1"/>
    <xf numFmtId="14" fontId="17" fillId="0" borderId="0" xfId="2" applyNumberFormat="1"/>
    <xf numFmtId="168" fontId="17" fillId="0" borderId="0" xfId="2" applyNumberFormat="1"/>
    <xf numFmtId="170" fontId="17" fillId="0" borderId="0" xfId="2" applyNumberFormat="1"/>
    <xf numFmtId="169" fontId="17" fillId="0" borderId="0" xfId="2" applyNumberFormat="1"/>
    <xf numFmtId="0" fontId="2" fillId="0" borderId="64" xfId="0" applyFont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3" fontId="2" fillId="7" borderId="0" xfId="0" applyNumberFormat="1" applyFont="1" applyFill="1" applyAlignment="1">
      <alignment horizontal="center"/>
    </xf>
    <xf numFmtId="3" fontId="2" fillId="17" borderId="0" xfId="0" applyNumberFormat="1" applyFont="1" applyFill="1" applyAlignment="1">
      <alignment horizontal="center"/>
    </xf>
    <xf numFmtId="3" fontId="2" fillId="17" borderId="23" xfId="0" applyNumberFormat="1" applyFont="1" applyFill="1" applyBorder="1" applyAlignment="1">
      <alignment horizontal="center"/>
    </xf>
    <xf numFmtId="44" fontId="2" fillId="7" borderId="0" xfId="1" applyFont="1" applyFill="1" applyBorder="1"/>
    <xf numFmtId="44" fontId="2" fillId="7" borderId="7" xfId="1" applyFont="1" applyFill="1" applyBorder="1"/>
    <xf numFmtId="44" fontId="2" fillId="11" borderId="23" xfId="1" applyFont="1" applyFill="1" applyBorder="1"/>
    <xf numFmtId="44" fontId="2" fillId="11" borderId="7" xfId="1" applyFont="1" applyFill="1" applyBorder="1"/>
    <xf numFmtId="0" fontId="19" fillId="0" borderId="7" xfId="0" applyFont="1" applyBorder="1" applyAlignment="1">
      <alignment horizontal="center"/>
    </xf>
    <xf numFmtId="44" fontId="0" fillId="17" borderId="9" xfId="0" applyNumberFormat="1" applyFill="1" applyBorder="1" applyAlignment="1">
      <alignment horizontal="center"/>
    </xf>
    <xf numFmtId="44" fontId="20" fillId="0" borderId="59" xfId="1" applyFont="1" applyBorder="1" applyAlignment="1">
      <alignment horizontal="center"/>
    </xf>
    <xf numFmtId="16" fontId="20" fillId="0" borderId="59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44" fontId="22" fillId="0" borderId="7" xfId="0" applyNumberFormat="1" applyFont="1" applyBorder="1" applyAlignment="1">
      <alignment horizontal="center"/>
    </xf>
    <xf numFmtId="44" fontId="22" fillId="0" borderId="0" xfId="0" applyNumberFormat="1" applyFont="1" applyAlignment="1">
      <alignment horizontal="center"/>
    </xf>
    <xf numFmtId="44" fontId="22" fillId="0" borderId="23" xfId="0" applyNumberFormat="1" applyFont="1" applyBorder="1" applyAlignment="1">
      <alignment horizontal="center"/>
    </xf>
    <xf numFmtId="44" fontId="22" fillId="0" borderId="28" xfId="0" applyNumberFormat="1" applyFont="1" applyBorder="1" applyAlignment="1">
      <alignment horizontal="center"/>
    </xf>
    <xf numFmtId="165" fontId="22" fillId="7" borderId="0" xfId="0" applyNumberFormat="1" applyFont="1" applyFill="1" applyAlignment="1">
      <alignment horizontal="center"/>
    </xf>
    <xf numFmtId="0" fontId="23" fillId="0" borderId="58" xfId="0" applyFont="1" applyBorder="1" applyAlignment="1">
      <alignment horizontal="center"/>
    </xf>
    <xf numFmtId="3" fontId="23" fillId="0" borderId="59" xfId="0" applyNumberFormat="1" applyFont="1" applyBorder="1" applyAlignment="1">
      <alignment horizontal="center"/>
    </xf>
    <xf numFmtId="0" fontId="24" fillId="0" borderId="59" xfId="0" applyFont="1" applyBorder="1" applyAlignment="1">
      <alignment horizontal="center"/>
    </xf>
    <xf numFmtId="16" fontId="24" fillId="0" borderId="59" xfId="0" applyNumberFormat="1" applyFont="1" applyBorder="1" applyAlignment="1">
      <alignment horizontal="center"/>
    </xf>
    <xf numFmtId="44" fontId="24" fillId="0" borderId="59" xfId="0" applyNumberFormat="1" applyFont="1" applyBorder="1" applyAlignment="1">
      <alignment horizontal="center"/>
    </xf>
    <xf numFmtId="44" fontId="24" fillId="17" borderId="60" xfId="0" applyNumberFormat="1" applyFont="1" applyFill="1" applyBorder="1" applyAlignment="1">
      <alignment horizontal="center"/>
    </xf>
    <xf numFmtId="44" fontId="0" fillId="12" borderId="26" xfId="1" applyFont="1" applyFill="1" applyBorder="1"/>
    <xf numFmtId="44" fontId="0" fillId="12" borderId="62" xfId="1" applyFont="1" applyFill="1" applyBorder="1"/>
    <xf numFmtId="44" fontId="0" fillId="12" borderId="0" xfId="1" applyFont="1" applyFill="1" applyAlignment="1">
      <alignment vertical="center"/>
    </xf>
    <xf numFmtId="44" fontId="0" fillId="12" borderId="3" xfId="1" applyFont="1" applyFill="1" applyBorder="1"/>
    <xf numFmtId="44" fontId="0" fillId="0" borderId="26" xfId="1" applyFont="1" applyBorder="1"/>
    <xf numFmtId="44" fontId="0" fillId="0" borderId="62" xfId="1" applyFont="1" applyBorder="1"/>
    <xf numFmtId="44" fontId="0" fillId="0" borderId="3" xfId="1" applyFont="1" applyBorder="1"/>
    <xf numFmtId="44" fontId="0" fillId="12" borderId="0" xfId="1" applyFont="1" applyFill="1"/>
    <xf numFmtId="44" fontId="0" fillId="0" borderId="25" xfId="1" applyFont="1" applyBorder="1"/>
    <xf numFmtId="44" fontId="0" fillId="0" borderId="61" xfId="1" applyFont="1" applyBorder="1"/>
    <xf numFmtId="44" fontId="0" fillId="0" borderId="9" xfId="1" applyFont="1" applyBorder="1"/>
    <xf numFmtId="44" fontId="2" fillId="12" borderId="0" xfId="1" applyFont="1" applyFill="1" applyAlignment="1">
      <alignment vertical="center"/>
    </xf>
    <xf numFmtId="44" fontId="2" fillId="0" borderId="0" xfId="1" applyFont="1" applyAlignment="1">
      <alignment horizontal="center"/>
    </xf>
    <xf numFmtId="44" fontId="20" fillId="0" borderId="0" xfId="1" applyFont="1" applyBorder="1"/>
    <xf numFmtId="0" fontId="24" fillId="0" borderId="0" xfId="0" applyFont="1"/>
    <xf numFmtId="0" fontId="23" fillId="0" borderId="59" xfId="0" applyFont="1" applyBorder="1" applyAlignment="1">
      <alignment horizontal="center"/>
    </xf>
    <xf numFmtId="44" fontId="23" fillId="0" borderId="59" xfId="1" applyFont="1" applyBorder="1"/>
    <xf numFmtId="44" fontId="23" fillId="0" borderId="59" xfId="1" applyFont="1" applyBorder="1" applyAlignment="1">
      <alignment horizontal="center"/>
    </xf>
    <xf numFmtId="16" fontId="23" fillId="0" borderId="59" xfId="0" applyNumberFormat="1" applyFont="1" applyBorder="1" applyAlignment="1">
      <alignment horizontal="center"/>
    </xf>
    <xf numFmtId="44" fontId="24" fillId="0" borderId="60" xfId="0" applyNumberFormat="1" applyFont="1" applyBorder="1" applyAlignment="1">
      <alignment horizontal="center"/>
    </xf>
    <xf numFmtId="44" fontId="0" fillId="7" borderId="23" xfId="0" applyNumberFormat="1" applyFill="1" applyBorder="1" applyAlignment="1">
      <alignment horizontal="center"/>
    </xf>
    <xf numFmtId="0" fontId="0" fillId="0" borderId="74" xfId="0" applyBorder="1"/>
    <xf numFmtId="44" fontId="2" fillId="0" borderId="7" xfId="0" applyNumberFormat="1" applyFont="1" applyBorder="1" applyAlignment="1">
      <alignment horizontal="center"/>
    </xf>
    <xf numFmtId="44" fontId="0" fillId="0" borderId="75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27" fillId="0" borderId="23" xfId="0" applyNumberFormat="1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3" fontId="23" fillId="0" borderId="23" xfId="0" applyNumberFormat="1" applyFont="1" applyBorder="1" applyAlignment="1">
      <alignment horizontal="center"/>
    </xf>
    <xf numFmtId="3" fontId="23" fillId="0" borderId="0" xfId="0" applyNumberFormat="1" applyFont="1" applyAlignment="1">
      <alignment horizontal="center"/>
    </xf>
    <xf numFmtId="0" fontId="0" fillId="0" borderId="76" xfId="0" applyBorder="1" applyAlignment="1">
      <alignment horizontal="center" vertical="top"/>
    </xf>
    <xf numFmtId="0" fontId="0" fillId="0" borderId="24" xfId="0" applyBorder="1" applyAlignment="1">
      <alignment horizontal="center" vertical="top" wrapText="1"/>
    </xf>
    <xf numFmtId="44" fontId="15" fillId="12" borderId="34" xfId="0" applyNumberFormat="1" applyFont="1" applyFill="1" applyBorder="1"/>
    <xf numFmtId="0" fontId="0" fillId="12" borderId="34" xfId="0" applyFill="1" applyBorder="1" applyAlignment="1">
      <alignment horizontal="center"/>
    </xf>
    <xf numFmtId="44" fontId="6" fillId="12" borderId="34" xfId="0" applyNumberFormat="1" applyFont="1" applyFill="1" applyBorder="1" applyAlignment="1">
      <alignment horizontal="center"/>
    </xf>
    <xf numFmtId="44" fontId="11" fillId="12" borderId="34" xfId="0" applyNumberFormat="1" applyFont="1" applyFill="1" applyBorder="1"/>
    <xf numFmtId="0" fontId="0" fillId="12" borderId="35" xfId="0" applyFill="1" applyBorder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" fontId="24" fillId="0" borderId="0" xfId="0" applyNumberFormat="1" applyFont="1" applyAlignment="1">
      <alignment horizontal="center"/>
    </xf>
    <xf numFmtId="0" fontId="23" fillId="0" borderId="2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16" fontId="24" fillId="0" borderId="23" xfId="0" applyNumberFormat="1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44" fontId="23" fillId="0" borderId="23" xfId="1" applyFont="1" applyBorder="1"/>
    <xf numFmtId="44" fontId="23" fillId="0" borderId="23" xfId="1" applyFont="1" applyBorder="1" applyAlignment="1">
      <alignment horizontal="center"/>
    </xf>
    <xf numFmtId="16" fontId="23" fillId="0" borderId="23" xfId="0" applyNumberFormat="1" applyFont="1" applyBorder="1" applyAlignment="1">
      <alignment horizontal="center"/>
    </xf>
    <xf numFmtId="44" fontId="24" fillId="0" borderId="23" xfId="0" applyNumberFormat="1" applyFont="1" applyBorder="1" applyAlignment="1">
      <alignment horizontal="center"/>
    </xf>
    <xf numFmtId="44" fontId="24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3" fontId="23" fillId="0" borderId="7" xfId="0" applyNumberFormat="1" applyFont="1" applyBorder="1" applyAlignment="1">
      <alignment horizontal="center"/>
    </xf>
    <xf numFmtId="44" fontId="0" fillId="7" borderId="7" xfId="0" applyNumberFormat="1" applyFill="1" applyBorder="1" applyAlignment="1">
      <alignment horizontal="center"/>
    </xf>
    <xf numFmtId="44" fontId="0" fillId="7" borderId="0" xfId="0" applyNumberFormat="1" applyFill="1" applyAlignment="1">
      <alignment horizontal="center"/>
    </xf>
    <xf numFmtId="44" fontId="2" fillId="11" borderId="23" xfId="1" applyFont="1" applyFill="1" applyBorder="1" applyAlignment="1">
      <alignment horizontal="center"/>
    </xf>
    <xf numFmtId="44" fontId="2" fillId="11" borderId="59" xfId="1" applyFont="1" applyFill="1" applyBorder="1" applyAlignment="1">
      <alignment horizontal="center"/>
    </xf>
    <xf numFmtId="44" fontId="2" fillId="7" borderId="7" xfId="1" applyFont="1" applyFill="1" applyBorder="1" applyAlignment="1">
      <alignment horizontal="center"/>
    </xf>
    <xf numFmtId="0" fontId="23" fillId="0" borderId="26" xfId="0" applyFont="1" applyBorder="1" applyAlignment="1">
      <alignment horizontal="center"/>
    </xf>
    <xf numFmtId="44" fontId="23" fillId="0" borderId="0" xfId="1" applyFont="1" applyBorder="1" applyAlignment="1">
      <alignment horizontal="center"/>
    </xf>
    <xf numFmtId="44" fontId="24" fillId="0" borderId="3" xfId="0" applyNumberFormat="1" applyFont="1" applyBorder="1" applyAlignment="1">
      <alignment horizontal="center"/>
    </xf>
    <xf numFmtId="14" fontId="24" fillId="0" borderId="23" xfId="0" applyNumberFormat="1" applyFont="1" applyBorder="1" applyAlignment="1">
      <alignment horizontal="center"/>
    </xf>
    <xf numFmtId="16" fontId="23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/>
    </xf>
    <xf numFmtId="44" fontId="24" fillId="0" borderId="0" xfId="0" applyNumberFormat="1" applyFont="1" applyAlignment="1">
      <alignment horizontal="center"/>
    </xf>
    <xf numFmtId="0" fontId="23" fillId="0" borderId="25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16" fontId="24" fillId="0" borderId="7" xfId="0" applyNumberFormat="1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44" fontId="23" fillId="0" borderId="7" xfId="1" applyFont="1" applyBorder="1" applyAlignment="1">
      <alignment horizontal="center"/>
    </xf>
    <xf numFmtId="16" fontId="23" fillId="0" borderId="7" xfId="0" applyNumberFormat="1" applyFont="1" applyBorder="1" applyAlignment="1">
      <alignment horizontal="center"/>
    </xf>
    <xf numFmtId="14" fontId="24" fillId="0" borderId="7" xfId="0" applyNumberFormat="1" applyFont="1" applyBorder="1" applyAlignment="1">
      <alignment horizontal="center"/>
    </xf>
    <xf numFmtId="44" fontId="24" fillId="0" borderId="7" xfId="0" applyNumberFormat="1" applyFont="1" applyBorder="1" applyAlignment="1">
      <alignment horizontal="center"/>
    </xf>
    <xf numFmtId="44" fontId="24" fillId="0" borderId="9" xfId="0" applyNumberFormat="1" applyFont="1" applyBorder="1" applyAlignment="1">
      <alignment horizontal="center"/>
    </xf>
    <xf numFmtId="0" fontId="28" fillId="0" borderId="5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7" xfId="0" applyFont="1" applyBorder="1" applyAlignment="1">
      <alignment horizontal="center"/>
    </xf>
    <xf numFmtId="14" fontId="24" fillId="0" borderId="59" xfId="0" applyNumberFormat="1" applyFont="1" applyBorder="1" applyAlignment="1">
      <alignment horizontal="center"/>
    </xf>
    <xf numFmtId="44" fontId="23" fillId="0" borderId="0" xfId="1" applyFont="1" applyBorder="1"/>
    <xf numFmtId="0" fontId="29" fillId="0" borderId="26" xfId="0" applyFont="1" applyBorder="1" applyAlignment="1">
      <alignment horizontal="center"/>
    </xf>
    <xf numFmtId="44" fontId="0" fillId="17" borderId="7" xfId="0" applyNumberFormat="1" applyFill="1" applyBorder="1" applyAlignment="1">
      <alignment horizontal="center"/>
    </xf>
    <xf numFmtId="44" fontId="0" fillId="12" borderId="34" xfId="0" applyNumberFormat="1" applyFill="1" applyBorder="1"/>
    <xf numFmtId="44" fontId="0" fillId="7" borderId="59" xfId="0" applyNumberFormat="1" applyFill="1" applyBorder="1" applyAlignment="1">
      <alignment horizontal="center"/>
    </xf>
    <xf numFmtId="44" fontId="24" fillId="7" borderId="23" xfId="0" applyNumberFormat="1" applyFont="1" applyFill="1" applyBorder="1" applyAlignment="1">
      <alignment horizontal="center"/>
    </xf>
    <xf numFmtId="0" fontId="30" fillId="0" borderId="26" xfId="0" applyFont="1" applyBorder="1" applyAlignment="1">
      <alignment horizontal="center"/>
    </xf>
    <xf numFmtId="3" fontId="30" fillId="0" borderId="0" xfId="0" applyNumberFormat="1" applyFont="1" applyAlignment="1">
      <alignment horizontal="center"/>
    </xf>
    <xf numFmtId="16" fontId="28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44" fontId="30" fillId="0" borderId="0" xfId="1" applyFont="1" applyBorder="1" applyAlignment="1">
      <alignment horizontal="center"/>
    </xf>
    <xf numFmtId="16" fontId="30" fillId="0" borderId="0" xfId="0" applyNumberFormat="1" applyFont="1" applyAlignment="1">
      <alignment horizontal="center"/>
    </xf>
    <xf numFmtId="14" fontId="28" fillId="0" borderId="0" xfId="0" applyNumberFormat="1" applyFont="1" applyAlignment="1">
      <alignment horizontal="center"/>
    </xf>
    <xf numFmtId="44" fontId="28" fillId="0" borderId="0" xfId="0" applyNumberFormat="1" applyFont="1" applyAlignment="1">
      <alignment horizontal="center"/>
    </xf>
    <xf numFmtId="44" fontId="28" fillId="0" borderId="3" xfId="0" applyNumberFormat="1" applyFont="1" applyBorder="1" applyAlignment="1">
      <alignment horizontal="center"/>
    </xf>
    <xf numFmtId="3" fontId="30" fillId="0" borderId="59" xfId="0" applyNumberFormat="1" applyFont="1" applyBorder="1" applyAlignment="1">
      <alignment horizontal="center"/>
    </xf>
    <xf numFmtId="16" fontId="28" fillId="0" borderId="59" xfId="0" applyNumberFormat="1" applyFont="1" applyBorder="1" applyAlignment="1">
      <alignment horizontal="center"/>
    </xf>
    <xf numFmtId="0" fontId="30" fillId="0" borderId="59" xfId="0" applyFont="1" applyBorder="1" applyAlignment="1">
      <alignment horizontal="center"/>
    </xf>
    <xf numFmtId="44" fontId="30" fillId="0" borderId="59" xfId="1" applyFont="1" applyBorder="1" applyAlignment="1">
      <alignment horizontal="center"/>
    </xf>
    <xf numFmtId="16" fontId="30" fillId="0" borderId="59" xfId="0" applyNumberFormat="1" applyFont="1" applyBorder="1" applyAlignment="1">
      <alignment horizontal="center"/>
    </xf>
    <xf numFmtId="44" fontId="28" fillId="0" borderId="59" xfId="0" applyNumberFormat="1" applyFont="1" applyBorder="1" applyAlignment="1">
      <alignment horizontal="center"/>
    </xf>
    <xf numFmtId="44" fontId="30" fillId="0" borderId="23" xfId="1" applyFont="1" applyBorder="1" applyAlignment="1">
      <alignment horizontal="center"/>
    </xf>
    <xf numFmtId="44" fontId="30" fillId="0" borderId="7" xfId="1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0" xfId="0" applyFont="1" applyAlignment="1">
      <alignment horizontal="center"/>
    </xf>
    <xf numFmtId="14" fontId="28" fillId="0" borderId="59" xfId="0" applyNumberFormat="1" applyFont="1" applyBorder="1" applyAlignment="1">
      <alignment horizontal="center"/>
    </xf>
    <xf numFmtId="3" fontId="23" fillId="17" borderId="0" xfId="0" applyNumberFormat="1" applyFont="1" applyFill="1" applyAlignment="1">
      <alignment horizontal="center"/>
    </xf>
    <xf numFmtId="0" fontId="24" fillId="17" borderId="0" xfId="0" applyFont="1" applyFill="1" applyAlignment="1">
      <alignment horizontal="center"/>
    </xf>
    <xf numFmtId="16" fontId="24" fillId="17" borderId="0" xfId="0" applyNumberFormat="1" applyFont="1" applyFill="1" applyAlignment="1">
      <alignment horizontal="center"/>
    </xf>
    <xf numFmtId="0" fontId="23" fillId="17" borderId="0" xfId="0" applyFont="1" applyFill="1" applyAlignment="1">
      <alignment horizontal="center"/>
    </xf>
    <xf numFmtId="44" fontId="23" fillId="17" borderId="0" xfId="1" applyFont="1" applyFill="1" applyBorder="1" applyAlignment="1">
      <alignment horizontal="center"/>
    </xf>
    <xf numFmtId="16" fontId="23" fillId="17" borderId="0" xfId="0" applyNumberFormat="1" applyFont="1" applyFill="1" applyAlignment="1">
      <alignment horizontal="center"/>
    </xf>
    <xf numFmtId="3" fontId="23" fillId="0" borderId="73" xfId="0" applyNumberFormat="1" applyFont="1" applyBorder="1" applyAlignment="1">
      <alignment horizontal="center"/>
    </xf>
    <xf numFmtId="0" fontId="24" fillId="0" borderId="73" xfId="0" applyFont="1" applyBorder="1" applyAlignment="1">
      <alignment horizontal="center"/>
    </xf>
    <xf numFmtId="16" fontId="24" fillId="0" borderId="73" xfId="0" applyNumberFormat="1" applyFont="1" applyBorder="1" applyAlignment="1">
      <alignment horizontal="center"/>
    </xf>
    <xf numFmtId="0" fontId="23" fillId="0" borderId="73" xfId="0" applyFont="1" applyBorder="1" applyAlignment="1">
      <alignment horizontal="center"/>
    </xf>
    <xf numFmtId="44" fontId="23" fillId="0" borderId="73" xfId="1" applyFont="1" applyBorder="1" applyAlignment="1">
      <alignment horizontal="center"/>
    </xf>
    <xf numFmtId="16" fontId="23" fillId="0" borderId="73" xfId="0" applyNumberFormat="1" applyFont="1" applyBorder="1" applyAlignment="1">
      <alignment horizontal="center"/>
    </xf>
    <xf numFmtId="0" fontId="23" fillId="0" borderId="46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 wrapText="1"/>
    </xf>
    <xf numFmtId="0" fontId="31" fillId="0" borderId="58" xfId="0" applyFont="1" applyBorder="1" applyAlignment="1">
      <alignment horizontal="center" vertical="top"/>
    </xf>
    <xf numFmtId="0" fontId="31" fillId="0" borderId="58" xfId="0" applyFont="1" applyBorder="1" applyAlignment="1">
      <alignment horizontal="left" vertical="top"/>
    </xf>
    <xf numFmtId="44" fontId="23" fillId="0" borderId="0" xfId="1" applyFont="1" applyBorder="1" applyAlignment="1">
      <alignment horizontal="left"/>
    </xf>
    <xf numFmtId="44" fontId="24" fillId="11" borderId="7" xfId="0" applyNumberFormat="1" applyFont="1" applyFill="1" applyBorder="1" applyAlignment="1">
      <alignment horizontal="center"/>
    </xf>
    <xf numFmtId="16" fontId="23" fillId="0" borderId="22" xfId="0" applyNumberFormat="1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7" xfId="0" applyFont="1" applyBorder="1" applyAlignment="1">
      <alignment horizontal="center"/>
    </xf>
    <xf numFmtId="44" fontId="23" fillId="0" borderId="0" xfId="1" applyFont="1" applyAlignment="1">
      <alignment horizontal="center"/>
    </xf>
    <xf numFmtId="44" fontId="33" fillId="0" borderId="59" xfId="1" applyFont="1" applyBorder="1" applyAlignment="1">
      <alignment horizontal="center"/>
    </xf>
    <xf numFmtId="0" fontId="0" fillId="0" borderId="24" xfId="0" applyBorder="1"/>
    <xf numFmtId="44" fontId="24" fillId="17" borderId="9" xfId="0" applyNumberFormat="1" applyFont="1" applyFill="1" applyBorder="1" applyAlignment="1">
      <alignment horizontal="center"/>
    </xf>
    <xf numFmtId="44" fontId="24" fillId="0" borderId="23" xfId="1" applyFont="1" applyBorder="1" applyAlignment="1">
      <alignment horizontal="center"/>
    </xf>
    <xf numFmtId="3" fontId="23" fillId="19" borderId="59" xfId="0" applyNumberFormat="1" applyFont="1" applyFill="1" applyBorder="1" applyAlignment="1">
      <alignment horizontal="center"/>
    </xf>
    <xf numFmtId="0" fontId="24" fillId="19" borderId="59" xfId="0" applyFont="1" applyFill="1" applyBorder="1" applyAlignment="1">
      <alignment horizontal="center"/>
    </xf>
    <xf numFmtId="16" fontId="24" fillId="19" borderId="59" xfId="0" applyNumberFormat="1" applyFont="1" applyFill="1" applyBorder="1" applyAlignment="1">
      <alignment horizontal="center"/>
    </xf>
    <xf numFmtId="0" fontId="23" fillId="19" borderId="59" xfId="0" applyFont="1" applyFill="1" applyBorder="1" applyAlignment="1">
      <alignment horizontal="center"/>
    </xf>
    <xf numFmtId="44" fontId="23" fillId="19" borderId="59" xfId="1" applyFont="1" applyFill="1" applyBorder="1" applyAlignment="1">
      <alignment horizontal="center"/>
    </xf>
    <xf numFmtId="16" fontId="23" fillId="19" borderId="59" xfId="0" applyNumberFormat="1" applyFont="1" applyFill="1" applyBorder="1" applyAlignment="1">
      <alignment horizontal="center"/>
    </xf>
    <xf numFmtId="3" fontId="23" fillId="19" borderId="23" xfId="0" applyNumberFormat="1" applyFont="1" applyFill="1" applyBorder="1" applyAlignment="1">
      <alignment horizontal="center"/>
    </xf>
    <xf numFmtId="0" fontId="24" fillId="19" borderId="23" xfId="0" applyFont="1" applyFill="1" applyBorder="1" applyAlignment="1">
      <alignment horizontal="center"/>
    </xf>
    <xf numFmtId="16" fontId="24" fillId="19" borderId="23" xfId="0" applyNumberFormat="1" applyFont="1" applyFill="1" applyBorder="1" applyAlignment="1">
      <alignment horizontal="center"/>
    </xf>
    <xf numFmtId="0" fontId="23" fillId="19" borderId="23" xfId="0" applyFont="1" applyFill="1" applyBorder="1" applyAlignment="1">
      <alignment horizontal="center"/>
    </xf>
    <xf numFmtId="16" fontId="23" fillId="19" borderId="23" xfId="0" applyNumberFormat="1" applyFont="1" applyFill="1" applyBorder="1" applyAlignment="1">
      <alignment horizontal="center"/>
    </xf>
    <xf numFmtId="44" fontId="30" fillId="0" borderId="0" xfId="1" applyFont="1" applyAlignment="1">
      <alignment horizontal="center"/>
    </xf>
    <xf numFmtId="44" fontId="23" fillId="19" borderId="23" xfId="1" applyFont="1" applyFill="1" applyBorder="1" applyAlignment="1">
      <alignment horizontal="center"/>
    </xf>
    <xf numFmtId="14" fontId="24" fillId="19" borderId="23" xfId="0" applyNumberFormat="1" applyFont="1" applyFill="1" applyBorder="1" applyAlignment="1">
      <alignment horizontal="center"/>
    </xf>
    <xf numFmtId="3" fontId="23" fillId="19" borderId="7" xfId="0" applyNumberFormat="1" applyFont="1" applyFill="1" applyBorder="1" applyAlignment="1">
      <alignment horizontal="center"/>
    </xf>
    <xf numFmtId="16" fontId="24" fillId="19" borderId="7" xfId="0" applyNumberFormat="1" applyFont="1" applyFill="1" applyBorder="1" applyAlignment="1">
      <alignment horizontal="center"/>
    </xf>
    <xf numFmtId="0" fontId="23" fillId="19" borderId="7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44" fontId="23" fillId="19" borderId="7" xfId="1" applyFont="1" applyFill="1" applyBorder="1" applyAlignment="1">
      <alignment horizontal="center"/>
    </xf>
    <xf numFmtId="16" fontId="23" fillId="19" borderId="7" xfId="0" applyNumberFormat="1" applyFont="1" applyFill="1" applyBorder="1" applyAlignment="1">
      <alignment horizontal="center"/>
    </xf>
    <xf numFmtId="3" fontId="23" fillId="19" borderId="0" xfId="0" applyNumberFormat="1" applyFont="1" applyFill="1" applyAlignment="1">
      <alignment horizontal="center"/>
    </xf>
    <xf numFmtId="0" fontId="24" fillId="19" borderId="0" xfId="0" applyFont="1" applyFill="1" applyAlignment="1">
      <alignment horizontal="center"/>
    </xf>
    <xf numFmtId="16" fontId="24" fillId="19" borderId="0" xfId="0" applyNumberFormat="1" applyFont="1" applyFill="1" applyAlignment="1">
      <alignment horizontal="center"/>
    </xf>
    <xf numFmtId="0" fontId="23" fillId="19" borderId="0" xfId="0" applyFont="1" applyFill="1" applyAlignment="1">
      <alignment horizontal="center"/>
    </xf>
    <xf numFmtId="44" fontId="23" fillId="19" borderId="0" xfId="1" applyFont="1" applyFill="1" applyAlignment="1">
      <alignment horizontal="center"/>
    </xf>
    <xf numFmtId="16" fontId="23" fillId="19" borderId="0" xfId="0" applyNumberFormat="1" applyFont="1" applyFill="1" applyAlignment="1">
      <alignment horizontal="center"/>
    </xf>
    <xf numFmtId="0" fontId="19" fillId="19" borderId="23" xfId="0" applyFont="1" applyFill="1" applyBorder="1" applyAlignment="1">
      <alignment horizontal="center"/>
    </xf>
    <xf numFmtId="0" fontId="19" fillId="19" borderId="0" xfId="0" applyFont="1" applyFill="1" applyAlignment="1">
      <alignment horizontal="center"/>
    </xf>
    <xf numFmtId="44" fontId="30" fillId="19" borderId="0" xfId="1" applyFont="1" applyFill="1" applyAlignment="1">
      <alignment horizontal="center"/>
    </xf>
    <xf numFmtId="0" fontId="2" fillId="0" borderId="73" xfId="0" applyFont="1" applyBorder="1"/>
    <xf numFmtId="44" fontId="2" fillId="0" borderId="73" xfId="0" applyNumberFormat="1" applyFont="1" applyBorder="1"/>
    <xf numFmtId="0" fontId="23" fillId="0" borderId="77" xfId="0" applyFont="1" applyBorder="1" applyAlignment="1">
      <alignment horizontal="center" vertical="top"/>
    </xf>
    <xf numFmtId="0" fontId="23" fillId="0" borderId="78" xfId="0" applyFont="1" applyBorder="1" applyAlignment="1">
      <alignment horizontal="center" vertical="top"/>
    </xf>
    <xf numFmtId="0" fontId="23" fillId="0" borderId="78" xfId="0" applyFont="1" applyBorder="1" applyAlignment="1">
      <alignment horizontal="center" vertical="top" wrapText="1"/>
    </xf>
    <xf numFmtId="0" fontId="23" fillId="0" borderId="79" xfId="0" applyFont="1" applyBorder="1" applyAlignment="1">
      <alignment horizontal="center" vertical="top" wrapText="1"/>
    </xf>
    <xf numFmtId="44" fontId="24" fillId="19" borderId="0" xfId="0" applyNumberFormat="1" applyFont="1" applyFill="1" applyAlignment="1">
      <alignment horizontal="center"/>
    </xf>
    <xf numFmtId="44" fontId="24" fillId="19" borderId="3" xfId="0" applyNumberFormat="1" applyFont="1" applyFill="1" applyBorder="1" applyAlignment="1">
      <alignment horizontal="center"/>
    </xf>
    <xf numFmtId="44" fontId="24" fillId="19" borderId="23" xfId="0" applyNumberFormat="1" applyFont="1" applyFill="1" applyBorder="1" applyAlignment="1">
      <alignment horizontal="center"/>
    </xf>
    <xf numFmtId="44" fontId="24" fillId="19" borderId="24" xfId="0" applyNumberFormat="1" applyFont="1" applyFill="1" applyBorder="1" applyAlignment="1">
      <alignment horizontal="center"/>
    </xf>
    <xf numFmtId="43" fontId="0" fillId="0" borderId="0" xfId="3" applyFont="1"/>
    <xf numFmtId="43" fontId="0" fillId="0" borderId="0" xfId="0" applyNumberFormat="1"/>
    <xf numFmtId="44" fontId="30" fillId="19" borderId="0" xfId="1" applyFont="1" applyFill="1" applyBorder="1" applyAlignment="1">
      <alignment horizontal="center"/>
    </xf>
    <xf numFmtId="44" fontId="30" fillId="19" borderId="59" xfId="1" applyFont="1" applyFill="1" applyBorder="1" applyAlignment="1">
      <alignment horizontal="center"/>
    </xf>
    <xf numFmtId="44" fontId="24" fillId="19" borderId="59" xfId="0" applyNumberFormat="1" applyFont="1" applyFill="1" applyBorder="1" applyAlignment="1">
      <alignment horizontal="center"/>
    </xf>
    <xf numFmtId="44" fontId="24" fillId="19" borderId="60" xfId="0" applyNumberFormat="1" applyFont="1" applyFill="1" applyBorder="1" applyAlignment="1">
      <alignment horizontal="center"/>
    </xf>
    <xf numFmtId="44" fontId="23" fillId="19" borderId="0" xfId="1" applyFont="1" applyFill="1" applyBorder="1"/>
    <xf numFmtId="44" fontId="23" fillId="19" borderId="0" xfId="1" applyFont="1" applyFill="1" applyBorder="1" applyAlignment="1">
      <alignment horizontal="center"/>
    </xf>
    <xf numFmtId="14" fontId="24" fillId="19" borderId="0" xfId="0" applyNumberFormat="1" applyFont="1" applyFill="1" applyAlignment="1">
      <alignment horizontal="center"/>
    </xf>
    <xf numFmtId="0" fontId="23" fillId="19" borderId="26" xfId="0" applyFont="1" applyFill="1" applyBorder="1" applyAlignment="1">
      <alignment horizontal="center"/>
    </xf>
    <xf numFmtId="44" fontId="23" fillId="0" borderId="7" xfId="1" applyFont="1" applyBorder="1"/>
    <xf numFmtId="0" fontId="23" fillId="0" borderId="58" xfId="0" applyFont="1" applyBorder="1" applyAlignment="1">
      <alignment horizontal="center" vertical="top"/>
    </xf>
    <xf numFmtId="0" fontId="23" fillId="0" borderId="59" xfId="0" applyFont="1" applyBorder="1" applyAlignment="1">
      <alignment horizontal="center" vertical="top"/>
    </xf>
    <xf numFmtId="0" fontId="23" fillId="0" borderId="59" xfId="0" applyFont="1" applyBorder="1" applyAlignment="1">
      <alignment horizontal="center" vertical="top" wrapText="1"/>
    </xf>
    <xf numFmtId="0" fontId="23" fillId="0" borderId="60" xfId="0" applyFont="1" applyBorder="1" applyAlignment="1">
      <alignment horizontal="center" vertical="top" wrapText="1"/>
    </xf>
    <xf numFmtId="16" fontId="23" fillId="0" borderId="26" xfId="0" applyNumberFormat="1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24" fillId="9" borderId="59" xfId="0" applyFont="1" applyFill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44" fontId="24" fillId="17" borderId="0" xfId="0" applyNumberFormat="1" applyFont="1" applyFill="1" applyAlignment="1">
      <alignment horizontal="center"/>
    </xf>
    <xf numFmtId="0" fontId="24" fillId="17" borderId="23" xfId="0" applyFont="1" applyFill="1" applyBorder="1" applyAlignment="1">
      <alignment horizontal="center"/>
    </xf>
    <xf numFmtId="0" fontId="24" fillId="17" borderId="59" xfId="0" applyFont="1" applyFill="1" applyBorder="1" applyAlignment="1">
      <alignment horizontal="center"/>
    </xf>
    <xf numFmtId="0" fontId="24" fillId="17" borderId="7" xfId="0" applyFont="1" applyFill="1" applyBorder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7" fontId="0" fillId="0" borderId="0" xfId="0" applyNumberFormat="1"/>
    <xf numFmtId="0" fontId="0" fillId="7" borderId="16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20" xfId="0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0" fillId="0" borderId="2" xfId="0" applyBorder="1"/>
    <xf numFmtId="0" fontId="0" fillId="0" borderId="5" xfId="0" applyBorder="1"/>
    <xf numFmtId="0" fontId="0" fillId="7" borderId="2" xfId="0" applyFill="1" applyBorder="1"/>
    <xf numFmtId="0" fontId="0" fillId="7" borderId="5" xfId="0" applyFill="1" applyBorder="1"/>
    <xf numFmtId="0" fontId="0" fillId="7" borderId="16" xfId="0" applyFill="1" applyBorder="1"/>
    <xf numFmtId="0" fontId="0" fillId="7" borderId="10" xfId="0" applyFill="1" applyBorder="1"/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7" fontId="0" fillId="17" borderId="0" xfId="0" applyNumberFormat="1" applyFill="1"/>
    <xf numFmtId="1" fontId="2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44" fontId="0" fillId="7" borderId="1" xfId="1" applyFont="1" applyFill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44" fontId="0" fillId="7" borderId="5" xfId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10" borderId="28" xfId="0" applyFont="1" applyFill="1" applyBorder="1" applyAlignment="1">
      <alignment horizontal="center"/>
    </xf>
    <xf numFmtId="44" fontId="10" fillId="10" borderId="28" xfId="0" applyNumberFormat="1" applyFont="1" applyFill="1" applyBorder="1" applyAlignment="1">
      <alignment horizontal="center"/>
    </xf>
    <xf numFmtId="0" fontId="2" fillId="9" borderId="23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2" fillId="9" borderId="22" xfId="0" applyFont="1" applyFill="1" applyBorder="1" applyAlignment="1">
      <alignment horizontal="center" vertical="center"/>
    </xf>
    <xf numFmtId="44" fontId="0" fillId="8" borderId="26" xfId="1" applyFont="1" applyFill="1" applyBorder="1" applyAlignment="1">
      <alignment horizontal="center"/>
    </xf>
    <xf numFmtId="44" fontId="0" fillId="8" borderId="3" xfId="1" applyFont="1" applyFill="1" applyBorder="1" applyAlignment="1">
      <alignment horizontal="center"/>
    </xf>
    <xf numFmtId="0" fontId="2" fillId="9" borderId="22" xfId="0" applyFont="1" applyFill="1" applyBorder="1" applyAlignment="1">
      <alignment horizontal="left"/>
    </xf>
    <xf numFmtId="0" fontId="2" fillId="9" borderId="24" xfId="0" applyFont="1" applyFill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" xfId="0" applyBorder="1" applyAlignment="1">
      <alignment horizontal="left"/>
    </xf>
    <xf numFmtId="44" fontId="2" fillId="9" borderId="22" xfId="0" applyNumberFormat="1" applyFont="1" applyFill="1" applyBorder="1" applyAlignment="1">
      <alignment horizontal="center" vertical="center"/>
    </xf>
    <xf numFmtId="44" fontId="0" fillId="0" borderId="26" xfId="1" applyFont="1" applyBorder="1" applyAlignment="1">
      <alignment horizontal="center"/>
    </xf>
    <xf numFmtId="44" fontId="0" fillId="0" borderId="3" xfId="1" applyFont="1" applyBorder="1" applyAlignment="1">
      <alignment horizontal="center"/>
    </xf>
    <xf numFmtId="44" fontId="0" fillId="0" borderId="25" xfId="1" applyFont="1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2" fillId="9" borderId="26" xfId="1" applyFont="1" applyFill="1" applyBorder="1" applyAlignment="1">
      <alignment horizontal="center" vertical="center"/>
    </xf>
    <xf numFmtId="44" fontId="2" fillId="9" borderId="3" xfId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44" fontId="0" fillId="8" borderId="0" xfId="1" applyFont="1" applyFill="1" applyBorder="1" applyAlignment="1">
      <alignment horizontal="center" vertical="center"/>
    </xf>
    <xf numFmtId="44" fontId="0" fillId="8" borderId="3" xfId="1" applyFont="1" applyFill="1" applyBorder="1" applyAlignment="1">
      <alignment horizontal="center" vertical="center"/>
    </xf>
    <xf numFmtId="44" fontId="0" fillId="0" borderId="0" xfId="1" applyFont="1" applyBorder="1" applyAlignment="1">
      <alignment horizontal="center"/>
    </xf>
    <xf numFmtId="44" fontId="2" fillId="9" borderId="0" xfId="1" applyFont="1" applyFill="1" applyBorder="1" applyAlignment="1">
      <alignment horizontal="center" vertical="center"/>
    </xf>
    <xf numFmtId="44" fontId="0" fillId="8" borderId="0" xfId="1" applyFont="1" applyFill="1" applyBorder="1" applyAlignment="1">
      <alignment horizontal="center"/>
    </xf>
    <xf numFmtId="0" fontId="7" fillId="8" borderId="36" xfId="0" applyFont="1" applyFill="1" applyBorder="1" applyAlignment="1">
      <alignment horizontal="left"/>
    </xf>
    <xf numFmtId="0" fontId="7" fillId="8" borderId="37" xfId="0" applyFont="1" applyFill="1" applyBorder="1" applyAlignment="1">
      <alignment horizontal="left"/>
    </xf>
    <xf numFmtId="0" fontId="7" fillId="9" borderId="33" xfId="0" applyFont="1" applyFill="1" applyBorder="1" applyAlignment="1">
      <alignment horizontal="left"/>
    </xf>
    <xf numFmtId="0" fontId="7" fillId="9" borderId="34" xfId="0" applyFont="1" applyFill="1" applyBorder="1" applyAlignment="1">
      <alignment horizontal="left"/>
    </xf>
    <xf numFmtId="44" fontId="2" fillId="9" borderId="22" xfId="1" applyFont="1" applyFill="1" applyBorder="1" applyAlignment="1">
      <alignment horizontal="center" vertical="center"/>
    </xf>
    <xf numFmtId="44" fontId="2" fillId="9" borderId="24" xfId="1" applyFont="1" applyFill="1" applyBorder="1" applyAlignment="1">
      <alignment horizontal="center" vertical="center"/>
    </xf>
    <xf numFmtId="0" fontId="10" fillId="10" borderId="37" xfId="0" applyFont="1" applyFill="1" applyBorder="1" applyAlignment="1">
      <alignment horizontal="center"/>
    </xf>
    <xf numFmtId="44" fontId="10" fillId="10" borderId="37" xfId="0" applyNumberFormat="1" applyFont="1" applyFill="1" applyBorder="1" applyAlignment="1">
      <alignment horizontal="center"/>
    </xf>
    <xf numFmtId="44" fontId="10" fillId="10" borderId="38" xfId="0" applyNumberFormat="1" applyFont="1" applyFill="1" applyBorder="1" applyAlignment="1">
      <alignment horizontal="center"/>
    </xf>
    <xf numFmtId="44" fontId="16" fillId="14" borderId="37" xfId="0" applyNumberFormat="1" applyFont="1" applyFill="1" applyBorder="1" applyAlignment="1">
      <alignment horizontal="center"/>
    </xf>
    <xf numFmtId="44" fontId="16" fillId="14" borderId="38" xfId="0" applyNumberFormat="1" applyFont="1" applyFill="1" applyBorder="1" applyAlignment="1">
      <alignment horizontal="center"/>
    </xf>
    <xf numFmtId="0" fontId="8" fillId="11" borderId="22" xfId="0" applyFont="1" applyFill="1" applyBorder="1" applyAlignment="1">
      <alignment horizontal="center"/>
    </xf>
    <xf numFmtId="0" fontId="8" fillId="11" borderId="23" xfId="0" applyFont="1" applyFill="1" applyBorder="1" applyAlignment="1">
      <alignment horizontal="center"/>
    </xf>
    <xf numFmtId="0" fontId="8" fillId="11" borderId="24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 vertical="center"/>
    </xf>
    <xf numFmtId="0" fontId="2" fillId="12" borderId="61" xfId="0" applyFont="1" applyFill="1" applyBorder="1" applyAlignment="1">
      <alignment horizontal="center" vertical="center"/>
    </xf>
    <xf numFmtId="0" fontId="13" fillId="13" borderId="58" xfId="0" applyFont="1" applyFill="1" applyBorder="1" applyAlignment="1">
      <alignment horizontal="center" vertical="center"/>
    </xf>
    <xf numFmtId="0" fontId="13" fillId="13" borderId="59" xfId="0" applyFont="1" applyFill="1" applyBorder="1" applyAlignment="1">
      <alignment horizontal="center" vertical="center"/>
    </xf>
    <xf numFmtId="0" fontId="13" fillId="13" borderId="60" xfId="0" applyFont="1" applyFill="1" applyBorder="1" applyAlignment="1">
      <alignment horizontal="center" vertical="center"/>
    </xf>
    <xf numFmtId="0" fontId="13" fillId="14" borderId="58" xfId="0" applyFont="1" applyFill="1" applyBorder="1" applyAlignment="1">
      <alignment horizontal="center" vertical="center"/>
    </xf>
    <xf numFmtId="0" fontId="13" fillId="14" borderId="59" xfId="0" applyFont="1" applyFill="1" applyBorder="1" applyAlignment="1">
      <alignment horizontal="center" vertical="center"/>
    </xf>
    <xf numFmtId="0" fontId="13" fillId="14" borderId="60" xfId="0" applyFont="1" applyFill="1" applyBorder="1" applyAlignment="1">
      <alignment horizontal="center" vertical="center"/>
    </xf>
    <xf numFmtId="0" fontId="11" fillId="15" borderId="63" xfId="0" applyFont="1" applyFill="1" applyBorder="1" applyAlignment="1">
      <alignment horizontal="left" vertical="center"/>
    </xf>
    <xf numFmtId="0" fontId="11" fillId="15" borderId="64" xfId="0" applyFont="1" applyFill="1" applyBorder="1" applyAlignment="1">
      <alignment horizontal="left" vertical="center"/>
    </xf>
    <xf numFmtId="0" fontId="14" fillId="12" borderId="36" xfId="0" applyFont="1" applyFill="1" applyBorder="1" applyAlignment="1">
      <alignment horizontal="left"/>
    </xf>
    <xf numFmtId="0" fontId="14" fillId="12" borderId="37" xfId="0" applyFont="1" applyFill="1" applyBorder="1" applyAlignment="1">
      <alignment horizontal="left"/>
    </xf>
    <xf numFmtId="0" fontId="14" fillId="16" borderId="36" xfId="0" applyFont="1" applyFill="1" applyBorder="1" applyAlignment="1">
      <alignment horizontal="left"/>
    </xf>
    <xf numFmtId="0" fontId="14" fillId="16" borderId="37" xfId="0" applyFont="1" applyFill="1" applyBorder="1" applyAlignment="1">
      <alignment horizontal="left"/>
    </xf>
    <xf numFmtId="44" fontId="14" fillId="14" borderId="64" xfId="0" applyNumberFormat="1" applyFont="1" applyFill="1" applyBorder="1" applyAlignment="1">
      <alignment horizontal="center"/>
    </xf>
    <xf numFmtId="0" fontId="14" fillId="14" borderId="64" xfId="0" applyFont="1" applyFill="1" applyBorder="1" applyAlignment="1">
      <alignment horizontal="center"/>
    </xf>
    <xf numFmtId="44" fontId="16" fillId="14" borderId="37" xfId="0" applyNumberFormat="1" applyFont="1" applyFill="1" applyBorder="1" applyAlignment="1">
      <alignment horizontal="left"/>
    </xf>
    <xf numFmtId="0" fontId="25" fillId="11" borderId="22" xfId="0" applyFont="1" applyFill="1" applyBorder="1" applyAlignment="1">
      <alignment horizontal="center"/>
    </xf>
    <xf numFmtId="0" fontId="25" fillId="11" borderId="23" xfId="0" applyFont="1" applyFill="1" applyBorder="1" applyAlignment="1">
      <alignment horizontal="center"/>
    </xf>
    <xf numFmtId="0" fontId="25" fillId="11" borderId="24" xfId="0" applyFont="1" applyFill="1" applyBorder="1" applyAlignment="1">
      <alignment horizontal="center"/>
    </xf>
    <xf numFmtId="0" fontId="25" fillId="11" borderId="25" xfId="0" applyFont="1" applyFill="1" applyBorder="1" applyAlignment="1">
      <alignment horizontal="center"/>
    </xf>
    <xf numFmtId="0" fontId="25" fillId="11" borderId="7" xfId="0" applyFont="1" applyFill="1" applyBorder="1" applyAlignment="1">
      <alignment horizontal="center"/>
    </xf>
    <xf numFmtId="0" fontId="25" fillId="11" borderId="9" xfId="0" applyFont="1" applyFill="1" applyBorder="1" applyAlignment="1">
      <alignment horizontal="center"/>
    </xf>
    <xf numFmtId="0" fontId="26" fillId="13" borderId="58" xfId="0" applyFont="1" applyFill="1" applyBorder="1" applyAlignment="1">
      <alignment horizontal="center" vertical="center"/>
    </xf>
    <xf numFmtId="0" fontId="26" fillId="13" borderId="59" xfId="0" applyFont="1" applyFill="1" applyBorder="1" applyAlignment="1">
      <alignment horizontal="center" vertical="center"/>
    </xf>
    <xf numFmtId="0" fontId="26" fillId="13" borderId="60" xfId="0" applyFont="1" applyFill="1" applyBorder="1" applyAlignment="1">
      <alignment horizontal="center" vertical="center"/>
    </xf>
    <xf numFmtId="0" fontId="26" fillId="14" borderId="58" xfId="0" applyFont="1" applyFill="1" applyBorder="1" applyAlignment="1">
      <alignment horizontal="center" vertical="center"/>
    </xf>
    <xf numFmtId="0" fontId="26" fillId="14" borderId="59" xfId="0" applyFont="1" applyFill="1" applyBorder="1" applyAlignment="1">
      <alignment horizontal="center" vertical="center"/>
    </xf>
    <xf numFmtId="0" fontId="26" fillId="14" borderId="60" xfId="0" applyFont="1" applyFill="1" applyBorder="1" applyAlignment="1">
      <alignment horizontal="center" vertical="center"/>
    </xf>
    <xf numFmtId="0" fontId="14" fillId="12" borderId="33" xfId="0" applyFont="1" applyFill="1" applyBorder="1" applyAlignment="1">
      <alignment horizontal="left"/>
    </xf>
    <xf numFmtId="0" fontId="14" fillId="12" borderId="34" xfId="0" applyFont="1" applyFill="1" applyBorder="1" applyAlignment="1">
      <alignment horizontal="left"/>
    </xf>
    <xf numFmtId="0" fontId="35" fillId="11" borderId="22" xfId="0" applyFont="1" applyFill="1" applyBorder="1" applyAlignment="1">
      <alignment horizontal="center"/>
    </xf>
    <xf numFmtId="0" fontId="35" fillId="11" borderId="23" xfId="0" applyFont="1" applyFill="1" applyBorder="1" applyAlignment="1">
      <alignment horizontal="center"/>
    </xf>
    <xf numFmtId="0" fontId="35" fillId="11" borderId="24" xfId="0" applyFont="1" applyFill="1" applyBorder="1" applyAlignment="1">
      <alignment horizontal="center"/>
    </xf>
    <xf numFmtId="0" fontId="35" fillId="11" borderId="25" xfId="0" applyFont="1" applyFill="1" applyBorder="1" applyAlignment="1">
      <alignment horizontal="center"/>
    </xf>
    <xf numFmtId="0" fontId="35" fillId="11" borderId="7" xfId="0" applyFont="1" applyFill="1" applyBorder="1" applyAlignment="1">
      <alignment horizontal="center"/>
    </xf>
    <xf numFmtId="0" fontId="35" fillId="11" borderId="9" xfId="0" applyFont="1" applyFill="1" applyBorder="1" applyAlignment="1">
      <alignment horizontal="center"/>
    </xf>
    <xf numFmtId="0" fontId="36" fillId="13" borderId="58" xfId="0" applyFont="1" applyFill="1" applyBorder="1" applyAlignment="1">
      <alignment horizontal="center" vertical="center"/>
    </xf>
    <xf numFmtId="0" fontId="36" fillId="13" borderId="59" xfId="0" applyFont="1" applyFill="1" applyBorder="1" applyAlignment="1">
      <alignment horizontal="center" vertical="center"/>
    </xf>
    <xf numFmtId="0" fontId="36" fillId="13" borderId="60" xfId="0" applyFont="1" applyFill="1" applyBorder="1" applyAlignment="1">
      <alignment horizontal="center" vertical="center"/>
    </xf>
    <xf numFmtId="0" fontId="36" fillId="14" borderId="58" xfId="0" applyFont="1" applyFill="1" applyBorder="1" applyAlignment="1">
      <alignment horizontal="center" vertical="center"/>
    </xf>
    <xf numFmtId="0" fontId="36" fillId="14" borderId="59" xfId="0" applyFont="1" applyFill="1" applyBorder="1" applyAlignment="1">
      <alignment horizontal="center" vertical="center"/>
    </xf>
    <xf numFmtId="0" fontId="36" fillId="14" borderId="60" xfId="0" applyFont="1" applyFill="1" applyBorder="1" applyAlignment="1">
      <alignment horizontal="center" vertical="center"/>
    </xf>
    <xf numFmtId="4" fontId="0" fillId="0" borderId="0" xfId="0" applyNumberFormat="1"/>
  </cellXfs>
  <cellStyles count="4">
    <cellStyle name="Moeda" xfId="1" builtinId="4"/>
    <cellStyle name="Normal" xfId="0" builtinId="0"/>
    <cellStyle name="Normal 2" xfId="2" xr:uid="{9999765F-D222-4EC6-B215-92C2D680E997}"/>
    <cellStyle name="Vírgula" xfId="3" builtinId="3"/>
  </cellStyles>
  <dxfs count="302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numFmt numFmtId="11" formatCode="&quot;R$&quot;\ #,##0.00;\-&quot;R$&quot;\ #,##0.00"/>
    </dxf>
    <dxf>
      <numFmt numFmtId="1" formatCode="0"/>
    </dxf>
    <dxf>
      <numFmt numFmtId="19" formatCode="dd/mm/yyyy"/>
    </dxf>
    <dxf>
      <numFmt numFmtId="19" formatCode="dd/mm/yyyy"/>
    </dxf>
    <dxf>
      <numFmt numFmtId="165" formatCode="&quot;R$&quot;\ #,##0.00"/>
    </dxf>
    <dxf>
      <numFmt numFmtId="165" formatCode="&quot;R$&quot;\ #,##0.00"/>
    </dxf>
    <dxf>
      <numFmt numFmtId="19" formatCode="dd/mm/yyyy"/>
    </dxf>
    <dxf>
      <numFmt numFmtId="11" formatCode="&quot;R$&quot;\ #,##0.00;\-&quot;R$&quot;\ #,##0.00"/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9" formatCode="dd/mm/yyyy"/>
    </dxf>
    <dxf>
      <numFmt numFmtId="19" formatCode="dd/mm/yyyy"/>
    </dxf>
    <dxf>
      <numFmt numFmtId="165" formatCode="&quot;R$&quot;\ #,##0.00"/>
    </dxf>
    <dxf>
      <numFmt numFmtId="165" formatCode="&quot;R$&quot;\ #,##0.00"/>
    </dxf>
    <dxf>
      <numFmt numFmtId="19" formatCode="dd/mm/yyyy"/>
    </dxf>
    <dxf>
      <font>
        <b/>
      </font>
      <alignment horizontal="center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theme="1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theme="1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1"/>
        </left>
        <right/>
        <top/>
        <bottom/>
      </border>
    </dxf>
    <dxf>
      <font>
        <b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theme="1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theme="1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1"/>
        </left>
        <right/>
        <top/>
        <bottom/>
      </border>
    </dxf>
    <dxf>
      <font>
        <b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theme="1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theme="1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1"/>
        </left>
        <right/>
        <top/>
        <bottom/>
      </border>
    </dxf>
    <dxf>
      <font>
        <b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theme="1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theme="1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</dxf>
    <dxf>
      <font>
        <b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1"/>
        </left>
        <right/>
        <top/>
        <bottom/>
      </border>
    </dxf>
    <dxf>
      <font>
        <b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d/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numFmt numFmtId="1" formatCode="0"/>
    </dxf>
    <dxf>
      <numFmt numFmtId="19" formatCode="dd/mm/yyyy"/>
    </dxf>
    <dxf>
      <numFmt numFmtId="19" formatCode="dd/mm/yyyy"/>
    </dxf>
    <dxf>
      <numFmt numFmtId="165" formatCode="&quot;R$&quot;\ #,##0.00"/>
    </dxf>
    <dxf>
      <numFmt numFmtId="165" formatCode="&quot;R$&quot;\ #,##0.00"/>
    </dxf>
    <dxf>
      <numFmt numFmtId="19" formatCode="dd/mm/yyyy"/>
    </dxf>
    <dxf>
      <font>
        <b/>
      </font>
      <alignment horizontal="center"/>
    </dxf>
  </dxfs>
  <tableStyles count="0" defaultTableStyle="TableStyleMedium2" defaultPivotStyle="PivotStyleLight16"/>
  <colors>
    <mruColors>
      <color rgb="FFFF9933"/>
      <color rgb="FFFFE69F"/>
      <color rgb="FFFF99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A42D2AF-06A0-C2E6-8934-D8289799B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82" y="214746"/>
          <a:ext cx="734291" cy="414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783D20-13AA-4E4B-847D-EDB11E37E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E4A761-322B-4BA0-B1BA-EB6D23435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3A5D73-CAA6-4F4D-89E7-0A5F5E1D8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FE45F9-D402-4D27-BEF4-D8A6E143E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154459-C175-48F8-A3AA-B10ABFA27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3CB34F-D015-4FE5-9E23-72738B6E5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9B44B3-918D-4C6E-A1A2-14253F594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4C9EC3-FB26-470F-B981-48E2F10BC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B2B7BB-8801-4B63-AD47-231CF4005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977E0E-6B80-4942-A3A3-6B4CA1270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734291</xdr:colOff>
      <xdr:row>3</xdr:row>
      <xdr:rowOff>5365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02E70E-972B-4DB7-91CD-7EB8B7D1D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3361"/>
          <a:ext cx="734291" cy="41684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smart Group comercial" id="{BB942D02-716D-4602-9064-EEDEA328D8A9}" userId="S::smartcomercial@smartgroupnovahartz3.onmicrosoft.com::4efd1df6-b3da-4d4a-a406-18626879745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93B6AB-16ED-4278-B287-377C5E1A1ADA}" name="Tabela2" displayName="Tabela2" ref="B19:M42" tableBorderDxfId="294">
  <autoFilter ref="B19:M42" xr:uid="{1A93B6AB-16ED-4278-B287-377C5E1A1ADA}"/>
  <tableColumns count="12">
    <tableColumn id="1" xr3:uid="{1D4CF7C3-5B02-4F06-94AD-1731D2210C88}" name="NOTA FISCAL" totalsRowLabel="Total" dataDxfId="293"/>
    <tableColumn id="14" xr3:uid="{AE082B62-ABB1-4B9D-BC34-D85390E6E7DF}" name="PEDIDO" dataDxfId="292"/>
    <tableColumn id="2" xr3:uid="{17F0A4DE-6D1E-455D-8BC5-55225283CD50}" name="DATA DE EMISSÃO" dataDxfId="291"/>
    <tableColumn id="3" xr3:uid="{B75DCB60-F1C4-4A7D-9EDE-ED18D31AECB8}" name="DESTINATÁRIO" dataDxfId="290"/>
    <tableColumn id="4" xr3:uid="{2A6DE838-911C-4B13-8BF1-4DC669001475}" name="REPRESENTANTE" dataDxfId="289"/>
    <tableColumn id="5" xr3:uid="{179C49A3-616A-429F-96C0-579F27A55131}" name="VENDA" dataCellStyle="Moeda"/>
    <tableColumn id="6" xr3:uid="{8442CE49-F521-4336-BEB8-E49BABB544BE}" name="MÃO DE OBRA" dataCellStyle="Moeda"/>
    <tableColumn id="7" xr3:uid="{2C3D67D1-EF9B-4606-9AFD-C7A2A3744B8D}" name="VENCIMENTO" dataDxfId="288"/>
    <tableColumn id="8" xr3:uid="{3F7E861B-6946-4DC6-AB88-F2C5E6E09605}" name="DATA DE PAGAMENTO" dataDxfId="287"/>
    <tableColumn id="9" xr3:uid="{30CA0B7C-BE40-4046-A1F8-EE5CAB9A083D}" name="OBS:" dataDxfId="286"/>
    <tableColumn id="10" xr3:uid="{769C3363-5825-4E9A-834C-E03258900BC9}" name="VALOR EM ABERTO" dataDxfId="285"/>
    <tableColumn id="12" xr3:uid="{87C47C62-4A71-4FE3-9485-DD7240DCBEE3}" name="." totalsRowFunction="count" dataDxfId="284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84F4B-69F8-4214-8FC0-91F95FFB5966}" name="Tabela22" displayName="Tabela22" ref="B19:M43" tableBorderDxfId="283">
  <autoFilter ref="B19:M43" xr:uid="{1A93B6AB-16ED-4278-B287-377C5E1A1ADA}"/>
  <tableColumns count="12">
    <tableColumn id="1" xr3:uid="{F20F1BAB-F150-431B-9BB5-A77D3310DA66}" name="NOTA FISCAL" totalsRowLabel="Total" dataDxfId="282"/>
    <tableColumn id="14" xr3:uid="{98025847-23C0-4E3A-BDB0-935506F8AC9A}" name="PEDIDO" dataDxfId="281"/>
    <tableColumn id="2" xr3:uid="{E6B0B0D9-AC7C-4C56-9FC4-13DAF6D3502B}" name="DATA DE EMISSÃO" dataDxfId="280"/>
    <tableColumn id="3" xr3:uid="{029E4D12-6D33-4397-BDCD-2286FDA512EA}" name="DESTINATÁRIO" dataDxfId="279"/>
    <tableColumn id="4" xr3:uid="{00C74F76-BB74-454D-A124-C2F6CEB7BA65}" name="REPREENTANTE" dataDxfId="278"/>
    <tableColumn id="5" xr3:uid="{7391E7AE-1212-4941-AF97-B6950F87068B}" name="VENDA" dataCellStyle="Moeda"/>
    <tableColumn id="6" xr3:uid="{34FDB754-177A-4D7D-BC60-AC4ECC1DEBDC}" name="MÃO DE OBRA" dataCellStyle="Moeda"/>
    <tableColumn id="7" xr3:uid="{A8CECB3D-8E33-4D85-8B2B-60CFA772B7DB}" name="VENCIMENTO" dataDxfId="277"/>
    <tableColumn id="8" xr3:uid="{A87B8271-B308-489C-8C0A-F2ABB154A497}" name="DATA DE PAGAMENTO" dataDxfId="276"/>
    <tableColumn id="9" xr3:uid="{393D5544-DD6A-4B11-B1FB-C18D7B303196}" name="OBS:" dataDxfId="275"/>
    <tableColumn id="10" xr3:uid="{70ADE4EB-89B2-4595-B082-4AD947E35B85}" name="VALOR EM ABERTO" dataDxfId="274"/>
    <tableColumn id="12" xr3:uid="{11773B04-B9E6-4EBF-BCC7-8A9AEC84DB8D}" name="." totalsRowFunction="count" dataDxfId="273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9BA3DB-C6C5-4D2A-9CC5-EE80255E17C5}" name="Tabela224" displayName="Tabela224" ref="B19:M64" tableBorderDxfId="272">
  <autoFilter ref="B19:M64" xr:uid="{1A93B6AB-16ED-4278-B287-377C5E1A1ADA}"/>
  <tableColumns count="12">
    <tableColumn id="1" xr3:uid="{7C1203B0-A218-42DF-B77E-BEF2D1663A30}" name="NOTA FISCAL" totalsRowLabel="Total" dataDxfId="271"/>
    <tableColumn id="14" xr3:uid="{3F7B98E7-FA57-4B66-8293-6F82F7D01944}" name="PEDIDO" dataDxfId="270"/>
    <tableColumn id="2" xr3:uid="{A2B024FB-01E8-4C0C-8A34-AB8F98D653D8}" name="DATA DE EMISSÃO" dataDxfId="269"/>
    <tableColumn id="3" xr3:uid="{2DE32084-C821-4A82-A44F-4ED451F4FF21}" name="DESTINATÁRIO" dataDxfId="268"/>
    <tableColumn id="4" xr3:uid="{CBD9323F-596D-421F-B072-44742881D220}" name="REPRESENTANTE" dataDxfId="267"/>
    <tableColumn id="5" xr3:uid="{75016BDC-447A-4468-A73B-C4687C660E79}" name="VENDA" dataCellStyle="Moeda"/>
    <tableColumn id="6" xr3:uid="{56B2DC20-77A4-45F3-932A-87A62D3CE59A}" name="MÃO DE OBRA" dataCellStyle="Moeda"/>
    <tableColumn id="7" xr3:uid="{920E0F69-AE50-4560-9AA6-A1E9E7C3EE25}" name="VENCIMENTO" dataDxfId="266"/>
    <tableColumn id="8" xr3:uid="{FF3E14E1-E505-42D9-BE6D-7C095F43BA1B}" name="DATA DE PAGAMENTO" dataDxfId="265"/>
    <tableColumn id="9" xr3:uid="{92158CEA-8B43-49D6-88C4-8F9AD98E25B1}" name="OBS:" dataDxfId="264"/>
    <tableColumn id="10" xr3:uid="{2612558E-C93A-406E-BD5B-C61D09E78F6E}" name="VALOR EM ABERTO" dataDxfId="263">
      <calculatedColumnFormula>Tabela224[[#This Row],[VENDA]]+Tabela224[[#This Row],[MÃO DE OBRA]]-M20</calculatedColumnFormula>
    </tableColumn>
    <tableColumn id="12" xr3:uid="{A79B986C-1F3F-4119-9227-953EF640F2C7}" name="VALOR PAGO" totalsRowFunction="count" dataDxfId="262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2D49A8-E933-4CE3-B8D1-5F3C68E4E561}" name="Tabela2246" displayName="Tabela2246" ref="B20:M77" totalsRowCount="1" headerRowBorderDxfId="261" tableBorderDxfId="260">
  <autoFilter ref="B20:M76" xr:uid="{1A93B6AB-16ED-4278-B287-377C5E1A1ADA}"/>
  <tableColumns count="12">
    <tableColumn id="12" xr3:uid="{3499231A-6092-40D2-9A01-5780459D1D5B}" name="EMPRESA" dataDxfId="259" totalsRowDxfId="258"/>
    <tableColumn id="1" xr3:uid="{F0F12B9C-8E35-4F79-8257-82D9B70DF8AC}" name="NOTA FISCAL" totalsRowLabel="Total" dataDxfId="257" totalsRowDxfId="256"/>
    <tableColumn id="14" xr3:uid="{9F27579A-172C-4528-B183-6FD6CF85D08A}" name="PEDIDO" dataDxfId="255" totalsRowDxfId="254"/>
    <tableColumn id="2" xr3:uid="{CEADB3CD-9AB6-4B69-AA77-8CAFF8EE363F}" name="DATA DE EMISSÃO" dataDxfId="253" totalsRowDxfId="252"/>
    <tableColumn id="3" xr3:uid="{8FEFD73C-058C-43FC-962B-2FCCA3E6A6C4}" name="DESTINATÁRIO" dataDxfId="251" totalsRowDxfId="250"/>
    <tableColumn id="4" xr3:uid="{F1AF6501-C5A2-4142-80EB-17763B4F1E37}" name="REPRESENTANTE" dataDxfId="249" totalsRowDxfId="248"/>
    <tableColumn id="5" xr3:uid="{2A51EE89-7F6F-4F09-B7FF-215E963D332B}" name="VENDA" totalsRowFunction="custom" dataDxfId="247" totalsRowDxfId="246" dataCellStyle="Moeda">
      <totalsRowFormula>SUM(H21:H76)</totalsRowFormula>
    </tableColumn>
    <tableColumn id="6" xr3:uid="{A683C6FF-825E-4B22-84AD-B022F4DB883E}" name="MÃO DE OBRA" totalsRowFunction="custom" dataDxfId="245" totalsRowDxfId="244" dataCellStyle="Moeda">
      <totalsRowFormula>SUM(I21:I76)</totalsRowFormula>
    </tableColumn>
    <tableColumn id="7" xr3:uid="{A3A22F5A-7CAA-457A-AF36-91E76E1A245D}" name="VENCIMENTO" dataDxfId="243" totalsRowDxfId="242"/>
    <tableColumn id="8" xr3:uid="{88A4ABA6-5704-4E5F-A64C-E0E196793E8F}" name="DATA DE PAGAMENTO" dataDxfId="241" totalsRowDxfId="240"/>
    <tableColumn id="9" xr3:uid="{7479E7DF-4021-4F1D-A7AE-78B9D67A0D8B}" name="VALOR PAGO" totalsRowFunction="custom" dataDxfId="239" totalsRowDxfId="238">
      <totalsRowFormula>SUM(L21:L76)</totalsRowFormula>
    </tableColumn>
    <tableColumn id="10" xr3:uid="{64EEED29-CA32-4092-8FAC-FDD299794622}" name="VALOR EM ABERTO" totalsRowFunction="custom" dataDxfId="237" totalsRowDxfId="236">
      <calculatedColumnFormula>Tabela2246[[#This Row],[VENDA]]+Tabela2246[[#This Row],[MÃO DE OBRA]]-Tabela2246[[#This Row],[VALOR PAGO]]</calculatedColumnFormula>
      <totalsRowFormula>SUM(M21:M76)</totalsRowFormula>
    </tableColumn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F19E19-4D53-499D-AD9E-B2E6F29AAB52}" name="Tabela22465" displayName="Tabela22465" ref="B20:N51" totalsRowCount="1" headerRowBorderDxfId="235" tableBorderDxfId="234">
  <autoFilter ref="B20:N50" xr:uid="{1A93B6AB-16ED-4278-B287-377C5E1A1ADA}"/>
  <tableColumns count="13">
    <tableColumn id="12" xr3:uid="{7E0D3465-207F-49EF-8CA4-EA8791164266}" name="EMPRESA" dataDxfId="233" totalsRowDxfId="232"/>
    <tableColumn id="1" xr3:uid="{44758C34-8B04-4B66-84E6-D5C81396EC36}" name="NOTA FISCAL" totalsRowLabel="Total" dataDxfId="231" totalsRowDxfId="230"/>
    <tableColumn id="14" xr3:uid="{CDFF9724-E13D-4287-8B99-F8D1AF913E5C}" name="PEDIDO" dataDxfId="229" totalsRowDxfId="228"/>
    <tableColumn id="2" xr3:uid="{6CF3CB44-5781-4555-85A0-9FB93D3819E6}" name="DATA DE EMISSÃO" dataDxfId="227" totalsRowDxfId="226"/>
    <tableColumn id="3" xr3:uid="{C0AE6FDB-DAF5-4070-9863-C16E845D2172}" name="DESTINATÁRIO" dataDxfId="225" totalsRowDxfId="224"/>
    <tableColumn id="4" xr3:uid="{10545E2B-260A-4C22-839A-3CD8E0409A84}" name="REPRESENTANTE" dataDxfId="223" totalsRowDxfId="222"/>
    <tableColumn id="5" xr3:uid="{635CE279-FB49-48FD-86FE-6F02FB0A7855}" name="VENDA" totalsRowFunction="custom" dataDxfId="221" totalsRowDxfId="220" dataCellStyle="Moeda">
      <totalsRowFormula>SUM(H21:H50)</totalsRowFormula>
    </tableColumn>
    <tableColumn id="6" xr3:uid="{81A78969-FDF6-44DD-855E-DFB25255524D}" name="MÃO DE OBRA" totalsRowFunction="custom" dataDxfId="219" totalsRowDxfId="218" dataCellStyle="Moeda">
      <totalsRowFormula>SUM(I21:I50)</totalsRowFormula>
    </tableColumn>
    <tableColumn id="7" xr3:uid="{0308AAC2-6D5F-4F4D-92DB-40CE03672210}" name="VENCIMENTO" dataDxfId="217" totalsRowDxfId="216"/>
    <tableColumn id="8" xr3:uid="{4F1B35DF-89BC-4895-B89C-4B5800746E92}" name="DATA DE PAGAMENTO" dataDxfId="215" totalsRowDxfId="214"/>
    <tableColumn id="9" xr3:uid="{CDC02BB4-7541-45F6-B498-06DEB5A095B4}" name="VALOR PAGO" totalsRowFunction="custom" dataDxfId="213" totalsRowDxfId="212">
      <totalsRowFormula>SUM(L21:L50)</totalsRowFormula>
    </tableColumn>
    <tableColumn id="10" xr3:uid="{C5DF5158-FC56-4CC5-B2E2-208162E4BE90}" name="VALOR EM ABERTO" totalsRowFunction="custom" dataDxfId="211" totalsRowDxfId="210">
      <calculatedColumnFormula>Tabela22465[[#This Row],[VENDA]]+Tabela22465[[#This Row],[MÃO DE OBRA]]-Tabela22465[[#This Row],[VALOR PAGO]]</calculatedColumnFormula>
      <totalsRowFormula>SUM(M21:M50)</totalsRowFormula>
    </tableColumn>
    <tableColumn id="11" xr3:uid="{43C554FD-411C-477E-A57F-8226264ABA6E}" name="Coluna1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F0C379-7BAC-447C-B6AB-FE5F7D521ED0}" name="Tabela224657" displayName="Tabela224657" ref="B20:M53" totalsRowCount="1" headerRowBorderDxfId="209" tableBorderDxfId="208">
  <autoFilter ref="B20:M52" xr:uid="{1A93B6AB-16ED-4278-B287-377C5E1A1ADA}"/>
  <tableColumns count="12">
    <tableColumn id="12" xr3:uid="{23BF8DFF-0A3C-46CA-B37D-7C5441130030}" name="EMPRESA" dataDxfId="207" totalsRowDxfId="206"/>
    <tableColumn id="1" xr3:uid="{883D9731-C782-4A5D-AB57-846E047E2B26}" name="NOTA FISCAL" totalsRowLabel="Total" dataDxfId="205" totalsRowDxfId="204"/>
    <tableColumn id="14" xr3:uid="{5BBE9FDA-0BF8-416E-9263-289D960AB16F}" name="PEDIDO" dataDxfId="203" totalsRowDxfId="202"/>
    <tableColumn id="2" xr3:uid="{6DEEB264-20B9-4E68-BAF6-35891D1CFC64}" name="DATA DE EMISSÃO" dataDxfId="201" totalsRowDxfId="200"/>
    <tableColumn id="3" xr3:uid="{54F893C6-A223-489F-AEB2-0683EAE3773F}" name="DESTINATÁRIO" dataDxfId="199" totalsRowDxfId="198"/>
    <tableColumn id="4" xr3:uid="{93822112-6DB7-432D-8A85-3BBD3FC60086}" name="REPRESENTANTE" dataDxfId="197" totalsRowDxfId="196"/>
    <tableColumn id="5" xr3:uid="{14040861-EDF1-4BBF-A684-5309D8D2C478}" name="VENDA" totalsRowFunction="custom" dataDxfId="195" totalsRowDxfId="194" dataCellStyle="Moeda">
      <totalsRowFormula>SUM(H21:H52)</totalsRowFormula>
    </tableColumn>
    <tableColumn id="6" xr3:uid="{8F4D533E-8657-4207-97D4-830D6295F157}" name="MÃO DE OBRA" totalsRowFunction="custom" dataDxfId="193" totalsRowDxfId="192" dataCellStyle="Moeda">
      <totalsRowFormula>SUM(I21:I52)</totalsRowFormula>
    </tableColumn>
    <tableColumn id="7" xr3:uid="{5CAC1F75-0234-4724-B094-6B80B44FBA38}" name="VENCIMENTO" dataDxfId="191" totalsRowDxfId="190"/>
    <tableColumn id="8" xr3:uid="{28121F56-072A-4969-A7BD-1025283641E1}" name="DATA DE PAGAMENTO" dataDxfId="189" totalsRowDxfId="188"/>
    <tableColumn id="9" xr3:uid="{ABF4059C-8671-4DF3-993E-698253DA1206}" name="VALOR PAGO" totalsRowFunction="custom" dataDxfId="187" totalsRowDxfId="186">
      <totalsRowFormula>SUM(L21:L52)</totalsRowFormula>
    </tableColumn>
    <tableColumn id="10" xr3:uid="{4A5A9798-08AB-47DF-AE5F-3D5E5FCE5115}" name="VALOR EM ABERTO" totalsRowFunction="custom" dataDxfId="185" totalsRowDxfId="184">
      <calculatedColumnFormula>Tabela224657[[#This Row],[VENDA]]+Tabela224657[[#This Row],[MÃO DE OBRA]]-Tabela224657[[#This Row],[VALOR PAGO]]</calculatedColumnFormula>
      <totalsRowFormula>SUM(M21:M52)</totalsRowFormula>
    </tableColumn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B68D11-16B2-4D2E-9FEE-B6DFBA1E4142}" name="Tabela2246578" displayName="Tabela2246578" ref="B20:N67" totalsRowCount="1" headerRowBorderDxfId="183" tableBorderDxfId="182">
  <autoFilter ref="B20:N66" xr:uid="{1A93B6AB-16ED-4278-B287-377C5E1A1ADA}"/>
  <tableColumns count="13">
    <tableColumn id="12" xr3:uid="{6FF1A72D-3B41-436B-8B76-9C3C5286512E}" name="EMPRESA" dataDxfId="181" totalsRowDxfId="180"/>
    <tableColumn id="1" xr3:uid="{625AD38A-69B1-4066-B580-7A163A32EF89}" name="NOTA FISCAL" totalsRowLabel="Total" dataDxfId="179" totalsRowDxfId="178"/>
    <tableColumn id="14" xr3:uid="{F5B90CB7-3C76-436E-9D77-A69C739FAC44}" name="PEDIDO" dataDxfId="177" totalsRowDxfId="176"/>
    <tableColumn id="2" xr3:uid="{C01C449B-8372-43E3-B788-047954762571}" name="DATA DE EMISSÃO" dataDxfId="175" totalsRowDxfId="174"/>
    <tableColumn id="3" xr3:uid="{8B16D767-B6D3-471D-AED5-D81444351A09}" name="DESTINATÁRIO" dataDxfId="173" totalsRowDxfId="172"/>
    <tableColumn id="4" xr3:uid="{F69B985A-FBA0-450B-83C0-A637F02D66E7}" name="REPRESENTANTE" dataDxfId="171" totalsRowDxfId="170"/>
    <tableColumn id="5" xr3:uid="{5FCEFC67-32B5-4C36-B159-337B50C96BEE}" name="VENDA" totalsRowFunction="custom" dataDxfId="169" totalsRowDxfId="168" dataCellStyle="Moeda">
      <totalsRowFormula>SUM(H21:H66)</totalsRowFormula>
    </tableColumn>
    <tableColumn id="6" xr3:uid="{0DC071E4-E797-4ED5-861E-E0DA3A50D6BD}" name="MÃO DE OBRA" totalsRowFunction="custom" dataDxfId="167" totalsRowDxfId="166" dataCellStyle="Moeda">
      <totalsRowFormula>SUM(I21:I66)</totalsRowFormula>
    </tableColumn>
    <tableColumn id="7" xr3:uid="{E2D8EAAB-6BCB-4533-A7AA-3E0E16E025E3}" name="VENCIMENTO" dataDxfId="165" totalsRowDxfId="164"/>
    <tableColumn id="8" xr3:uid="{712563DF-8ECD-4A2F-9EBC-E8668FDEBB9E}" name="DATA DE PAGAMENTO" dataDxfId="163" totalsRowDxfId="162"/>
    <tableColumn id="9" xr3:uid="{27C7155B-8E4E-4285-8E59-91D0A1BAD491}" name="VALOR PAGO" totalsRowFunction="custom" dataDxfId="161" totalsRowDxfId="160">
      <totalsRowFormula>SUM(L21:L66)</totalsRowFormula>
    </tableColumn>
    <tableColumn id="10" xr3:uid="{F668BD67-B4EF-4642-978F-B6771A2A0D78}" name="VALOR EM ABERTO" totalsRowFunction="custom" dataDxfId="159" totalsRowDxfId="158">
      <calculatedColumnFormula>Tabela2246578[[#This Row],[VENDA]]+Tabela2246578[[#This Row],[MÃO DE OBRA]]-Tabela2246578[[#This Row],[VALOR PAGO]]</calculatedColumnFormula>
      <totalsRowFormula>SUM(M21:M66)</totalsRowFormula>
    </tableColumn>
    <tableColumn id="11" xr3:uid="{1B785BB8-C082-4D9E-A683-22DF8F1F7279}" name="Coluna1"/>
  </tableColumns>
  <tableStyleInfo name="TableStyleLight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7768B2-ED46-4B47-BFE1-9AE0FEE34C87}" name="Tabela22465789" displayName="Tabela22465789" ref="B20:N108" totalsRowCount="1" headerRowBorderDxfId="157" tableBorderDxfId="156">
  <autoFilter ref="B20:N107" xr:uid="{1A93B6AB-16ED-4278-B287-377C5E1A1ADA}">
    <filterColumn colId="11">
      <filters>
        <filter val="R$ 1.025,48"/>
        <filter val="R$ 3.739,60"/>
        <filter val="R$ 573,84"/>
      </filters>
    </filterColumn>
  </autoFilter>
  <tableColumns count="13">
    <tableColumn id="12" xr3:uid="{8AE94661-C12D-4D02-9448-CF3113AD5091}" name="EMPRESA" dataDxfId="155" totalsRowDxfId="154"/>
    <tableColumn id="1" xr3:uid="{6458B4FA-2298-4580-ADB8-BF7423978CE2}" name="NOTA FISCAL" dataDxfId="153" totalsRowDxfId="152"/>
    <tableColumn id="14" xr3:uid="{33CF770A-0AFB-4443-B2A7-AC82F8507376}" name="PEDIDO" dataDxfId="151" totalsRowDxfId="150"/>
    <tableColumn id="2" xr3:uid="{9168E6F4-16CD-4F51-B5E7-82E117BE4A55}" name="DATA DE EMISSÃO" dataDxfId="149" totalsRowDxfId="148"/>
    <tableColumn id="3" xr3:uid="{7DA3BBF8-7462-4365-BE35-2FE1F196390C}" name="DESTINATÁRIO" dataDxfId="147" totalsRowDxfId="146"/>
    <tableColumn id="4" xr3:uid="{83BA7EF9-6241-4EA6-A0FF-F741C0660557}" name="REPRESENTANTE" dataDxfId="145" totalsRowDxfId="144"/>
    <tableColumn id="5" xr3:uid="{9C05E9E2-161B-4823-8D7E-4E82A8B92C9D}" name="VENDA" dataDxfId="143" totalsRowDxfId="142" dataCellStyle="Moeda"/>
    <tableColumn id="6" xr3:uid="{5C599D62-BF5D-45FF-93AA-86B1F7614EA6}" name="MÃO DE OBRA" dataDxfId="141" totalsRowDxfId="140" dataCellStyle="Moeda"/>
    <tableColumn id="7" xr3:uid="{ACE5A32A-6479-4223-8F63-5029C28F8DF8}" name="VENCIMENTO" dataDxfId="139" totalsRowDxfId="138"/>
    <tableColumn id="8" xr3:uid="{88EF2F1E-157F-4CA1-84F9-98F659C2993D}" name="DATA DE PAGAMENTO" dataDxfId="137" totalsRowDxfId="136"/>
    <tableColumn id="9" xr3:uid="{9F6FF9F3-28F4-4A8C-8CC7-20011FB7F9AD}" name="VALOR PAGO" dataDxfId="135" totalsRowDxfId="134"/>
    <tableColumn id="10" xr3:uid="{1FBDF91B-F003-4409-8E2B-3FEF23F878FA}" name="VALOR EM ABERTO" dataDxfId="133" totalsRowDxfId="132">
      <calculatedColumnFormula>Tabela22465789[[#This Row],[VENDA]]+Tabela22465789[[#This Row],[MÃO DE OBRA]]-Tabela22465789[[#This Row],[VALOR PAGO]]</calculatedColumnFormula>
    </tableColumn>
    <tableColumn id="11" xr3:uid="{ACCD6910-1293-4C4B-9839-D542A0101491}" name="Coluna1"/>
  </tableColumns>
  <tableStyleInfo name="TableStyleLight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5FA528-D32F-4B34-8954-E794E21C6B4E}" name="Tabela2246578910" displayName="Tabela2246578910" ref="B20:N77" totalsRowCount="1" headerRowBorderDxfId="131" tableBorderDxfId="130">
  <autoFilter ref="B20:N76" xr:uid="{1A93B6AB-16ED-4278-B287-377C5E1A1ADA}"/>
  <tableColumns count="13">
    <tableColumn id="12" xr3:uid="{5E8080B3-5589-4C7D-9115-24FC6F1398FE}" name="EMPRESA" dataDxfId="129" totalsRowDxfId="128"/>
    <tableColumn id="1" xr3:uid="{B15B5185-0F53-465E-A3B7-AA1C11E98F39}" name="NOTA FISCAL" dataDxfId="127" totalsRowDxfId="126"/>
    <tableColumn id="14" xr3:uid="{4C01F3C6-E913-4AA6-B841-2C22B7F630C7}" name="PEDIDO" dataDxfId="125" totalsRowDxfId="124"/>
    <tableColumn id="2" xr3:uid="{598F5745-9BFB-4B85-B6DE-92ACB462CF3D}" name="DATA DE EMISSÃO" dataDxfId="123" totalsRowDxfId="122"/>
    <tableColumn id="3" xr3:uid="{5B96FE0D-862A-42E4-A0AB-BE88722E681D}" name="DESTINATÁRIO" dataDxfId="121" totalsRowDxfId="120"/>
    <tableColumn id="4" xr3:uid="{15E0284F-BFFE-4CE3-BBBB-6DCEFFE5C9A8}" name="REPRESENTANTE" dataDxfId="119" totalsRowDxfId="118"/>
    <tableColumn id="5" xr3:uid="{D83008D8-BFD1-4FBA-82F0-DFFFA1A5EF47}" name="VENDA" dataDxfId="117" totalsRowDxfId="116" dataCellStyle="Moeda"/>
    <tableColumn id="6" xr3:uid="{C24839B0-057C-4EFF-8B43-97C3368A732A}" name="MÃO DE OBRA" dataDxfId="115" totalsRowDxfId="114" dataCellStyle="Moeda"/>
    <tableColumn id="7" xr3:uid="{CAE12DB4-10FF-4307-8FA3-10B82D92A853}" name="VENCIMENTO" dataDxfId="113" totalsRowDxfId="112"/>
    <tableColumn id="8" xr3:uid="{BC4781D4-7FD5-4964-96C6-B73BBB04848D}" name="DATA DE PAGAMENTO" dataDxfId="111" totalsRowDxfId="110"/>
    <tableColumn id="9" xr3:uid="{FFD2BEFF-625D-4FBC-8D33-047F912F5AD5}" name="VALOR PAGO" dataDxfId="109" totalsRowDxfId="108"/>
    <tableColumn id="10" xr3:uid="{F6F748BB-3B03-4CE8-B12A-B39A86DC7B44}" name="VALOR EM ABERTO" dataDxfId="107" totalsRowDxfId="106">
      <calculatedColumnFormula>Tabela2246578910[[#This Row],[VENDA]]+Tabela2246578910[[#This Row],[MÃO DE OBRA]]-Tabela2246578910[[#This Row],[VALOR PAGO]]</calculatedColumnFormula>
    </tableColumn>
    <tableColumn id="11" xr3:uid="{5927E904-5A1B-45C1-A48C-71982C770B15}" name="Coluna1" totalsRowLabel="Referente 160m de devolução da NF22.910 - NF DEVOLUÇÃO: 000.015"/>
  </tableColumns>
  <tableStyleInfo name="TableStyleLight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57807E0-FE25-4B3B-8CB1-30C62F1A10E0}" name="Tabela224657891011" displayName="Tabela224657891011" ref="B20:N81" totalsRowCount="1" headerRowBorderDxfId="105" tableBorderDxfId="104">
  <autoFilter ref="B20:N80" xr:uid="{1A93B6AB-16ED-4278-B287-377C5E1A1ADA}"/>
  <tableColumns count="13">
    <tableColumn id="12" xr3:uid="{B5992ED6-1E8F-4199-933D-5DEE459F96A8}" name="EMPRESA" dataDxfId="103" totalsRowDxfId="102"/>
    <tableColumn id="1" xr3:uid="{8A0C8172-5B91-4D00-B84A-CEEFA89353A7}" name="NOTA FISCAL" dataDxfId="101" totalsRowDxfId="100"/>
    <tableColumn id="14" xr3:uid="{A5A43007-4FDF-4699-B6AF-929FE8C3A213}" name="PEDIDO" dataDxfId="99" totalsRowDxfId="98"/>
    <tableColumn id="2" xr3:uid="{69CB257C-BEF3-425B-8DE3-ADA8CFB3F3A4}" name="DATA DE EMISSÃO" dataDxfId="97" totalsRowDxfId="96"/>
    <tableColumn id="3" xr3:uid="{94478463-D96D-420D-A2E5-E2CDC1A32B91}" name="DESTINATÁRIO" dataDxfId="95" totalsRowDxfId="94"/>
    <tableColumn id="4" xr3:uid="{79788166-DC03-43CE-9DEA-09D597611D4E}" name="REPRESENTANTE" dataDxfId="93" totalsRowDxfId="92"/>
    <tableColumn id="5" xr3:uid="{D1506C97-E82A-42E8-8028-C1EF53551CA7}" name="VENDA" dataDxfId="91" totalsRowDxfId="90" dataCellStyle="Moeda"/>
    <tableColumn id="6" xr3:uid="{CAFAC72E-BDBF-4A13-A398-BCDAE2237442}" name="MÃO DE OBRA" dataDxfId="89" totalsRowDxfId="88" dataCellStyle="Moeda"/>
    <tableColumn id="7" xr3:uid="{FBA68A35-824C-445F-A24F-0C534C183BE7}" name="VENCIMENTO" dataDxfId="87" totalsRowDxfId="86"/>
    <tableColumn id="8" xr3:uid="{AA401B76-1790-4736-8350-C3514D24BBD5}" name="DATA DE PAGAMENTO" dataDxfId="85" totalsRowDxfId="84"/>
    <tableColumn id="9" xr3:uid="{7ECA1A4D-1995-4192-8CC0-2A43A36D6DFE}" name="VALOR PAGO" dataDxfId="83" totalsRowDxfId="82"/>
    <tableColumn id="10" xr3:uid="{2D713E3E-E3D6-4B38-9C2D-65838F15A8CD}" name="VALOR EM ABERTO" dataDxfId="81" totalsRowDxfId="80">
      <calculatedColumnFormula>Tabela224657891011[[#This Row],[VENDA]]+Tabela224657891011[[#This Row],[MÃO DE OBRA]]-Tabela224657891011[[#This Row],[VALOR PAGO]]</calculatedColumnFormula>
    </tableColumn>
    <tableColumn id="11" xr3:uid="{E7171CCF-DE8B-47EE-A5F9-80C0D37EC628}" name="Coluna1"/>
  </tableColumns>
  <tableStyleInfo name="TableStyleLight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057E3B-686C-47A3-8866-F7C5A5B96519}" name="Tabela22465789101112" displayName="Tabela22465789101112" ref="B20:N90" totalsRowCount="1" headerRowBorderDxfId="79" tableBorderDxfId="78">
  <autoFilter ref="B20:N89" xr:uid="{1A93B6AB-16ED-4278-B287-377C5E1A1ADA}"/>
  <tableColumns count="13">
    <tableColumn id="12" xr3:uid="{AF4F89B6-E1A4-42CC-86F6-DF7F162F07AD}" name="EMPRESA" dataDxfId="77" totalsRowDxfId="76"/>
    <tableColumn id="1" xr3:uid="{9C6CD9A5-30B7-4662-8BE2-512A6D8B1A37}" name="NOTA FISCAL" dataDxfId="75" totalsRowDxfId="74"/>
    <tableColumn id="14" xr3:uid="{FF17550D-79BF-41F6-83A3-451CB5CBB91C}" name="PEDIDO" dataDxfId="73" totalsRowDxfId="72"/>
    <tableColumn id="2" xr3:uid="{2546030D-F51C-4A3A-8AA0-669960DC61E7}" name="DATA DE EMISSÃO" dataDxfId="71" totalsRowDxfId="70"/>
    <tableColumn id="3" xr3:uid="{964EBA9E-9B70-4C86-B644-50FC590F8768}" name="DESTINATÁRIO" dataDxfId="69" totalsRowDxfId="68"/>
    <tableColumn id="4" xr3:uid="{053A6C96-5F50-4926-B34B-19686F6EF420}" name="REPRESENTANTE" dataDxfId="67" totalsRowDxfId="66"/>
    <tableColumn id="5" xr3:uid="{1899F001-04D6-49EE-855A-22DC02E73E29}" name="VENDA" dataDxfId="65" totalsRowDxfId="64" dataCellStyle="Moeda"/>
    <tableColumn id="6" xr3:uid="{08119A1D-20DA-4C65-8273-456D5FCB3704}" name="MÃO DE OBRA" dataDxfId="63" totalsRowDxfId="62" dataCellStyle="Moeda"/>
    <tableColumn id="7" xr3:uid="{5CA6F43D-4FA8-46D2-8B4A-6C7C99A0A38A}" name="VENCIMENTO" dataDxfId="61" totalsRowDxfId="60"/>
    <tableColumn id="8" xr3:uid="{85FD37A0-92E8-42F8-A1AD-0D83A61BF79A}" name="DATA DE PAGAMENTO" dataDxfId="59" totalsRowDxfId="58"/>
    <tableColumn id="9" xr3:uid="{12C13702-E910-4278-9819-F5830FE17E87}" name="VALOR PAGO" dataDxfId="57" totalsRowDxfId="56"/>
    <tableColumn id="10" xr3:uid="{B9088B3C-79F3-4CC8-B919-668802B10921}" name="VALOR EM ABERTO" dataDxfId="55" totalsRowDxfId="54">
      <calculatedColumnFormula>Tabela22465789101112[[#This Row],[VENDA]]+Tabela22465789101112[[#This Row],[MÃO DE OBRA]]-Tabela22465789101112[[#This Row],[VALOR PAGO]]</calculatedColumnFormula>
    </tableColumn>
    <tableColumn id="11" xr3:uid="{13EFD90A-83C1-4045-8F94-3E36BECCF287}" name="Coluna1"/>
  </tableColumns>
  <tableStyleInfo name="TableStyleLight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4BD041-E586-4550-995C-FBE01FDF1404}" name="Tabela2246578910111213" displayName="Tabela2246578910111213" ref="B20:N98" totalsRowCount="1" headerRowBorderDxfId="53" tableBorderDxfId="52">
  <autoFilter ref="B20:N97" xr:uid="{1A93B6AB-16ED-4278-B287-377C5E1A1ADA}"/>
  <tableColumns count="13">
    <tableColumn id="12" xr3:uid="{E2F83788-03DA-4B42-830A-38C0C76DD378}" name="EMPRESA" dataDxfId="51" totalsRowDxfId="50"/>
    <tableColumn id="1" xr3:uid="{6DDF8B5E-03FA-4488-B61F-C59781E6BCF3}" name="NOTA FISCAL" dataDxfId="49" totalsRowDxfId="48"/>
    <tableColumn id="14" xr3:uid="{FCEFE0F1-25DD-4B1B-A96E-30F941121585}" name="PEDIDO" dataDxfId="47" totalsRowDxfId="46"/>
    <tableColumn id="2" xr3:uid="{7AA634B8-A533-4054-9424-CD1950E62147}" name="DATA DE EMISSÃO" dataDxfId="45" totalsRowDxfId="44"/>
    <tableColumn id="3" xr3:uid="{33563A04-66FC-42A8-91F7-B3DD090B779C}" name="DESTINATÁRIO" dataDxfId="43" totalsRowDxfId="42"/>
    <tableColumn id="4" xr3:uid="{31844B89-C17E-4BFA-A075-6B60C5ED00CC}" name="REPRESENTANTE" dataDxfId="41" totalsRowDxfId="40"/>
    <tableColumn id="5" xr3:uid="{416D4931-9C33-4AB4-9FBD-DD275FF075EF}" name="VENDA" dataDxfId="39" totalsRowDxfId="38" dataCellStyle="Moeda"/>
    <tableColumn id="6" xr3:uid="{0215506A-56CB-4BA4-B2A0-03DAD5C2CAFB}" name="MÃO DE OBRA" dataDxfId="37" totalsRowDxfId="36" dataCellStyle="Moeda"/>
    <tableColumn id="7" xr3:uid="{F328E177-F7EA-4FCB-AD04-0C0925379F21}" name="VENCIMENTO" dataDxfId="35" totalsRowDxfId="34"/>
    <tableColumn id="8" xr3:uid="{06B23D41-8739-4239-9694-0AC26EFF0CFD}" name="DATA DE PAGAMENTO" dataDxfId="33" totalsRowDxfId="32"/>
    <tableColumn id="9" xr3:uid="{387C9BDE-CCA3-4556-BEB7-A51192EDB7AD}" name="VALOR PAGO" dataDxfId="31" totalsRowDxfId="30"/>
    <tableColumn id="10" xr3:uid="{936D91CB-6124-47C4-91FD-AC5222B32DE2}" name="VALOR EM ABERTO" dataDxfId="29" totalsRowDxfId="28">
      <calculatedColumnFormula>Tabela2246578910111213[[#This Row],[VENDA]]+Tabela2246578910111213[[#This Row],[MÃO DE OBRA]]-Tabela2246578910111213[[#This Row],[VALOR PAGO]]</calculatedColumnFormula>
    </tableColumn>
    <tableColumn id="11" xr3:uid="{A8B42ED5-D6D1-4386-A094-C1B6D6F650A8}" name="Coluna1"/>
  </tableColumns>
  <tableStyleInfo name="TableStyleLight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791A7B0-DBF9-4776-AC6A-C2CC5856D801}" name="BASE_FRETES" displayName="BASE_FRETES" ref="A1:AA958" totalsRowShown="0" headerRowDxfId="27">
  <autoFilter ref="A1:AA958" xr:uid="{3791A7B0-DBF9-4776-AC6A-C2CC5856D801}"/>
  <tableColumns count="27">
    <tableColumn id="1" xr3:uid="{6317C173-48D2-446C-91F9-15C702D8520F}" name="MÊS REF"/>
    <tableColumn id="2" xr3:uid="{3B9D6044-A68B-44B3-BBC4-DD09ACB00A25}" name="ANO"/>
    <tableColumn id="3" xr3:uid="{8D7B148A-32B8-4013-963A-048A1883D6B1}" name="EMPRESA"/>
    <tableColumn id="4" xr3:uid="{069CB972-D9AB-4B73-8130-09470E67B710}" name="NOTA FISCAL"/>
    <tableColumn id="5" xr3:uid="{942DC383-9C6E-4F8A-8396-B26082A2D51D}" name="PEDIDO"/>
    <tableColumn id="6" xr3:uid="{CA5BEB7F-7E14-46E9-8757-AAE75C20AD1E}" name="DATA EMISSÃO" dataDxfId="26"/>
    <tableColumn id="7" xr3:uid="{65559D59-7A5D-45C4-83A2-335D97C01273}" name="DESTINATÁRIO"/>
    <tableColumn id="8" xr3:uid="{9F816EA0-1AB1-4D91-B772-FE69F0F01A0C}" name="DESCRIÇÃO"/>
    <tableColumn id="9" xr3:uid="{85265FC1-AC50-47B0-B14A-C3260469AC7E}" name="REPRESENTANTE"/>
    <tableColumn id="10" xr3:uid="{55987C44-A1D0-4521-9F25-3522ECC6C62C}" name="VENDA" dataDxfId="25"/>
    <tableColumn id="11" xr3:uid="{4E565D6E-0715-45E0-A517-7313C539B0C4}" name="MÃO DE OBRA" dataDxfId="24"/>
    <tableColumn id="12" xr3:uid="{65A7FF5F-83AC-47CC-A524-0D382E3A9E97}" name="TOTAL">
      <calculatedColumnFormula>J2+K2</calculatedColumnFormula>
    </tableColumn>
    <tableColumn id="13" xr3:uid="{A9484F1B-8EBE-40B7-9FD0-0C4B023C8C67}" name="VENCIMENTO" dataDxfId="23"/>
    <tableColumn id="14" xr3:uid="{33C6AB88-3354-400D-8D0D-A6655FFCCABF}" name="DATA DE PAGAMENTO 1" dataDxfId="22"/>
    <tableColumn id="15" xr3:uid="{21877D65-5363-4740-82F0-FD01EFCAD56E}" name="VALOR PAGO 1"/>
    <tableColumn id="16" xr3:uid="{BCE9E14B-0DC1-4A68-8AEF-135A0F2264CB}" name="VALOR EM ABERTO">
      <calculatedColumnFormula>L2-O2</calculatedColumnFormula>
    </tableColumn>
    <tableColumn id="20" xr3:uid="{227F6A6D-8316-43EF-80AF-383A086F1474}" name="DATA DE PAGAMENTO 2" dataDxfId="21"/>
    <tableColumn id="21" xr3:uid="{2D21916F-6C8F-49C5-B1C8-758A3FD44239}" name="VALOR EM ABERTO 2" dataDxfId="20"/>
    <tableColumn id="25" xr3:uid="{1D1AB38F-4FCE-4FFD-9438-37C19DDEFB1C}" name="DATA DE PAGAMENTO 3" dataDxfId="19"/>
    <tableColumn id="24" xr3:uid="{6C896092-4FAB-4983-98EA-CC48AC5E4668}" name="VALOR EM ABERTO 3" dataDxfId="18"/>
    <tableColumn id="27" xr3:uid="{DB0D6BE2-384C-4A00-A2C9-5F8D3E4284D8}" name="DATA DE PAGAMENTO4" dataDxfId="17"/>
    <tableColumn id="26" xr3:uid="{861A23C6-1AAA-40FA-95AC-E4BC9B2D642A}" name="VALOR EM ABERTO 4" dataDxfId="16"/>
    <tableColumn id="29" xr3:uid="{7D7C7E5B-3910-4C1B-9E14-93EE41AF7C9B}" name="DATA DE PAGAMENTO 5" dataDxfId="15"/>
    <tableColumn id="28" xr3:uid="{5C922EC4-30F0-4BE9-BA75-044975B1D1C6}" name="VALOR EM ABERTO 5" dataDxfId="14"/>
    <tableColumn id="17" xr3:uid="{AB0A2FA9-E706-406E-93EB-66FA9E562E62}" name="STATUS">
      <calculatedColumnFormula>IF(L2=0,"SEM VALOR",IF(P2&lt;=0.01,"PAGO",IF(M2="","SEM VENCIMENTO",IF(M2&lt;TODAY(),"VENCIDO","A VENCER"))))</calculatedColumnFormula>
    </tableColumn>
    <tableColumn id="18" xr3:uid="{C1F0AB03-4D02-4EED-8B1E-FDB6939A42FD}" name="OBS"/>
    <tableColumn id="19" xr3:uid="{62A79D1D-95C3-495B-9422-FE94D917E3B6}" name="ORI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6B066F-7FB3-468C-AB37-295456CB9A13}" name="BASE_FRETES15" displayName="BASE_FRETES15" ref="A1:O61" totalsRowCount="1" headerRowDxfId="301">
  <autoFilter ref="A1:O60" xr:uid="{3791A7B0-DBF9-4776-AC6A-C2CC5856D801}"/>
  <sortState xmlns:xlrd2="http://schemas.microsoft.com/office/spreadsheetml/2017/richdata2" ref="A2:O60">
    <sortCondition ref="F2:F60"/>
  </sortState>
  <tableColumns count="15">
    <tableColumn id="1" xr3:uid="{229BC046-2D81-4A83-8BC6-A7BC9FF92A3C}" name="MÊS REF"/>
    <tableColumn id="4" xr3:uid="{E5B8AE62-328A-4FE8-9A90-2415DD9FE045}" name="NOTA FISCAL"/>
    <tableColumn id="5" xr3:uid="{55A16ADD-E490-4553-AD79-2F582EC9D9EB}" name="PEDIDO"/>
    <tableColumn id="6" xr3:uid="{391B4824-590F-45AA-8C6A-B42973A5015C}" name="DATA EMISSÃO" dataDxfId="300" totalsRowDxfId="9"/>
    <tableColumn id="7" xr3:uid="{155D6A31-65E2-452A-9F55-0D89B971F8EE}" name="DESTINATÁRIO"/>
    <tableColumn id="9" xr3:uid="{65C72D0B-B5A5-4FA3-AA33-6FFEF108C4BE}" name="REPRESENTANTE"/>
    <tableColumn id="10" xr3:uid="{AF059DAA-915B-4FD9-A07F-4D896603C7DB}" name="VENDA" dataDxfId="299" totalsRowDxfId="8"/>
    <tableColumn id="11" xr3:uid="{29FBAB77-5D5A-449F-9C71-DC1954327BEF}" name="MÃO DE OBRA" dataDxfId="298" totalsRowDxfId="7"/>
    <tableColumn id="12" xr3:uid="{AB3EE469-E327-4D4E-B578-811B1E348621}" name="TOTAL">
      <calculatedColumnFormula>G2+H2</calculatedColumnFormula>
    </tableColumn>
    <tableColumn id="13" xr3:uid="{F5FEB5D5-E8A4-4C7E-9B17-B92DEA626E5F}" name="VENCIMENTO" dataDxfId="297" totalsRowDxfId="6"/>
    <tableColumn id="14" xr3:uid="{05A462C1-DD38-4993-B597-47AB3DE41FCE}" name="DATA DE PAGAMENTO 1" dataDxfId="296" totalsRowDxfId="5"/>
    <tableColumn id="15" xr3:uid="{D3FDD1BF-1D05-48C1-80F3-EF280E2FBEE7}" name="VALOR PAGO 1"/>
    <tableColumn id="16" xr3:uid="{05AA729B-070F-43E2-A259-8ACCD9250111}" name="VALOR EM ABERTO">
      <calculatedColumnFormula>I2-L2</calculatedColumnFormula>
    </tableColumn>
    <tableColumn id="20" xr3:uid="{73664994-9A7D-4310-9EEE-005AB1883EEF}" name="DIAS ATRASO" dataDxfId="295" totalsRowDxfId="4">
      <calculatedColumnFormula>BASE_FRETES15[[#This Row],[DATA DE PAGAMENTO 1]]-BASE_FRETES15[[#This Row],[VENCIMENTO]]</calculatedColumnFormula>
    </tableColumn>
    <tableColumn id="21" xr3:uid="{D3B9D09D-862B-443B-A3E6-3606F646A416}" name="JUROS" totalsRowFunction="sum" dataDxfId="10" totalsRowDxfId="3">
      <calculatedColumnFormula>BASE_FRETES15[[#This Row],[VALOR PAGO 1]]*0.05/30*BASE_FRETES15[[#This Row],[DIAS ATRASO]]+BASE_FRETES15[[#This Row],[VALOR PAGO 1]]*0.02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6" dT="2026-01-20T13:36:19.79" personId="{BB942D02-716D-4602-9064-EEDEA328D8A9}" id="{FAEE0087-8312-413B-B19F-D2A5A4988F01}">
    <text xml:space="preserve">Credito a favor do cliente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C687E6-F3B6-4240-A438-CE5ECF1FEA5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209e544-c3ad-49ef-99f7-4c81d51b822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1862-463A-4D3C-A740-4D112BBE65CE}">
  <sheetPr filterMode="1"/>
  <dimension ref="A1:N91"/>
  <sheetViews>
    <sheetView topLeftCell="A62" workbookViewId="0">
      <selection sqref="A1:J72"/>
    </sheetView>
  </sheetViews>
  <sheetFormatPr defaultRowHeight="14.4" x14ac:dyDescent="0.3"/>
  <cols>
    <col min="1" max="1" width="12.33203125" bestFit="1" customWidth="1"/>
    <col min="2" max="3" width="15.88671875" bestFit="1" customWidth="1"/>
    <col min="4" max="4" width="27.88671875" bestFit="1" customWidth="1"/>
    <col min="5" max="5" width="16" bestFit="1" customWidth="1"/>
    <col min="6" max="6" width="18.5546875" bestFit="1" customWidth="1"/>
    <col min="7" max="7" width="11.88671875" bestFit="1" customWidth="1"/>
    <col min="8" max="8" width="10.44140625" style="175" bestFit="1" customWidth="1"/>
    <col min="10" max="10" width="15.6640625" bestFit="1" customWidth="1"/>
    <col min="11" max="11" width="12.6640625" bestFit="1" customWidth="1"/>
    <col min="12" max="12" width="14.33203125" bestFit="1" customWidth="1"/>
    <col min="14" max="14" width="13.33203125" bestFit="1" customWidth="1"/>
  </cols>
  <sheetData>
    <row r="1" spans="1:14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5" t="s">
        <v>6</v>
      </c>
      <c r="H1" s="172" t="s">
        <v>7</v>
      </c>
      <c r="I1" s="15" t="s">
        <v>8</v>
      </c>
      <c r="J1" s="16" t="s">
        <v>9</v>
      </c>
      <c r="L1" s="21" t="s">
        <v>26</v>
      </c>
      <c r="N1" t="s">
        <v>27</v>
      </c>
    </row>
    <row r="2" spans="1:14" x14ac:dyDescent="0.3">
      <c r="A2" s="13">
        <v>16412</v>
      </c>
      <c r="B2" s="13" t="s">
        <v>33</v>
      </c>
      <c r="C2" s="13" t="s">
        <v>26</v>
      </c>
      <c r="D2" s="13" t="s">
        <v>35</v>
      </c>
      <c r="E2" s="14"/>
      <c r="F2" s="14">
        <v>365.03</v>
      </c>
      <c r="G2" s="12" t="s">
        <v>36</v>
      </c>
      <c r="H2" s="173">
        <v>45691</v>
      </c>
      <c r="I2" s="12"/>
      <c r="J2" s="14"/>
      <c r="L2" s="20">
        <f>F73</f>
        <v>28250.659999999996</v>
      </c>
    </row>
    <row r="3" spans="1:14" x14ac:dyDescent="0.3">
      <c r="A3" s="563">
        <v>16437</v>
      </c>
      <c r="B3" s="563" t="s">
        <v>32</v>
      </c>
      <c r="C3" s="563" t="s">
        <v>26</v>
      </c>
      <c r="D3" s="563" t="s">
        <v>37</v>
      </c>
      <c r="E3" s="14"/>
      <c r="F3" s="14">
        <v>137.16999999999999</v>
      </c>
      <c r="G3" s="12" t="s">
        <v>38</v>
      </c>
      <c r="H3" s="173">
        <v>45691</v>
      </c>
      <c r="I3" s="12"/>
      <c r="J3" s="14"/>
    </row>
    <row r="4" spans="1:14" ht="14.25" customHeight="1" x14ac:dyDescent="0.3">
      <c r="A4" s="564"/>
      <c r="B4" s="564"/>
      <c r="C4" s="564"/>
      <c r="D4" s="564"/>
      <c r="E4" s="14"/>
      <c r="F4" s="14">
        <v>136</v>
      </c>
      <c r="G4" s="12" t="s">
        <v>39</v>
      </c>
      <c r="H4" s="173">
        <v>45698</v>
      </c>
      <c r="I4" s="12"/>
      <c r="J4" s="14"/>
    </row>
    <row r="5" spans="1:14" x14ac:dyDescent="0.3">
      <c r="A5" s="35"/>
      <c r="B5" s="35"/>
      <c r="C5" s="35"/>
      <c r="D5" s="35"/>
      <c r="E5" s="14"/>
      <c r="F5" s="14">
        <v>136</v>
      </c>
      <c r="G5" s="12" t="s">
        <v>40</v>
      </c>
      <c r="H5" s="173">
        <v>45708</v>
      </c>
      <c r="I5" s="12"/>
      <c r="J5" s="14"/>
    </row>
    <row r="6" spans="1:14" x14ac:dyDescent="0.3">
      <c r="A6" s="563">
        <v>16488</v>
      </c>
      <c r="B6" s="563" t="s">
        <v>41</v>
      </c>
      <c r="C6" s="563" t="s">
        <v>26</v>
      </c>
      <c r="D6" s="11"/>
      <c r="E6" s="14"/>
      <c r="F6" s="14">
        <v>89.65</v>
      </c>
      <c r="G6" s="12" t="s">
        <v>42</v>
      </c>
      <c r="H6" s="173">
        <v>45698</v>
      </c>
      <c r="I6" s="12"/>
      <c r="J6" s="14"/>
    </row>
    <row r="7" spans="1:14" x14ac:dyDescent="0.3">
      <c r="A7" s="564"/>
      <c r="B7" s="564"/>
      <c r="C7" s="564"/>
      <c r="D7" s="11"/>
      <c r="E7" s="14"/>
      <c r="F7" s="14">
        <v>88</v>
      </c>
      <c r="G7" s="12" t="s">
        <v>43</v>
      </c>
      <c r="H7" s="173">
        <v>45706</v>
      </c>
      <c r="I7" s="12"/>
      <c r="J7" s="14"/>
    </row>
    <row r="8" spans="1:14" x14ac:dyDescent="0.3">
      <c r="A8" s="35"/>
      <c r="B8" s="35"/>
      <c r="C8" s="35"/>
      <c r="D8" s="11"/>
      <c r="E8" s="14"/>
      <c r="F8" s="14">
        <v>88</v>
      </c>
      <c r="G8" s="12" t="s">
        <v>44</v>
      </c>
      <c r="H8" s="173">
        <v>45713</v>
      </c>
      <c r="I8" s="12"/>
      <c r="J8" s="14"/>
    </row>
    <row r="9" spans="1:14" x14ac:dyDescent="0.3">
      <c r="A9" s="11">
        <v>16540</v>
      </c>
      <c r="B9" s="11" t="s">
        <v>45</v>
      </c>
      <c r="C9" s="11" t="s">
        <v>26</v>
      </c>
      <c r="D9" s="11" t="s">
        <v>47</v>
      </c>
      <c r="E9" s="14"/>
      <c r="F9" s="14">
        <v>135.24</v>
      </c>
      <c r="G9" s="12" t="s">
        <v>46</v>
      </c>
      <c r="H9" s="173">
        <v>45698</v>
      </c>
      <c r="I9" s="12"/>
      <c r="J9" s="14"/>
    </row>
    <row r="10" spans="1:14" x14ac:dyDescent="0.3">
      <c r="A10" s="11">
        <v>16542</v>
      </c>
      <c r="B10" s="11" t="s">
        <v>45</v>
      </c>
      <c r="C10" s="11" t="s">
        <v>26</v>
      </c>
      <c r="D10" s="11" t="s">
        <v>48</v>
      </c>
      <c r="E10" s="14"/>
      <c r="F10" s="14">
        <v>267.38</v>
      </c>
      <c r="G10" s="12" t="s">
        <v>46</v>
      </c>
      <c r="H10" s="173">
        <v>45698</v>
      </c>
      <c r="I10" s="12"/>
      <c r="J10" s="14"/>
    </row>
    <row r="11" spans="1:14" x14ac:dyDescent="0.3">
      <c r="A11" s="563">
        <v>16541</v>
      </c>
      <c r="B11" s="563" t="s">
        <v>45</v>
      </c>
      <c r="C11" s="563" t="s">
        <v>26</v>
      </c>
      <c r="D11" s="563" t="s">
        <v>48</v>
      </c>
      <c r="E11" s="14"/>
      <c r="F11" s="14">
        <v>423.78</v>
      </c>
      <c r="G11" s="12" t="s">
        <v>46</v>
      </c>
      <c r="H11" s="173">
        <v>45698</v>
      </c>
      <c r="I11" s="12"/>
      <c r="J11" s="14"/>
    </row>
    <row r="12" spans="1:14" x14ac:dyDescent="0.3">
      <c r="A12" s="564"/>
      <c r="B12" s="564"/>
      <c r="C12" s="564"/>
      <c r="D12" s="564"/>
      <c r="E12" s="14"/>
      <c r="F12" s="14">
        <v>423.78</v>
      </c>
      <c r="G12" s="12" t="s">
        <v>49</v>
      </c>
      <c r="H12" s="173">
        <v>45698</v>
      </c>
      <c r="I12" s="12"/>
      <c r="J12" s="14"/>
    </row>
    <row r="13" spans="1:14" x14ac:dyDescent="0.3">
      <c r="A13" s="35"/>
      <c r="B13" s="35"/>
      <c r="C13" s="35"/>
      <c r="D13" s="35"/>
      <c r="E13" s="14"/>
      <c r="F13" s="14">
        <v>423.78</v>
      </c>
      <c r="G13" s="12" t="s">
        <v>50</v>
      </c>
      <c r="H13" s="173">
        <v>45698</v>
      </c>
      <c r="I13" s="12"/>
      <c r="J13" s="14"/>
    </row>
    <row r="14" spans="1:14" x14ac:dyDescent="0.3">
      <c r="A14" s="563">
        <v>16545</v>
      </c>
      <c r="B14" s="563" t="s">
        <v>51</v>
      </c>
      <c r="C14" s="563" t="s">
        <v>26</v>
      </c>
      <c r="D14" s="563" t="s">
        <v>37</v>
      </c>
      <c r="E14" s="14"/>
      <c r="F14" s="14">
        <v>1093.78</v>
      </c>
      <c r="G14" s="12" t="s">
        <v>52</v>
      </c>
      <c r="H14" s="173">
        <v>45706</v>
      </c>
      <c r="I14" s="12"/>
      <c r="J14" s="14"/>
    </row>
    <row r="15" spans="1:14" x14ac:dyDescent="0.3">
      <c r="A15" s="564"/>
      <c r="B15" s="564"/>
      <c r="C15" s="564"/>
      <c r="D15" s="564"/>
      <c r="E15" s="14"/>
      <c r="F15" s="14">
        <v>1091</v>
      </c>
      <c r="G15" s="12" t="s">
        <v>53</v>
      </c>
      <c r="H15" s="173">
        <v>45712</v>
      </c>
      <c r="I15" s="12"/>
      <c r="J15" s="14"/>
    </row>
    <row r="16" spans="1:14" x14ac:dyDescent="0.3">
      <c r="A16" s="35"/>
      <c r="B16" s="35"/>
      <c r="C16" s="35"/>
      <c r="D16" s="35"/>
      <c r="E16" s="14"/>
      <c r="F16" s="14">
        <v>1091</v>
      </c>
      <c r="G16" s="12" t="s">
        <v>54</v>
      </c>
      <c r="H16" s="173">
        <v>45721</v>
      </c>
      <c r="I16" s="12"/>
      <c r="J16" s="14"/>
    </row>
    <row r="17" spans="1:10" x14ac:dyDescent="0.3">
      <c r="A17" s="563">
        <v>16575</v>
      </c>
      <c r="B17" s="563" t="s">
        <v>55</v>
      </c>
      <c r="C17" s="563" t="s">
        <v>26</v>
      </c>
      <c r="D17" s="563" t="s">
        <v>37</v>
      </c>
      <c r="E17" s="14"/>
      <c r="F17" s="14">
        <v>319.93</v>
      </c>
      <c r="G17" s="12" t="s">
        <v>43</v>
      </c>
      <c r="H17" s="173">
        <v>45706</v>
      </c>
      <c r="I17" s="12"/>
      <c r="J17" s="14"/>
    </row>
    <row r="18" spans="1:10" x14ac:dyDescent="0.3">
      <c r="A18" s="564"/>
      <c r="B18" s="564"/>
      <c r="C18" s="564"/>
      <c r="D18" s="564"/>
      <c r="E18" s="14"/>
      <c r="F18" s="14">
        <v>317</v>
      </c>
      <c r="G18" s="12" t="s">
        <v>44</v>
      </c>
      <c r="H18" s="173">
        <v>45713</v>
      </c>
      <c r="I18" s="12"/>
      <c r="J18" s="14"/>
    </row>
    <row r="19" spans="1:10" x14ac:dyDescent="0.3">
      <c r="A19" s="35"/>
      <c r="B19" s="35"/>
      <c r="C19" s="35"/>
      <c r="D19" s="35"/>
      <c r="E19" s="14"/>
      <c r="F19" s="14">
        <v>317</v>
      </c>
      <c r="G19" s="12" t="s">
        <v>56</v>
      </c>
      <c r="H19" s="173">
        <v>45721</v>
      </c>
      <c r="I19" s="12"/>
      <c r="J19" s="14"/>
    </row>
    <row r="20" spans="1:10" x14ac:dyDescent="0.3">
      <c r="A20" s="563">
        <v>16600</v>
      </c>
      <c r="B20" s="563" t="s">
        <v>57</v>
      </c>
      <c r="C20" s="563" t="s">
        <v>26</v>
      </c>
      <c r="D20" s="563" t="s">
        <v>58</v>
      </c>
      <c r="E20" s="14"/>
      <c r="F20" s="14">
        <v>361.31</v>
      </c>
      <c r="G20" s="12" t="s">
        <v>59</v>
      </c>
      <c r="H20" s="173">
        <v>45706</v>
      </c>
      <c r="I20" s="12"/>
      <c r="J20" s="14"/>
    </row>
    <row r="21" spans="1:10" x14ac:dyDescent="0.3">
      <c r="A21" s="564"/>
      <c r="B21" s="564"/>
      <c r="C21" s="564"/>
      <c r="D21" s="564"/>
      <c r="E21" s="14"/>
      <c r="F21" s="14">
        <v>361</v>
      </c>
      <c r="G21" s="12" t="s">
        <v>60</v>
      </c>
      <c r="H21" s="173">
        <v>45714</v>
      </c>
      <c r="I21" s="12"/>
      <c r="J21" s="14"/>
    </row>
    <row r="22" spans="1:10" x14ac:dyDescent="0.3">
      <c r="A22" s="35"/>
      <c r="B22" s="35"/>
      <c r="C22" s="35"/>
      <c r="D22" s="35"/>
      <c r="E22" s="14"/>
      <c r="F22" s="14">
        <v>361</v>
      </c>
      <c r="G22" s="12" t="s">
        <v>61</v>
      </c>
      <c r="H22" s="173">
        <v>45721</v>
      </c>
      <c r="I22" s="12"/>
      <c r="J22" s="14"/>
    </row>
    <row r="23" spans="1:10" x14ac:dyDescent="0.3">
      <c r="A23" s="11">
        <v>16615</v>
      </c>
      <c r="B23" s="11" t="s">
        <v>62</v>
      </c>
      <c r="C23" s="11" t="s">
        <v>26</v>
      </c>
      <c r="D23" s="11" t="s">
        <v>37</v>
      </c>
      <c r="E23" s="14"/>
      <c r="F23" s="14">
        <v>138</v>
      </c>
      <c r="G23" s="12" t="s">
        <v>40</v>
      </c>
      <c r="H23" s="173">
        <v>45708</v>
      </c>
      <c r="I23" s="12"/>
      <c r="J23" s="14"/>
    </row>
    <row r="24" spans="1:10" x14ac:dyDescent="0.3">
      <c r="A24" s="563">
        <v>16616</v>
      </c>
      <c r="B24" s="563" t="s">
        <v>62</v>
      </c>
      <c r="C24" s="563" t="s">
        <v>26</v>
      </c>
      <c r="D24" s="563" t="s">
        <v>37</v>
      </c>
      <c r="E24" s="14"/>
      <c r="F24" s="14">
        <v>374.96</v>
      </c>
      <c r="G24" s="12" t="s">
        <v>40</v>
      </c>
      <c r="H24" s="173">
        <v>45708</v>
      </c>
      <c r="I24" s="12"/>
      <c r="J24" s="14"/>
    </row>
    <row r="25" spans="1:10" x14ac:dyDescent="0.3">
      <c r="A25" s="564"/>
      <c r="B25" s="564"/>
      <c r="C25" s="564"/>
      <c r="D25" s="564"/>
      <c r="E25" s="14"/>
      <c r="F25" s="14">
        <v>373</v>
      </c>
      <c r="G25" s="12" t="s">
        <v>63</v>
      </c>
      <c r="H25" s="173">
        <v>45715</v>
      </c>
      <c r="I25" s="12"/>
      <c r="J25" s="14"/>
    </row>
    <row r="26" spans="1:10" x14ac:dyDescent="0.3">
      <c r="A26" s="35"/>
      <c r="B26" s="35"/>
      <c r="C26" s="35"/>
      <c r="D26" s="35"/>
      <c r="E26" s="14"/>
      <c r="F26" s="14">
        <v>373</v>
      </c>
      <c r="G26" s="12" t="s">
        <v>64</v>
      </c>
      <c r="H26" s="173">
        <v>45722</v>
      </c>
      <c r="I26" s="12"/>
      <c r="J26" s="14"/>
    </row>
    <row r="27" spans="1:10" x14ac:dyDescent="0.3">
      <c r="A27" s="563">
        <v>16618</v>
      </c>
      <c r="B27" s="563" t="s">
        <v>62</v>
      </c>
      <c r="C27" s="563" t="s">
        <v>26</v>
      </c>
      <c r="D27" s="563" t="s">
        <v>65</v>
      </c>
      <c r="E27" s="14"/>
      <c r="F27" s="14">
        <v>472.5</v>
      </c>
      <c r="G27" s="12" t="s">
        <v>40</v>
      </c>
      <c r="H27" s="173">
        <v>45708</v>
      </c>
      <c r="I27" s="12"/>
      <c r="J27" s="14"/>
    </row>
    <row r="28" spans="1:10" x14ac:dyDescent="0.3">
      <c r="A28" s="564"/>
      <c r="B28" s="564"/>
      <c r="C28" s="564"/>
      <c r="D28" s="564"/>
      <c r="E28" s="14"/>
      <c r="F28" s="14">
        <v>470</v>
      </c>
      <c r="G28" s="12" t="s">
        <v>63</v>
      </c>
      <c r="H28" s="173">
        <v>45715</v>
      </c>
      <c r="I28" s="12"/>
      <c r="J28" s="14"/>
    </row>
    <row r="29" spans="1:10" x14ac:dyDescent="0.3">
      <c r="A29" s="35"/>
      <c r="B29" s="35"/>
      <c r="C29" s="35"/>
      <c r="D29" s="35"/>
      <c r="E29" s="14"/>
      <c r="F29" s="14">
        <v>470</v>
      </c>
      <c r="G29" s="12" t="s">
        <v>64</v>
      </c>
      <c r="H29" s="173">
        <v>45722</v>
      </c>
      <c r="I29" s="12"/>
      <c r="J29" s="14"/>
    </row>
    <row r="30" spans="1:10" x14ac:dyDescent="0.3">
      <c r="A30" s="563">
        <v>16619</v>
      </c>
      <c r="B30" s="563" t="s">
        <v>62</v>
      </c>
      <c r="C30" s="563" t="s">
        <v>26</v>
      </c>
      <c r="D30" s="563" t="s">
        <v>65</v>
      </c>
      <c r="E30" s="14"/>
      <c r="F30" s="14">
        <v>468.13</v>
      </c>
      <c r="G30" s="12" t="s">
        <v>40</v>
      </c>
      <c r="H30" s="173">
        <v>45708</v>
      </c>
      <c r="I30" s="12"/>
      <c r="J30" s="14"/>
    </row>
    <row r="31" spans="1:10" x14ac:dyDescent="0.3">
      <c r="A31" s="564"/>
      <c r="B31" s="564"/>
      <c r="C31" s="564"/>
      <c r="D31" s="564"/>
      <c r="E31" s="14"/>
      <c r="F31" s="14">
        <v>468</v>
      </c>
      <c r="G31" s="12" t="s">
        <v>63</v>
      </c>
      <c r="H31" s="173">
        <v>45715</v>
      </c>
      <c r="I31" s="12"/>
      <c r="J31" s="14"/>
    </row>
    <row r="32" spans="1:10" x14ac:dyDescent="0.3">
      <c r="A32" s="35"/>
      <c r="B32" s="35"/>
      <c r="C32" s="35"/>
      <c r="D32" s="35"/>
      <c r="E32" s="14"/>
      <c r="F32" s="14">
        <v>468</v>
      </c>
      <c r="G32" s="12" t="s">
        <v>64</v>
      </c>
      <c r="H32" s="173">
        <v>45722</v>
      </c>
      <c r="I32" s="12"/>
      <c r="J32" s="14"/>
    </row>
    <row r="33" spans="1:11" ht="14.4" hidden="1" customHeight="1" x14ac:dyDescent="0.3">
      <c r="A33" s="40" t="s">
        <v>66</v>
      </c>
      <c r="B33" s="40" t="s">
        <v>67</v>
      </c>
      <c r="C33" s="40" t="s">
        <v>68</v>
      </c>
      <c r="D33" s="40" t="s">
        <v>74</v>
      </c>
      <c r="E33" s="14">
        <v>2637</v>
      </c>
      <c r="F33" s="14"/>
      <c r="G33" s="12" t="s">
        <v>40</v>
      </c>
      <c r="H33" s="173"/>
      <c r="I33" s="12"/>
      <c r="J33" s="14">
        <f>E33</f>
        <v>2637</v>
      </c>
      <c r="K33" t="s">
        <v>245</v>
      </c>
    </row>
    <row r="34" spans="1:11" x14ac:dyDescent="0.3">
      <c r="A34" s="564"/>
      <c r="B34" s="564"/>
      <c r="C34" s="564"/>
      <c r="D34" s="564"/>
      <c r="E34" s="14">
        <v>3800</v>
      </c>
      <c r="F34" s="14"/>
      <c r="G34" s="12" t="s">
        <v>69</v>
      </c>
      <c r="H34" s="173"/>
      <c r="I34" s="12"/>
      <c r="J34" s="14">
        <f t="shared" ref="J34:J38" si="0">E34</f>
        <v>3800</v>
      </c>
      <c r="K34" t="s">
        <v>245</v>
      </c>
    </row>
    <row r="35" spans="1:11" x14ac:dyDescent="0.3">
      <c r="A35" s="564"/>
      <c r="B35" s="564"/>
      <c r="C35" s="564"/>
      <c r="D35" s="564"/>
      <c r="E35" s="14">
        <v>3800</v>
      </c>
      <c r="F35" s="14"/>
      <c r="G35" s="12" t="s">
        <v>70</v>
      </c>
      <c r="H35" s="173"/>
      <c r="I35" s="12"/>
      <c r="J35" s="14">
        <f t="shared" si="0"/>
        <v>3800</v>
      </c>
      <c r="K35" t="s">
        <v>245</v>
      </c>
    </row>
    <row r="36" spans="1:11" x14ac:dyDescent="0.3">
      <c r="A36" s="564"/>
      <c r="B36" s="564"/>
      <c r="C36" s="564"/>
      <c r="D36" s="564"/>
      <c r="E36" s="14">
        <v>3800</v>
      </c>
      <c r="F36" s="14"/>
      <c r="G36" s="12" t="s">
        <v>71</v>
      </c>
      <c r="H36" s="173"/>
      <c r="I36" s="12"/>
      <c r="J36" s="14">
        <f t="shared" si="0"/>
        <v>3800</v>
      </c>
      <c r="K36" t="s">
        <v>245</v>
      </c>
    </row>
    <row r="37" spans="1:11" x14ac:dyDescent="0.3">
      <c r="A37" s="564"/>
      <c r="B37" s="564"/>
      <c r="C37" s="564"/>
      <c r="D37" s="564"/>
      <c r="E37" s="14">
        <v>3800</v>
      </c>
      <c r="F37" s="14"/>
      <c r="G37" s="12" t="s">
        <v>72</v>
      </c>
      <c r="H37" s="173"/>
      <c r="I37" s="12"/>
      <c r="J37" s="14">
        <f t="shared" si="0"/>
        <v>3800</v>
      </c>
      <c r="K37" t="s">
        <v>245</v>
      </c>
    </row>
    <row r="38" spans="1:11" x14ac:dyDescent="0.3">
      <c r="A38" s="35"/>
      <c r="B38" s="35"/>
      <c r="C38" s="35"/>
      <c r="D38" s="35"/>
      <c r="E38" s="14">
        <v>3800</v>
      </c>
      <c r="F38" s="14"/>
      <c r="G38" s="12" t="s">
        <v>73</v>
      </c>
      <c r="H38" s="173"/>
      <c r="I38" s="12"/>
      <c r="J38" s="14">
        <f t="shared" si="0"/>
        <v>3800</v>
      </c>
      <c r="K38" t="s">
        <v>245</v>
      </c>
    </row>
    <row r="39" spans="1:11" x14ac:dyDescent="0.3">
      <c r="A39" s="563">
        <v>16639</v>
      </c>
      <c r="B39" s="563" t="s">
        <v>67</v>
      </c>
      <c r="C39" s="563" t="s">
        <v>26</v>
      </c>
      <c r="D39" s="563" t="s">
        <v>75</v>
      </c>
      <c r="E39" s="14"/>
      <c r="F39" s="14">
        <v>421.74</v>
      </c>
      <c r="G39" s="12" t="s">
        <v>49</v>
      </c>
      <c r="H39" s="173">
        <v>45708</v>
      </c>
      <c r="I39" s="12"/>
      <c r="J39" s="14"/>
    </row>
    <row r="40" spans="1:11" x14ac:dyDescent="0.3">
      <c r="A40" s="564"/>
      <c r="B40" s="564"/>
      <c r="C40" s="564"/>
      <c r="D40" s="564"/>
      <c r="E40" s="14"/>
      <c r="F40" s="14">
        <v>421.74</v>
      </c>
      <c r="G40" s="12" t="s">
        <v>50</v>
      </c>
      <c r="H40" s="173">
        <v>45716</v>
      </c>
      <c r="I40" s="12"/>
      <c r="J40" s="14"/>
    </row>
    <row r="41" spans="1:11" x14ac:dyDescent="0.3">
      <c r="A41" s="35"/>
      <c r="B41" s="35"/>
      <c r="C41" s="35"/>
      <c r="D41" s="35"/>
      <c r="E41" s="14"/>
      <c r="F41" s="14">
        <v>421.74</v>
      </c>
      <c r="G41" s="12" t="s">
        <v>76</v>
      </c>
      <c r="H41" s="173">
        <v>45723</v>
      </c>
      <c r="I41" s="12"/>
      <c r="J41" s="14"/>
    </row>
    <row r="42" spans="1:11" x14ac:dyDescent="0.3">
      <c r="A42" s="563">
        <v>16638</v>
      </c>
      <c r="B42" s="563" t="s">
        <v>67</v>
      </c>
      <c r="C42" s="563" t="s">
        <v>26</v>
      </c>
      <c r="D42" s="563" t="s">
        <v>35</v>
      </c>
      <c r="E42" s="14"/>
      <c r="F42" s="14">
        <v>307.64</v>
      </c>
      <c r="G42" s="12" t="s">
        <v>49</v>
      </c>
      <c r="H42" s="173">
        <v>45708</v>
      </c>
      <c r="I42" s="12"/>
      <c r="J42" s="14"/>
    </row>
    <row r="43" spans="1:11" x14ac:dyDescent="0.3">
      <c r="A43" s="564"/>
      <c r="B43" s="564"/>
      <c r="C43" s="564"/>
      <c r="D43" s="564"/>
      <c r="E43" s="14"/>
      <c r="F43" s="14">
        <v>307</v>
      </c>
      <c r="G43" s="12" t="s">
        <v>50</v>
      </c>
      <c r="H43" s="173">
        <v>45716</v>
      </c>
      <c r="I43" s="12"/>
      <c r="J43" s="14"/>
    </row>
    <row r="44" spans="1:11" ht="14.25" customHeight="1" x14ac:dyDescent="0.3">
      <c r="A44" s="35"/>
      <c r="B44" s="35"/>
      <c r="C44" s="35"/>
      <c r="D44" s="35"/>
      <c r="E44" s="14"/>
      <c r="F44" s="14">
        <v>307</v>
      </c>
      <c r="G44" s="12" t="s">
        <v>76</v>
      </c>
      <c r="H44" s="173">
        <v>45723</v>
      </c>
      <c r="I44" s="12"/>
      <c r="J44" s="14"/>
    </row>
    <row r="45" spans="1:11" x14ac:dyDescent="0.3">
      <c r="A45" s="563">
        <v>16654</v>
      </c>
      <c r="B45" s="563" t="s">
        <v>77</v>
      </c>
      <c r="C45" s="563" t="s">
        <v>26</v>
      </c>
      <c r="D45" s="563" t="s">
        <v>48</v>
      </c>
      <c r="E45" s="14"/>
      <c r="F45" s="14">
        <v>133.03</v>
      </c>
      <c r="G45" s="12" t="s">
        <v>53</v>
      </c>
      <c r="H45" s="173">
        <v>45712</v>
      </c>
      <c r="I45" s="12"/>
      <c r="J45" s="14"/>
    </row>
    <row r="46" spans="1:11" x14ac:dyDescent="0.3">
      <c r="A46" s="564"/>
      <c r="B46" s="564"/>
      <c r="C46" s="564"/>
      <c r="D46" s="564"/>
      <c r="E46" s="14"/>
      <c r="F46" s="14">
        <v>131</v>
      </c>
      <c r="G46" s="12" t="s">
        <v>54</v>
      </c>
      <c r="H46" s="173">
        <v>45721</v>
      </c>
      <c r="I46" s="12"/>
      <c r="J46" s="14"/>
    </row>
    <row r="47" spans="1:11" x14ac:dyDescent="0.3">
      <c r="A47" s="35"/>
      <c r="B47" s="35"/>
      <c r="C47" s="35"/>
      <c r="D47" s="35"/>
      <c r="E47" s="14"/>
      <c r="F47" s="14">
        <v>131</v>
      </c>
      <c r="G47" s="12" t="s">
        <v>78</v>
      </c>
      <c r="H47" s="173">
        <v>45727</v>
      </c>
      <c r="I47" s="12"/>
      <c r="J47" s="14"/>
    </row>
    <row r="48" spans="1:11" x14ac:dyDescent="0.3">
      <c r="A48" s="563">
        <v>16656</v>
      </c>
      <c r="B48" s="563" t="s">
        <v>77</v>
      </c>
      <c r="C48" s="563" t="s">
        <v>26</v>
      </c>
      <c r="D48" s="563" t="s">
        <v>79</v>
      </c>
      <c r="E48" s="14"/>
      <c r="F48" s="14">
        <v>1131.67</v>
      </c>
      <c r="G48" s="12" t="s">
        <v>53</v>
      </c>
      <c r="H48" s="173">
        <v>45712</v>
      </c>
      <c r="I48" s="12"/>
      <c r="J48" s="14"/>
    </row>
    <row r="49" spans="1:10" x14ac:dyDescent="0.3">
      <c r="A49" s="564"/>
      <c r="B49" s="564"/>
      <c r="C49" s="564"/>
      <c r="D49" s="564"/>
      <c r="E49" s="14"/>
      <c r="F49" s="14">
        <v>1129</v>
      </c>
      <c r="G49" s="12" t="s">
        <v>54</v>
      </c>
      <c r="H49" s="173">
        <v>45721</v>
      </c>
      <c r="I49" s="12"/>
      <c r="J49" s="14"/>
    </row>
    <row r="50" spans="1:10" x14ac:dyDescent="0.3">
      <c r="A50" s="35"/>
      <c r="B50" s="35"/>
      <c r="C50" s="35"/>
      <c r="D50" s="35"/>
      <c r="E50" s="14"/>
      <c r="F50" s="14">
        <v>1129</v>
      </c>
      <c r="G50" s="12" t="s">
        <v>78</v>
      </c>
      <c r="H50" s="173">
        <v>45727</v>
      </c>
      <c r="I50" s="12"/>
      <c r="J50" s="14"/>
    </row>
    <row r="51" spans="1:10" x14ac:dyDescent="0.3">
      <c r="A51" s="11">
        <v>16687</v>
      </c>
      <c r="B51" s="11" t="s">
        <v>80</v>
      </c>
      <c r="C51" s="11" t="s">
        <v>26</v>
      </c>
      <c r="D51" s="11" t="s">
        <v>81</v>
      </c>
      <c r="E51" s="14"/>
      <c r="F51" s="14">
        <v>320.39</v>
      </c>
      <c r="G51" s="12" t="s">
        <v>60</v>
      </c>
      <c r="H51" s="173">
        <v>45714</v>
      </c>
      <c r="I51" s="12"/>
      <c r="J51" s="14"/>
    </row>
    <row r="52" spans="1:10" x14ac:dyDescent="0.3">
      <c r="A52" s="563">
        <v>16688</v>
      </c>
      <c r="B52" s="563" t="s">
        <v>80</v>
      </c>
      <c r="C52" s="563" t="s">
        <v>26</v>
      </c>
      <c r="D52" s="563" t="s">
        <v>35</v>
      </c>
      <c r="E52" s="14"/>
      <c r="F52" s="14">
        <v>428.15</v>
      </c>
      <c r="G52" s="12" t="s">
        <v>60</v>
      </c>
      <c r="H52" s="173">
        <v>45714</v>
      </c>
      <c r="I52" s="12"/>
      <c r="J52" s="14"/>
    </row>
    <row r="53" spans="1:10" x14ac:dyDescent="0.3">
      <c r="A53" s="564"/>
      <c r="B53" s="564"/>
      <c r="C53" s="564"/>
      <c r="D53" s="564"/>
      <c r="E53" s="14"/>
      <c r="F53" s="14">
        <v>426</v>
      </c>
      <c r="G53" s="12" t="s">
        <v>61</v>
      </c>
      <c r="H53" s="173">
        <v>45721</v>
      </c>
      <c r="I53" s="12"/>
      <c r="J53" s="14"/>
    </row>
    <row r="54" spans="1:10" x14ac:dyDescent="0.3">
      <c r="A54" s="35"/>
      <c r="B54" s="35"/>
      <c r="C54" s="35"/>
      <c r="D54" s="35"/>
      <c r="E54" s="14"/>
      <c r="F54" s="14">
        <v>426</v>
      </c>
      <c r="G54" s="12" t="s">
        <v>82</v>
      </c>
      <c r="H54" s="173">
        <v>45728</v>
      </c>
      <c r="I54" s="12"/>
      <c r="J54" s="14"/>
    </row>
    <row r="55" spans="1:10" x14ac:dyDescent="0.3">
      <c r="A55" s="563">
        <v>16704</v>
      </c>
      <c r="B55" s="563" t="s">
        <v>83</v>
      </c>
      <c r="C55" s="563" t="s">
        <v>26</v>
      </c>
      <c r="D55" s="563" t="s">
        <v>48</v>
      </c>
      <c r="E55" s="14"/>
      <c r="F55" s="14">
        <v>1359.52</v>
      </c>
      <c r="G55" s="12" t="s">
        <v>63</v>
      </c>
      <c r="H55" s="173">
        <v>45715</v>
      </c>
      <c r="I55" s="12"/>
      <c r="J55" s="14"/>
    </row>
    <row r="56" spans="1:10" x14ac:dyDescent="0.3">
      <c r="A56" s="564"/>
      <c r="B56" s="564"/>
      <c r="C56" s="564"/>
      <c r="D56" s="564"/>
      <c r="E56" s="14"/>
      <c r="F56" s="14">
        <v>1358</v>
      </c>
      <c r="G56" s="12" t="s">
        <v>64</v>
      </c>
      <c r="H56" s="173">
        <v>45722</v>
      </c>
      <c r="I56" s="12"/>
      <c r="J56" s="14"/>
    </row>
    <row r="57" spans="1:10" x14ac:dyDescent="0.3">
      <c r="A57" s="35"/>
      <c r="B57" s="35"/>
      <c r="C57" s="35"/>
      <c r="D57" s="35"/>
      <c r="E57" s="14"/>
      <c r="F57" s="14">
        <v>1358</v>
      </c>
      <c r="G57" s="12" t="s">
        <v>84</v>
      </c>
      <c r="H57" s="173">
        <v>45729</v>
      </c>
      <c r="I57" s="12"/>
      <c r="J57" s="14"/>
    </row>
    <row r="58" spans="1:10" x14ac:dyDescent="0.3">
      <c r="A58" s="563">
        <v>16726</v>
      </c>
      <c r="B58" s="563" t="s">
        <v>85</v>
      </c>
      <c r="C58" s="563" t="s">
        <v>26</v>
      </c>
      <c r="D58" s="563" t="s">
        <v>37</v>
      </c>
      <c r="E58" s="14"/>
      <c r="F58" s="14">
        <v>310.33999999999997</v>
      </c>
      <c r="G58" s="12" t="s">
        <v>50</v>
      </c>
      <c r="H58" s="173">
        <v>45716</v>
      </c>
      <c r="I58" s="12"/>
      <c r="J58" s="14"/>
    </row>
    <row r="59" spans="1:10" x14ac:dyDescent="0.3">
      <c r="A59" s="564"/>
      <c r="B59" s="564"/>
      <c r="C59" s="564"/>
      <c r="D59" s="564"/>
      <c r="E59" s="14"/>
      <c r="F59" s="14">
        <v>308</v>
      </c>
      <c r="G59" s="12" t="s">
        <v>76</v>
      </c>
      <c r="H59" s="173">
        <v>45723</v>
      </c>
      <c r="I59" s="12"/>
      <c r="J59" s="14"/>
    </row>
    <row r="60" spans="1:10" x14ac:dyDescent="0.3">
      <c r="A60" s="35"/>
      <c r="B60" s="35"/>
      <c r="C60" s="35"/>
      <c r="D60" s="35"/>
      <c r="E60" s="14"/>
      <c r="F60" s="14">
        <v>308</v>
      </c>
      <c r="G60" s="12" t="s">
        <v>86</v>
      </c>
      <c r="H60" s="173">
        <v>45730</v>
      </c>
      <c r="I60" s="12"/>
      <c r="J60" s="14"/>
    </row>
    <row r="61" spans="1:10" x14ac:dyDescent="0.3">
      <c r="A61" s="11">
        <v>16727</v>
      </c>
      <c r="B61" s="11" t="s">
        <v>85</v>
      </c>
      <c r="C61" s="11" t="s">
        <v>26</v>
      </c>
      <c r="D61" s="11" t="s">
        <v>37</v>
      </c>
      <c r="E61" s="14"/>
      <c r="F61" s="14">
        <v>134.55000000000001</v>
      </c>
      <c r="G61" s="12" t="s">
        <v>50</v>
      </c>
      <c r="H61" s="173">
        <v>45716</v>
      </c>
      <c r="I61" s="12"/>
      <c r="J61" s="14"/>
    </row>
    <row r="62" spans="1:10" x14ac:dyDescent="0.3">
      <c r="A62" s="11">
        <v>16728</v>
      </c>
      <c r="B62" s="11" t="s">
        <v>85</v>
      </c>
      <c r="C62" s="11" t="s">
        <v>26</v>
      </c>
      <c r="D62" s="11" t="s">
        <v>37</v>
      </c>
      <c r="E62" s="14"/>
      <c r="F62" s="14">
        <v>415.04</v>
      </c>
      <c r="G62" s="12" t="s">
        <v>50</v>
      </c>
      <c r="H62" s="173">
        <v>45716</v>
      </c>
      <c r="I62" s="12"/>
      <c r="J62" s="14"/>
    </row>
    <row r="63" spans="1:10" x14ac:dyDescent="0.3">
      <c r="A63" s="563">
        <v>16728</v>
      </c>
      <c r="B63" s="563" t="s">
        <v>85</v>
      </c>
      <c r="C63" s="563" t="s">
        <v>26</v>
      </c>
      <c r="D63" s="563" t="s">
        <v>48</v>
      </c>
      <c r="E63" s="14"/>
      <c r="F63" s="14">
        <v>364.89</v>
      </c>
      <c r="G63" s="12" t="s">
        <v>50</v>
      </c>
      <c r="H63" s="173">
        <v>45716</v>
      </c>
      <c r="I63" s="12"/>
      <c r="J63" s="14"/>
    </row>
    <row r="64" spans="1:10" x14ac:dyDescent="0.3">
      <c r="A64" s="564"/>
      <c r="B64" s="564"/>
      <c r="C64" s="564"/>
      <c r="D64" s="564"/>
      <c r="E64" s="14"/>
      <c r="F64" s="14">
        <v>363</v>
      </c>
      <c r="G64" s="12" t="s">
        <v>76</v>
      </c>
      <c r="H64" s="173">
        <v>45723</v>
      </c>
      <c r="I64" s="12"/>
      <c r="J64" s="14"/>
    </row>
    <row r="65" spans="1:10" x14ac:dyDescent="0.3">
      <c r="A65" s="35"/>
      <c r="B65" s="35"/>
      <c r="C65" s="35"/>
      <c r="D65" s="35"/>
      <c r="E65" s="14"/>
      <c r="F65" s="14">
        <v>363</v>
      </c>
      <c r="G65" s="12" t="s">
        <v>86</v>
      </c>
      <c r="H65" s="173">
        <v>45730</v>
      </c>
      <c r="I65" s="12"/>
      <c r="J65" s="14"/>
    </row>
    <row r="66" spans="1:10" x14ac:dyDescent="0.3">
      <c r="A66" s="563">
        <v>16511</v>
      </c>
      <c r="B66" s="563" t="s">
        <v>88</v>
      </c>
      <c r="C66" s="563" t="s">
        <v>89</v>
      </c>
      <c r="D66" s="563" t="s">
        <v>90</v>
      </c>
      <c r="E66" s="14"/>
      <c r="F66" s="14">
        <v>389.8</v>
      </c>
      <c r="G66" s="12" t="s">
        <v>57</v>
      </c>
      <c r="H66" s="173">
        <v>45698</v>
      </c>
      <c r="I66" s="12"/>
      <c r="J66" s="14"/>
    </row>
    <row r="67" spans="1:10" x14ac:dyDescent="0.3">
      <c r="A67" s="564"/>
      <c r="B67" s="564"/>
      <c r="C67" s="564"/>
      <c r="D67" s="564"/>
      <c r="E67" s="14"/>
      <c r="F67" s="14">
        <v>386</v>
      </c>
      <c r="G67" s="12" t="s">
        <v>80</v>
      </c>
      <c r="H67" s="173">
        <v>45698</v>
      </c>
      <c r="I67" s="12"/>
      <c r="J67" s="14"/>
    </row>
    <row r="68" spans="1:10" x14ac:dyDescent="0.3">
      <c r="A68" s="564"/>
      <c r="B68" s="564"/>
      <c r="C68" s="564"/>
      <c r="D68" s="564"/>
      <c r="E68" s="14"/>
      <c r="F68" s="14">
        <v>386</v>
      </c>
      <c r="G68" s="12" t="s">
        <v>36</v>
      </c>
      <c r="H68" s="173">
        <v>45698</v>
      </c>
      <c r="I68" s="12"/>
      <c r="J68" s="14"/>
    </row>
    <row r="69" spans="1:10" x14ac:dyDescent="0.3">
      <c r="A69" s="564"/>
      <c r="B69" s="564"/>
      <c r="C69" s="564"/>
      <c r="D69" s="564"/>
      <c r="E69" s="14"/>
      <c r="F69" s="14">
        <v>386</v>
      </c>
      <c r="G69" s="12" t="s">
        <v>91</v>
      </c>
      <c r="H69" s="173">
        <v>45699</v>
      </c>
      <c r="I69" s="12"/>
      <c r="J69" s="14"/>
    </row>
    <row r="70" spans="1:10" x14ac:dyDescent="0.3">
      <c r="A70" s="35"/>
      <c r="B70" s="35"/>
      <c r="C70" s="35"/>
      <c r="D70" s="35"/>
      <c r="E70" s="14"/>
      <c r="F70" s="14">
        <v>386</v>
      </c>
      <c r="G70" s="12" t="s">
        <v>59</v>
      </c>
      <c r="H70" s="173">
        <v>45707</v>
      </c>
      <c r="I70" s="12"/>
      <c r="J70" s="14"/>
    </row>
    <row r="71" spans="1:10" x14ac:dyDescent="0.3">
      <c r="A71" s="11"/>
      <c r="B71" s="11"/>
      <c r="C71" s="11"/>
      <c r="D71" s="11"/>
      <c r="E71" s="14"/>
      <c r="F71" s="14"/>
      <c r="G71" s="12"/>
      <c r="H71" s="173"/>
      <c r="I71" s="12"/>
      <c r="J71" s="14"/>
    </row>
    <row r="72" spans="1:10" x14ac:dyDescent="0.3">
      <c r="A72" s="9"/>
      <c r="B72" s="9"/>
      <c r="C72" s="9"/>
      <c r="D72" s="9"/>
      <c r="E72" s="10"/>
      <c r="F72" s="10"/>
      <c r="G72" s="9"/>
      <c r="H72" s="174"/>
      <c r="I72" s="9"/>
      <c r="J72" s="10">
        <f>SUM(J2:J71)</f>
        <v>21637</v>
      </c>
    </row>
    <row r="73" spans="1:10" ht="17.399999999999999" thickBot="1" x14ac:dyDescent="0.35">
      <c r="A73" s="590" t="s">
        <v>10</v>
      </c>
      <c r="B73" s="590"/>
      <c r="C73" s="591"/>
      <c r="D73" s="17"/>
      <c r="E73" s="2">
        <f>SUM(E2:E72)</f>
        <v>21637</v>
      </c>
      <c r="F73" s="18">
        <f>SUM(F2:F72)</f>
        <v>28250.659999999996</v>
      </c>
      <c r="G73" s="3"/>
    </row>
    <row r="74" spans="1:10" ht="16.8" x14ac:dyDescent="0.3">
      <c r="A74" s="590" t="s">
        <v>11</v>
      </c>
      <c r="B74" s="590"/>
      <c r="C74" s="591"/>
      <c r="D74" s="4"/>
      <c r="E74" s="5"/>
      <c r="F74" s="19"/>
      <c r="G74" s="6"/>
    </row>
    <row r="75" spans="1:10" ht="16.8" x14ac:dyDescent="0.3">
      <c r="A75" s="586"/>
      <c r="B75" s="586"/>
      <c r="C75" s="587"/>
      <c r="D75" s="588">
        <f>(F73+E73)</f>
        <v>49887.659999999996</v>
      </c>
      <c r="E75" s="7"/>
      <c r="G75" s="8"/>
    </row>
    <row r="76" spans="1:10" x14ac:dyDescent="0.3">
      <c r="A76" s="586"/>
      <c r="B76" s="586"/>
      <c r="C76" s="587"/>
      <c r="D76" s="589"/>
      <c r="G76" s="8"/>
    </row>
    <row r="78" spans="1:10" x14ac:dyDescent="0.3">
      <c r="A78" t="s">
        <v>12</v>
      </c>
      <c r="B78" t="s">
        <v>28</v>
      </c>
      <c r="C78" t="s">
        <v>29</v>
      </c>
      <c r="D78" t="s">
        <v>30</v>
      </c>
      <c r="E78" t="s">
        <v>31</v>
      </c>
      <c r="F78" t="s">
        <v>34</v>
      </c>
    </row>
    <row r="79" spans="1:10" x14ac:dyDescent="0.3">
      <c r="A79" s="9" t="s">
        <v>13</v>
      </c>
      <c r="B79" s="10">
        <v>19219.28</v>
      </c>
      <c r="C79" s="10">
        <v>109492.58</v>
      </c>
      <c r="D79" s="10">
        <v>126073.37</v>
      </c>
      <c r="E79" s="10">
        <v>270562.52999999997</v>
      </c>
      <c r="F79" s="29">
        <f>D75</f>
        <v>49887.659999999996</v>
      </c>
    </row>
    <row r="80" spans="1:10" x14ac:dyDescent="0.3">
      <c r="A80" s="9" t="s">
        <v>14</v>
      </c>
      <c r="B80" s="10">
        <v>18377.75</v>
      </c>
      <c r="C80" s="10">
        <v>151228.71</v>
      </c>
      <c r="D80" s="10">
        <v>166235.96</v>
      </c>
      <c r="E80" s="10">
        <v>324984.97000000015</v>
      </c>
      <c r="F80" s="9"/>
    </row>
    <row r="81" spans="1:6" x14ac:dyDescent="0.3">
      <c r="A81" s="9" t="s">
        <v>15</v>
      </c>
      <c r="B81" s="10">
        <v>25009.87</v>
      </c>
      <c r="C81" s="10">
        <v>119148.49</v>
      </c>
      <c r="D81" s="10">
        <v>119814.85</v>
      </c>
      <c r="E81" s="10">
        <v>256001.56999999998</v>
      </c>
      <c r="F81" s="9"/>
    </row>
    <row r="82" spans="1:6" x14ac:dyDescent="0.3">
      <c r="A82" s="9" t="s">
        <v>16</v>
      </c>
      <c r="B82" s="10">
        <v>34211.96</v>
      </c>
      <c r="C82" s="10">
        <v>238129.97</v>
      </c>
      <c r="D82" s="10">
        <v>112668.22</v>
      </c>
      <c r="E82" s="10">
        <v>136419.94</v>
      </c>
      <c r="F82" s="9"/>
    </row>
    <row r="83" spans="1:6" x14ac:dyDescent="0.3">
      <c r="A83" s="9" t="s">
        <v>17</v>
      </c>
      <c r="B83" s="10">
        <v>130599.69</v>
      </c>
      <c r="C83" s="10">
        <v>150026.72</v>
      </c>
      <c r="D83" s="10">
        <v>39597.94</v>
      </c>
      <c r="E83" s="10">
        <v>57014.400000000009</v>
      </c>
      <c r="F83" s="9"/>
    </row>
    <row r="84" spans="1:6" x14ac:dyDescent="0.3">
      <c r="A84" s="9" t="s">
        <v>18</v>
      </c>
      <c r="B84" s="10">
        <v>97973.1</v>
      </c>
      <c r="C84" s="10">
        <v>208724.8</v>
      </c>
      <c r="D84" s="10">
        <v>77419.240000000005</v>
      </c>
      <c r="E84" s="10">
        <v>259261.9199999999</v>
      </c>
      <c r="F84" s="9"/>
    </row>
    <row r="85" spans="1:6" x14ac:dyDescent="0.3">
      <c r="A85" s="9" t="s">
        <v>19</v>
      </c>
      <c r="B85" s="10">
        <v>309004.57</v>
      </c>
      <c r="C85" s="10">
        <v>130036.72</v>
      </c>
      <c r="D85" s="10">
        <v>74963.62</v>
      </c>
      <c r="E85" s="10">
        <v>191964.91000000006</v>
      </c>
      <c r="F85" s="9"/>
    </row>
    <row r="86" spans="1:6" x14ac:dyDescent="0.3">
      <c r="A86" s="9" t="s">
        <v>20</v>
      </c>
      <c r="B86" s="10">
        <v>436765.8</v>
      </c>
      <c r="C86" s="10">
        <v>211762.02</v>
      </c>
      <c r="D86" s="10">
        <v>152485.66</v>
      </c>
      <c r="E86" s="10">
        <v>273158.85000000009</v>
      </c>
      <c r="F86" s="9"/>
    </row>
    <row r="87" spans="1:6" x14ac:dyDescent="0.3">
      <c r="A87" s="9" t="s">
        <v>21</v>
      </c>
      <c r="B87" s="10">
        <v>355927.94</v>
      </c>
      <c r="C87" s="10">
        <v>534003.5</v>
      </c>
      <c r="D87" s="10">
        <v>171282.48</v>
      </c>
      <c r="E87" s="10">
        <v>63159.509999999995</v>
      </c>
      <c r="F87" s="9"/>
    </row>
    <row r="88" spans="1:6" x14ac:dyDescent="0.3">
      <c r="A88" s="9" t="s">
        <v>22</v>
      </c>
      <c r="B88" s="10">
        <v>540038.64</v>
      </c>
      <c r="C88" s="10">
        <v>96571.01</v>
      </c>
      <c r="D88" s="10">
        <v>168433.06</v>
      </c>
      <c r="E88" s="10">
        <v>53077.380000000012</v>
      </c>
      <c r="F88" s="9"/>
    </row>
    <row r="89" spans="1:6" x14ac:dyDescent="0.3">
      <c r="A89" s="9" t="s">
        <v>23</v>
      </c>
      <c r="B89" s="10">
        <v>248566.76</v>
      </c>
      <c r="C89" s="10">
        <v>33008.07</v>
      </c>
      <c r="D89" s="10">
        <v>155757.68</v>
      </c>
      <c r="E89" s="10">
        <v>15517.440000000002</v>
      </c>
      <c r="F89" s="9"/>
    </row>
    <row r="90" spans="1:6" ht="15" thickBot="1" x14ac:dyDescent="0.35">
      <c r="A90" s="22" t="s">
        <v>24</v>
      </c>
      <c r="B90" s="23">
        <v>0</v>
      </c>
      <c r="C90" s="23">
        <v>18714.12</v>
      </c>
      <c r="D90" s="23">
        <v>163379.07999999999</v>
      </c>
      <c r="E90" s="24">
        <v>9580.01</v>
      </c>
      <c r="F90" s="22"/>
    </row>
    <row r="91" spans="1:6" ht="15" thickBot="1" x14ac:dyDescent="0.35">
      <c r="A91" s="25" t="s">
        <v>25</v>
      </c>
      <c r="B91" s="26">
        <v>2215695.3600000003</v>
      </c>
      <c r="C91" s="26">
        <v>2000846.7100000002</v>
      </c>
      <c r="D91" s="26">
        <v>1528111.16</v>
      </c>
      <c r="E91" s="27">
        <f>SUM(E79:E90)</f>
        <v>1910703.4300000002</v>
      </c>
      <c r="F91" s="28"/>
    </row>
  </sheetData>
  <autoFilter ref="A1:J70" xr:uid="{47E01862-463A-4D3C-A740-4D112BBE65CE}">
    <filterColumn colId="2">
      <filters blank="1">
        <filter val="Componarte"/>
        <filter val="Soares"/>
      </filters>
    </filterColumn>
  </autoFilter>
  <mergeCells count="4">
    <mergeCell ref="A75:C76"/>
    <mergeCell ref="D75:D76"/>
    <mergeCell ref="A73:C73"/>
    <mergeCell ref="A74:C7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87DC-F07E-44E2-9B1F-8E3C8B6EAF25}">
  <dimension ref="A1:N45"/>
  <sheetViews>
    <sheetView workbookViewId="0">
      <selection activeCell="A2" sqref="A2:J26"/>
    </sheetView>
  </sheetViews>
  <sheetFormatPr defaultRowHeight="14.4" x14ac:dyDescent="0.3"/>
  <cols>
    <col min="1" max="1" width="12.33203125" bestFit="1" customWidth="1"/>
    <col min="2" max="3" width="15.88671875" bestFit="1" customWidth="1"/>
    <col min="4" max="4" width="27.88671875" bestFit="1" customWidth="1"/>
    <col min="5" max="5" width="16" bestFit="1" customWidth="1"/>
    <col min="6" max="6" width="18.5546875" bestFit="1" customWidth="1"/>
    <col min="7" max="7" width="11.88671875" bestFit="1" customWidth="1"/>
    <col min="8" max="8" width="10.44140625" style="175" bestFit="1" customWidth="1"/>
    <col min="10" max="10" width="15.6640625" bestFit="1" customWidth="1"/>
    <col min="12" max="12" width="14.33203125" bestFit="1" customWidth="1"/>
    <col min="14" max="14" width="13.33203125" bestFit="1" customWidth="1"/>
  </cols>
  <sheetData>
    <row r="1" spans="1:14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5" t="s">
        <v>6</v>
      </c>
      <c r="H1" s="172" t="s">
        <v>7</v>
      </c>
      <c r="I1" s="15" t="s">
        <v>8</v>
      </c>
      <c r="J1" s="16" t="s">
        <v>9</v>
      </c>
      <c r="L1" s="21" t="s">
        <v>26</v>
      </c>
      <c r="N1" t="s">
        <v>27</v>
      </c>
    </row>
    <row r="2" spans="1:14" x14ac:dyDescent="0.3">
      <c r="A2" s="563">
        <v>16787</v>
      </c>
      <c r="B2" s="563" t="s">
        <v>36</v>
      </c>
      <c r="C2" s="563" t="s">
        <v>26</v>
      </c>
      <c r="D2" s="563" t="s">
        <v>92</v>
      </c>
      <c r="E2" s="14"/>
      <c r="F2" s="14">
        <v>1075.77</v>
      </c>
      <c r="G2" s="12" t="s">
        <v>61</v>
      </c>
      <c r="H2" s="173">
        <v>45722</v>
      </c>
      <c r="I2" s="12"/>
      <c r="J2" s="14"/>
    </row>
    <row r="3" spans="1:14" x14ac:dyDescent="0.3">
      <c r="A3" s="564"/>
      <c r="B3" s="564"/>
      <c r="C3" s="564"/>
      <c r="D3" s="564"/>
      <c r="E3" s="14"/>
      <c r="F3" s="14">
        <v>1075</v>
      </c>
      <c r="G3" s="12" t="s">
        <v>82</v>
      </c>
      <c r="H3" s="173">
        <v>45728</v>
      </c>
      <c r="I3" s="12"/>
      <c r="J3" s="14"/>
    </row>
    <row r="4" spans="1:14" x14ac:dyDescent="0.3">
      <c r="A4" s="35"/>
      <c r="B4" s="35"/>
      <c r="C4" s="35"/>
      <c r="D4" s="35"/>
      <c r="E4" s="14"/>
      <c r="F4" s="14">
        <v>1075</v>
      </c>
      <c r="G4" s="12" t="s">
        <v>93</v>
      </c>
      <c r="H4" s="173">
        <v>45735</v>
      </c>
      <c r="I4" s="12"/>
      <c r="J4" s="14"/>
    </row>
    <row r="5" spans="1:14" x14ac:dyDescent="0.3">
      <c r="A5" s="563">
        <v>16796</v>
      </c>
      <c r="B5" s="563" t="s">
        <v>36</v>
      </c>
      <c r="C5" s="563" t="s">
        <v>26</v>
      </c>
      <c r="D5" s="563" t="s">
        <v>37</v>
      </c>
      <c r="E5" s="14"/>
      <c r="F5" s="14">
        <v>1033.3599999999999</v>
      </c>
      <c r="G5" s="12" t="s">
        <v>61</v>
      </c>
      <c r="H5" s="173">
        <v>45721</v>
      </c>
      <c r="I5" s="12"/>
      <c r="J5" s="14"/>
    </row>
    <row r="6" spans="1:14" x14ac:dyDescent="0.3">
      <c r="A6" s="564"/>
      <c r="B6" s="564"/>
      <c r="C6" s="564"/>
      <c r="D6" s="564"/>
      <c r="E6" s="14"/>
      <c r="F6" s="14">
        <v>1031</v>
      </c>
      <c r="G6" s="12" t="s">
        <v>82</v>
      </c>
      <c r="H6" s="173">
        <v>45728</v>
      </c>
      <c r="I6" s="12"/>
      <c r="J6" s="14"/>
    </row>
    <row r="7" spans="1:14" x14ac:dyDescent="0.3">
      <c r="A7" s="35"/>
      <c r="B7" s="35"/>
      <c r="C7" s="35"/>
      <c r="D7" s="35"/>
      <c r="E7" s="14"/>
      <c r="F7" s="14">
        <v>1031</v>
      </c>
      <c r="G7" s="12" t="s">
        <v>93</v>
      </c>
      <c r="H7" s="173">
        <v>45735</v>
      </c>
      <c r="I7" s="12"/>
      <c r="J7" s="14"/>
    </row>
    <row r="8" spans="1:14" x14ac:dyDescent="0.3">
      <c r="A8" s="11">
        <v>16826</v>
      </c>
      <c r="B8" s="11" t="s">
        <v>94</v>
      </c>
      <c r="C8" s="11" t="s">
        <v>26</v>
      </c>
      <c r="D8" s="11" t="s">
        <v>95</v>
      </c>
      <c r="E8" s="14"/>
      <c r="F8" s="14">
        <v>362.71</v>
      </c>
      <c r="G8" s="12" t="s">
        <v>76</v>
      </c>
      <c r="H8" s="173">
        <v>45723</v>
      </c>
      <c r="I8" s="12"/>
      <c r="J8" s="14"/>
    </row>
    <row r="9" spans="1:14" x14ac:dyDescent="0.3">
      <c r="A9" s="11">
        <v>16827</v>
      </c>
      <c r="B9" s="11" t="s">
        <v>94</v>
      </c>
      <c r="C9" s="11" t="s">
        <v>26</v>
      </c>
      <c r="D9" s="11" t="s">
        <v>95</v>
      </c>
      <c r="E9" s="14"/>
      <c r="F9" s="14">
        <v>184.61</v>
      </c>
      <c r="G9" s="12" t="s">
        <v>76</v>
      </c>
      <c r="H9" s="173">
        <v>45723</v>
      </c>
      <c r="I9" s="12"/>
      <c r="J9" s="14"/>
    </row>
    <row r="10" spans="1:14" x14ac:dyDescent="0.3">
      <c r="A10" s="563">
        <v>16870</v>
      </c>
      <c r="B10" s="563" t="s">
        <v>42</v>
      </c>
      <c r="C10" s="563" t="s">
        <v>26</v>
      </c>
      <c r="D10" s="563" t="s">
        <v>96</v>
      </c>
      <c r="E10" s="14"/>
      <c r="F10" s="14">
        <v>411.24</v>
      </c>
      <c r="G10" s="12" t="s">
        <v>97</v>
      </c>
      <c r="H10" s="173">
        <v>45727</v>
      </c>
      <c r="I10" s="12"/>
      <c r="J10" s="14"/>
    </row>
    <row r="11" spans="1:14" x14ac:dyDescent="0.3">
      <c r="A11" s="564"/>
      <c r="B11" s="564"/>
      <c r="C11" s="564"/>
      <c r="D11" s="564"/>
      <c r="E11" s="14"/>
      <c r="F11" s="14">
        <v>409</v>
      </c>
      <c r="G11" s="12" t="s">
        <v>98</v>
      </c>
      <c r="H11" s="173">
        <v>45734</v>
      </c>
      <c r="I11" s="12"/>
      <c r="J11" s="14"/>
    </row>
    <row r="12" spans="1:14" x14ac:dyDescent="0.3">
      <c r="A12" s="35"/>
      <c r="B12" s="35"/>
      <c r="C12" s="35"/>
      <c r="D12" s="35"/>
      <c r="E12" s="14"/>
      <c r="F12" s="14">
        <v>409</v>
      </c>
      <c r="G12" s="12" t="s">
        <v>99</v>
      </c>
      <c r="H12" s="173">
        <v>45741</v>
      </c>
      <c r="I12" s="12"/>
      <c r="J12" s="14"/>
    </row>
    <row r="13" spans="1:14" x14ac:dyDescent="0.3">
      <c r="A13" s="563">
        <v>16876</v>
      </c>
      <c r="B13" s="563" t="s">
        <v>42</v>
      </c>
      <c r="C13" s="563" t="s">
        <v>26</v>
      </c>
      <c r="D13" s="563" t="s">
        <v>92</v>
      </c>
      <c r="E13" s="14"/>
      <c r="F13" s="14">
        <v>984.1</v>
      </c>
      <c r="G13" s="12" t="s">
        <v>97</v>
      </c>
      <c r="H13" s="173">
        <v>45727</v>
      </c>
      <c r="I13" s="12"/>
      <c r="J13" s="14"/>
    </row>
    <row r="14" spans="1:14" x14ac:dyDescent="0.3">
      <c r="A14" s="564"/>
      <c r="B14" s="564"/>
      <c r="C14" s="564"/>
      <c r="D14" s="564"/>
      <c r="E14" s="14"/>
      <c r="F14" s="14">
        <v>983</v>
      </c>
      <c r="G14" s="12" t="s">
        <v>98</v>
      </c>
      <c r="H14" s="173">
        <v>45734</v>
      </c>
      <c r="I14" s="12"/>
      <c r="J14" s="14"/>
    </row>
    <row r="15" spans="1:14" x14ac:dyDescent="0.3">
      <c r="A15" s="35"/>
      <c r="B15" s="35"/>
      <c r="C15" s="35"/>
      <c r="D15" s="35"/>
      <c r="E15" s="14"/>
      <c r="F15" s="14">
        <v>983</v>
      </c>
      <c r="G15" s="12" t="s">
        <v>99</v>
      </c>
      <c r="H15" s="173">
        <v>45741</v>
      </c>
      <c r="I15" s="12"/>
      <c r="J15" s="14"/>
    </row>
    <row r="16" spans="1:14" x14ac:dyDescent="0.3">
      <c r="A16" s="11">
        <v>16916</v>
      </c>
      <c r="B16" s="11" t="s">
        <v>39</v>
      </c>
      <c r="C16" s="11" t="s">
        <v>26</v>
      </c>
      <c r="D16" s="11" t="s">
        <v>37</v>
      </c>
      <c r="E16" s="14"/>
      <c r="F16" s="14">
        <v>138</v>
      </c>
      <c r="G16" s="12" t="s">
        <v>84</v>
      </c>
      <c r="H16" s="173">
        <v>45729</v>
      </c>
      <c r="I16" s="12"/>
      <c r="J16" s="14"/>
    </row>
    <row r="17" spans="1:10" x14ac:dyDescent="0.3">
      <c r="A17" s="11">
        <v>16917</v>
      </c>
      <c r="B17" s="11" t="s">
        <v>39</v>
      </c>
      <c r="C17" s="11" t="s">
        <v>26</v>
      </c>
      <c r="D17" s="11" t="s">
        <v>100</v>
      </c>
      <c r="E17" s="14"/>
      <c r="F17" s="14">
        <v>134.55000000000001</v>
      </c>
      <c r="G17" s="12" t="s">
        <v>84</v>
      </c>
      <c r="H17" s="173">
        <v>45729</v>
      </c>
      <c r="I17" s="12"/>
      <c r="J17" s="14"/>
    </row>
    <row r="18" spans="1:10" x14ac:dyDescent="0.3">
      <c r="A18" s="563">
        <v>16943</v>
      </c>
      <c r="B18" s="563" t="s">
        <v>46</v>
      </c>
      <c r="C18" s="563" t="s">
        <v>26</v>
      </c>
      <c r="D18" s="563" t="s">
        <v>104</v>
      </c>
      <c r="E18" s="14"/>
      <c r="F18" s="14">
        <v>583.42999999999995</v>
      </c>
      <c r="G18" s="12" t="s">
        <v>86</v>
      </c>
      <c r="H18" s="173">
        <v>45730</v>
      </c>
      <c r="I18" s="12"/>
      <c r="J18" s="14"/>
    </row>
    <row r="19" spans="1:10" x14ac:dyDescent="0.3">
      <c r="A19" s="564"/>
      <c r="B19" s="564"/>
      <c r="C19" s="564"/>
      <c r="D19" s="564"/>
      <c r="E19" s="14"/>
      <c r="F19" s="14">
        <v>582</v>
      </c>
      <c r="G19" s="12" t="s">
        <v>102</v>
      </c>
      <c r="H19" s="173">
        <v>45735</v>
      </c>
      <c r="I19" s="12"/>
      <c r="J19" s="14"/>
    </row>
    <row r="20" spans="1:10" x14ac:dyDescent="0.3">
      <c r="A20" s="35"/>
      <c r="B20" s="35"/>
      <c r="C20" s="35"/>
      <c r="D20" s="35"/>
      <c r="E20" s="14"/>
      <c r="F20" s="14">
        <v>582</v>
      </c>
      <c r="G20" s="12" t="s">
        <v>103</v>
      </c>
      <c r="H20" s="173">
        <v>45744</v>
      </c>
      <c r="I20" s="12"/>
      <c r="J20" s="14"/>
    </row>
    <row r="21" spans="1:10" x14ac:dyDescent="0.3">
      <c r="A21" s="563">
        <v>16969</v>
      </c>
      <c r="B21" s="563" t="s">
        <v>101</v>
      </c>
      <c r="C21" s="563" t="s">
        <v>26</v>
      </c>
      <c r="D21" s="563" t="s">
        <v>37</v>
      </c>
      <c r="E21" s="14"/>
      <c r="F21" s="14">
        <v>410.38</v>
      </c>
      <c r="G21" s="12" t="s">
        <v>98</v>
      </c>
      <c r="H21" s="173">
        <v>45734</v>
      </c>
      <c r="I21" s="12"/>
      <c r="J21" s="14"/>
    </row>
    <row r="22" spans="1:10" x14ac:dyDescent="0.3">
      <c r="A22" s="35"/>
      <c r="B22" s="35"/>
      <c r="C22" s="35"/>
      <c r="D22" s="35"/>
      <c r="E22" s="14"/>
      <c r="F22" s="14">
        <v>409</v>
      </c>
      <c r="G22" s="12" t="s">
        <v>99</v>
      </c>
      <c r="H22" s="173">
        <v>45741</v>
      </c>
      <c r="I22" s="12"/>
      <c r="J22" s="14"/>
    </row>
    <row r="23" spans="1:10" x14ac:dyDescent="0.3">
      <c r="A23" s="11">
        <v>17140</v>
      </c>
      <c r="B23" s="11" t="s">
        <v>50</v>
      </c>
      <c r="C23" s="11" t="s">
        <v>26</v>
      </c>
      <c r="D23" s="11" t="s">
        <v>105</v>
      </c>
      <c r="E23" s="14"/>
      <c r="F23" s="14">
        <v>542.67999999999995</v>
      </c>
      <c r="G23" s="12" t="s">
        <v>103</v>
      </c>
      <c r="H23" s="173">
        <v>45744</v>
      </c>
      <c r="I23" s="12"/>
      <c r="J23" s="14"/>
    </row>
    <row r="24" spans="1:10" x14ac:dyDescent="0.3">
      <c r="A24" s="11"/>
      <c r="B24" s="11"/>
      <c r="C24" s="11"/>
      <c r="D24" s="11"/>
      <c r="E24" s="14"/>
      <c r="F24" s="14">
        <v>542</v>
      </c>
      <c r="G24" s="12" t="s">
        <v>106</v>
      </c>
      <c r="H24" s="173">
        <v>45751</v>
      </c>
      <c r="I24" s="12"/>
      <c r="J24" s="14"/>
    </row>
    <row r="25" spans="1:10" x14ac:dyDescent="0.3">
      <c r="A25" s="11"/>
      <c r="B25" s="11"/>
      <c r="C25" s="11"/>
      <c r="D25" s="11"/>
      <c r="E25" s="14"/>
      <c r="F25" s="14">
        <v>542</v>
      </c>
      <c r="G25" s="12" t="s">
        <v>107</v>
      </c>
      <c r="H25" s="173">
        <v>45758</v>
      </c>
      <c r="I25" s="12"/>
      <c r="J25" s="14"/>
    </row>
    <row r="26" spans="1:10" x14ac:dyDescent="0.3">
      <c r="A26" s="9"/>
      <c r="B26" s="9"/>
      <c r="C26" s="9"/>
      <c r="D26" s="9"/>
      <c r="E26" s="10"/>
      <c r="F26" s="10"/>
      <c r="G26" s="9"/>
      <c r="H26" s="174"/>
      <c r="I26" s="9"/>
      <c r="J26" s="10"/>
    </row>
    <row r="27" spans="1:10" ht="17.399999999999999" thickBot="1" x14ac:dyDescent="0.35">
      <c r="A27" s="590" t="s">
        <v>10</v>
      </c>
      <c r="B27" s="590"/>
      <c r="C27" s="591"/>
      <c r="D27" s="17"/>
      <c r="E27" s="2">
        <f>SUM(E2:E26)</f>
        <v>0</v>
      </c>
      <c r="F27" s="18">
        <f>SUM(F2:F26)</f>
        <v>15513.829999999998</v>
      </c>
      <c r="G27" s="3"/>
    </row>
    <row r="28" spans="1:10" ht="17.399999999999999" thickBot="1" x14ac:dyDescent="0.35">
      <c r="A28" s="590" t="s">
        <v>11</v>
      </c>
      <c r="B28" s="590"/>
      <c r="C28" s="591"/>
      <c r="D28" s="4"/>
      <c r="E28" s="5"/>
      <c r="F28" s="19"/>
      <c r="G28" s="6"/>
    </row>
    <row r="29" spans="1:10" ht="16.8" x14ac:dyDescent="0.3">
      <c r="A29" s="586"/>
      <c r="B29" s="586"/>
      <c r="C29" s="587"/>
      <c r="D29" s="588">
        <f>(F27+E28)</f>
        <v>15513.829999999998</v>
      </c>
      <c r="E29" s="7"/>
      <c r="G29" s="8"/>
    </row>
    <row r="30" spans="1:10" x14ac:dyDescent="0.3">
      <c r="A30" s="586"/>
      <c r="B30" s="586"/>
      <c r="C30" s="587"/>
      <c r="D30" s="589"/>
      <c r="G30" s="8"/>
    </row>
    <row r="32" spans="1:10" x14ac:dyDescent="0.3">
      <c r="A32" t="s">
        <v>12</v>
      </c>
      <c r="B32" t="s">
        <v>28</v>
      </c>
      <c r="C32" t="s">
        <v>29</v>
      </c>
      <c r="D32" t="s">
        <v>30</v>
      </c>
      <c r="E32" t="s">
        <v>31</v>
      </c>
      <c r="F32" t="s">
        <v>34</v>
      </c>
    </row>
    <row r="33" spans="1:6" x14ac:dyDescent="0.3">
      <c r="A33" s="9" t="s">
        <v>13</v>
      </c>
      <c r="B33" s="10">
        <v>19219.28</v>
      </c>
      <c r="C33" s="10">
        <v>109492.58</v>
      </c>
      <c r="D33" s="10">
        <v>126073.37</v>
      </c>
      <c r="E33" s="10">
        <v>270562.52999999997</v>
      </c>
      <c r="F33" s="30">
        <f>'Janeiro '!F79</f>
        <v>49887.659999999996</v>
      </c>
    </row>
    <row r="34" spans="1:6" x14ac:dyDescent="0.3">
      <c r="A34" s="9" t="s">
        <v>14</v>
      </c>
      <c r="B34" s="10">
        <v>18377.75</v>
      </c>
      <c r="C34" s="10">
        <v>151228.71</v>
      </c>
      <c r="D34" s="10">
        <v>166235.96</v>
      </c>
      <c r="E34" s="10">
        <v>324984.97000000015</v>
      </c>
      <c r="F34" s="30">
        <f>D29</f>
        <v>15513.829999999998</v>
      </c>
    </row>
    <row r="35" spans="1:6" x14ac:dyDescent="0.3">
      <c r="A35" s="9" t="s">
        <v>15</v>
      </c>
      <c r="B35" s="10">
        <v>25009.87</v>
      </c>
      <c r="C35" s="10">
        <v>119148.49</v>
      </c>
      <c r="D35" s="10">
        <v>119814.85</v>
      </c>
      <c r="E35" s="10">
        <v>256001.56999999998</v>
      </c>
      <c r="F35" s="31"/>
    </row>
    <row r="36" spans="1:6" x14ac:dyDescent="0.3">
      <c r="A36" s="9" t="s">
        <v>16</v>
      </c>
      <c r="B36" s="10">
        <v>34211.96</v>
      </c>
      <c r="C36" s="10">
        <v>238129.97</v>
      </c>
      <c r="D36" s="10">
        <v>112668.22</v>
      </c>
      <c r="E36" s="10">
        <v>136419.94</v>
      </c>
      <c r="F36" s="31"/>
    </row>
    <row r="37" spans="1:6" x14ac:dyDescent="0.3">
      <c r="A37" s="9" t="s">
        <v>17</v>
      </c>
      <c r="B37" s="10">
        <v>130599.69</v>
      </c>
      <c r="C37" s="10">
        <v>150026.72</v>
      </c>
      <c r="D37" s="10">
        <v>39597.94</v>
      </c>
      <c r="E37" s="10">
        <v>57014.400000000009</v>
      </c>
      <c r="F37" s="31"/>
    </row>
    <row r="38" spans="1:6" x14ac:dyDescent="0.3">
      <c r="A38" s="9" t="s">
        <v>18</v>
      </c>
      <c r="B38" s="10">
        <v>97973.1</v>
      </c>
      <c r="C38" s="10">
        <v>208724.8</v>
      </c>
      <c r="D38" s="10">
        <v>77419.240000000005</v>
      </c>
      <c r="E38" s="10">
        <v>259261.9199999999</v>
      </c>
      <c r="F38" s="31"/>
    </row>
    <row r="39" spans="1:6" x14ac:dyDescent="0.3">
      <c r="A39" s="9" t="s">
        <v>19</v>
      </c>
      <c r="B39" s="10">
        <v>309004.57</v>
      </c>
      <c r="C39" s="10">
        <v>130036.72</v>
      </c>
      <c r="D39" s="10">
        <v>74963.62</v>
      </c>
      <c r="E39" s="10">
        <v>191964.91000000006</v>
      </c>
      <c r="F39" s="31"/>
    </row>
    <row r="40" spans="1:6" x14ac:dyDescent="0.3">
      <c r="A40" s="9" t="s">
        <v>20</v>
      </c>
      <c r="B40" s="10">
        <v>436765.8</v>
      </c>
      <c r="C40" s="10">
        <v>211762.02</v>
      </c>
      <c r="D40" s="10">
        <v>152485.66</v>
      </c>
      <c r="E40" s="10">
        <v>273158.85000000009</v>
      </c>
      <c r="F40" s="31"/>
    </row>
    <row r="41" spans="1:6" x14ac:dyDescent="0.3">
      <c r="A41" s="9" t="s">
        <v>21</v>
      </c>
      <c r="B41" s="10">
        <v>355927.94</v>
      </c>
      <c r="C41" s="10">
        <v>534003.5</v>
      </c>
      <c r="D41" s="10">
        <v>171282.48</v>
      </c>
      <c r="E41" s="10">
        <v>63159.509999999995</v>
      </c>
      <c r="F41" s="31"/>
    </row>
    <row r="42" spans="1:6" x14ac:dyDescent="0.3">
      <c r="A42" s="9" t="s">
        <v>22</v>
      </c>
      <c r="B42" s="10">
        <v>540038.64</v>
      </c>
      <c r="C42" s="10">
        <v>96571.01</v>
      </c>
      <c r="D42" s="10">
        <v>168433.06</v>
      </c>
      <c r="E42" s="10">
        <v>53077.380000000012</v>
      </c>
      <c r="F42" s="31"/>
    </row>
    <row r="43" spans="1:6" x14ac:dyDescent="0.3">
      <c r="A43" s="9" t="s">
        <v>23</v>
      </c>
      <c r="B43" s="10">
        <v>248566.76</v>
      </c>
      <c r="C43" s="10">
        <v>33008.07</v>
      </c>
      <c r="D43" s="10">
        <v>155757.68</v>
      </c>
      <c r="E43" s="10">
        <v>15517.440000000002</v>
      </c>
      <c r="F43" s="31"/>
    </row>
    <row r="44" spans="1:6" ht="15" thickBot="1" x14ac:dyDescent="0.35">
      <c r="A44" s="22" t="s">
        <v>24</v>
      </c>
      <c r="B44" s="23">
        <v>0</v>
      </c>
      <c r="C44" s="23">
        <v>18714.12</v>
      </c>
      <c r="D44" s="23">
        <v>163379.07999999999</v>
      </c>
      <c r="E44" s="24">
        <v>9580.01</v>
      </c>
      <c r="F44" s="32"/>
    </row>
    <row r="45" spans="1:6" ht="15" thickBot="1" x14ac:dyDescent="0.35">
      <c r="A45" s="25" t="s">
        <v>25</v>
      </c>
      <c r="B45" s="26">
        <v>2215695.3600000003</v>
      </c>
      <c r="C45" s="26">
        <v>2000846.7100000002</v>
      </c>
      <c r="D45" s="26">
        <v>1528111.16</v>
      </c>
      <c r="E45" s="27">
        <f>SUM(E33:E44)</f>
        <v>1910703.4300000002</v>
      </c>
      <c r="F45" s="33"/>
    </row>
  </sheetData>
  <mergeCells count="4">
    <mergeCell ref="A29:C30"/>
    <mergeCell ref="D29:D30"/>
    <mergeCell ref="A27:C27"/>
    <mergeCell ref="A28:C2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771B-4A72-45C7-810C-56A99A83CE91}">
  <dimension ref="A1:N65"/>
  <sheetViews>
    <sheetView topLeftCell="A39" workbookViewId="0">
      <selection activeCell="H2" sqref="H2:H45"/>
    </sheetView>
  </sheetViews>
  <sheetFormatPr defaultRowHeight="14.4" x14ac:dyDescent="0.3"/>
  <cols>
    <col min="1" max="1" width="12.33203125" bestFit="1" customWidth="1"/>
    <col min="2" max="3" width="15.88671875" bestFit="1" customWidth="1"/>
    <col min="4" max="4" width="27.88671875" bestFit="1" customWidth="1"/>
    <col min="5" max="5" width="16" bestFit="1" customWidth="1"/>
    <col min="6" max="6" width="18.5546875" bestFit="1" customWidth="1"/>
    <col min="7" max="7" width="11.88671875" bestFit="1" customWidth="1"/>
    <col min="8" max="8" width="10.44140625" style="179" bestFit="1" customWidth="1"/>
    <col min="10" max="10" width="15.6640625" bestFit="1" customWidth="1"/>
    <col min="12" max="12" width="14.33203125" bestFit="1" customWidth="1"/>
    <col min="14" max="14" width="13.33203125" bestFit="1" customWidth="1"/>
  </cols>
  <sheetData>
    <row r="1" spans="1:14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5" t="s">
        <v>6</v>
      </c>
      <c r="H1" s="176" t="s">
        <v>7</v>
      </c>
      <c r="I1" s="15" t="s">
        <v>8</v>
      </c>
      <c r="J1" s="16" t="s">
        <v>9</v>
      </c>
      <c r="L1" s="21" t="s">
        <v>26</v>
      </c>
      <c r="N1" t="s">
        <v>27</v>
      </c>
    </row>
    <row r="2" spans="1:14" x14ac:dyDescent="0.3">
      <c r="A2" s="563">
        <v>17162</v>
      </c>
      <c r="B2" s="563" t="s">
        <v>87</v>
      </c>
      <c r="C2" s="563" t="s">
        <v>26</v>
      </c>
      <c r="D2" s="563" t="s">
        <v>92</v>
      </c>
      <c r="E2" s="14"/>
      <c r="F2" s="14">
        <v>2359.9899999999998</v>
      </c>
      <c r="G2" s="12" t="s">
        <v>103</v>
      </c>
      <c r="H2" s="177">
        <v>45747</v>
      </c>
      <c r="I2" s="12"/>
      <c r="J2" s="14"/>
    </row>
    <row r="3" spans="1:14" x14ac:dyDescent="0.3">
      <c r="A3" s="564"/>
      <c r="B3" s="564"/>
      <c r="C3" s="564"/>
      <c r="D3" s="564"/>
      <c r="E3" s="14"/>
      <c r="F3" s="14">
        <v>2358</v>
      </c>
      <c r="G3" s="12" t="s">
        <v>106</v>
      </c>
      <c r="H3" s="177">
        <v>45757</v>
      </c>
      <c r="I3" s="12"/>
      <c r="J3" s="14"/>
    </row>
    <row r="4" spans="1:14" x14ac:dyDescent="0.3">
      <c r="A4" s="35"/>
      <c r="B4" s="35"/>
      <c r="C4" s="35"/>
      <c r="D4" s="35"/>
      <c r="E4" s="14"/>
      <c r="F4" s="14">
        <v>2358</v>
      </c>
      <c r="G4" s="12" t="s">
        <v>107</v>
      </c>
      <c r="H4" s="177">
        <v>45761</v>
      </c>
      <c r="I4" s="12"/>
      <c r="J4" s="14"/>
    </row>
    <row r="5" spans="1:14" x14ac:dyDescent="0.3">
      <c r="A5" s="563">
        <v>17174</v>
      </c>
      <c r="B5" s="563" t="s">
        <v>56</v>
      </c>
      <c r="C5" s="563" t="s">
        <v>26</v>
      </c>
      <c r="D5" s="563" t="s">
        <v>108</v>
      </c>
      <c r="E5" s="14"/>
      <c r="F5" s="14">
        <v>361.31</v>
      </c>
      <c r="G5" s="12" t="s">
        <v>109</v>
      </c>
      <c r="H5" s="177">
        <v>45748</v>
      </c>
      <c r="I5" s="12"/>
      <c r="J5" s="14"/>
    </row>
    <row r="6" spans="1:14" x14ac:dyDescent="0.3">
      <c r="A6" s="564"/>
      <c r="B6" s="564"/>
      <c r="C6" s="564"/>
      <c r="D6" s="564"/>
      <c r="E6" s="14"/>
      <c r="F6" s="14">
        <v>361</v>
      </c>
      <c r="G6" s="12" t="s">
        <v>110</v>
      </c>
      <c r="H6" s="177">
        <v>45757</v>
      </c>
      <c r="I6" s="12"/>
      <c r="J6" s="14"/>
    </row>
    <row r="7" spans="1:14" x14ac:dyDescent="0.3">
      <c r="A7" s="35"/>
      <c r="B7" s="35"/>
      <c r="C7" s="35"/>
      <c r="D7" s="35"/>
      <c r="E7" s="14"/>
      <c r="F7" s="14">
        <v>361</v>
      </c>
      <c r="G7" s="12" t="s">
        <v>111</v>
      </c>
      <c r="H7" s="177">
        <v>45762</v>
      </c>
      <c r="I7" s="12"/>
      <c r="J7" s="14"/>
    </row>
    <row r="8" spans="1:14" x14ac:dyDescent="0.3">
      <c r="A8" s="566">
        <v>17212</v>
      </c>
      <c r="B8" s="571" t="s">
        <v>76</v>
      </c>
      <c r="C8" s="571" t="s">
        <v>26</v>
      </c>
      <c r="D8" s="571" t="s">
        <v>112</v>
      </c>
      <c r="E8" s="14"/>
      <c r="F8" s="14">
        <v>689.53</v>
      </c>
      <c r="G8" s="12" t="s">
        <v>106</v>
      </c>
      <c r="H8" s="177">
        <v>45751</v>
      </c>
      <c r="I8" s="12"/>
      <c r="J8" s="14"/>
    </row>
    <row r="9" spans="1:14" x14ac:dyDescent="0.3">
      <c r="A9" s="567"/>
      <c r="B9" s="34"/>
      <c r="C9" s="34"/>
      <c r="D9" s="34"/>
      <c r="E9" s="14"/>
      <c r="F9" s="14">
        <v>688</v>
      </c>
      <c r="G9" s="12" t="s">
        <v>107</v>
      </c>
      <c r="H9" s="177">
        <v>45758</v>
      </c>
      <c r="I9" s="12"/>
      <c r="J9" s="14"/>
    </row>
    <row r="10" spans="1:14" ht="12.6" customHeight="1" x14ac:dyDescent="0.3">
      <c r="A10" s="567"/>
      <c r="B10" s="34"/>
      <c r="C10" s="572"/>
      <c r="D10" s="34"/>
      <c r="E10" s="14"/>
      <c r="F10" s="14">
        <v>688</v>
      </c>
      <c r="G10" s="12" t="s">
        <v>113</v>
      </c>
      <c r="H10" s="177">
        <v>45764</v>
      </c>
      <c r="I10" s="12"/>
      <c r="J10" s="14"/>
    </row>
    <row r="11" spans="1:14" ht="14.4" hidden="1" customHeight="1" x14ac:dyDescent="0.3">
      <c r="A11" s="34"/>
      <c r="B11" s="34"/>
      <c r="C11" s="34"/>
      <c r="D11" s="34"/>
      <c r="E11" s="14"/>
      <c r="F11" s="14">
        <v>0</v>
      </c>
      <c r="G11" s="12"/>
      <c r="H11" s="177"/>
      <c r="I11" s="12"/>
      <c r="J11" s="14"/>
    </row>
    <row r="12" spans="1:14" ht="14.4" hidden="1" customHeight="1" x14ac:dyDescent="0.3">
      <c r="A12" s="35"/>
      <c r="B12" s="35"/>
      <c r="C12" s="35"/>
      <c r="D12" s="35"/>
      <c r="E12" s="14"/>
      <c r="F12" s="14">
        <v>0</v>
      </c>
      <c r="G12" s="12"/>
      <c r="H12" s="177"/>
      <c r="I12" s="12"/>
      <c r="J12" s="14"/>
    </row>
    <row r="13" spans="1:14" x14ac:dyDescent="0.3">
      <c r="A13" s="563">
        <v>17213</v>
      </c>
      <c r="B13" s="563" t="s">
        <v>76</v>
      </c>
      <c r="C13" s="563" t="s">
        <v>26</v>
      </c>
      <c r="D13" s="563" t="s">
        <v>112</v>
      </c>
      <c r="E13" s="14"/>
      <c r="F13" s="14">
        <v>730.69</v>
      </c>
      <c r="G13" s="12" t="s">
        <v>106</v>
      </c>
      <c r="H13" s="177">
        <v>45751</v>
      </c>
      <c r="I13" s="12"/>
      <c r="J13" s="14"/>
    </row>
    <row r="14" spans="1:14" x14ac:dyDescent="0.3">
      <c r="A14" s="564"/>
      <c r="B14" s="564"/>
      <c r="C14" s="564"/>
      <c r="D14" s="564"/>
      <c r="E14" s="14"/>
      <c r="F14" s="14">
        <v>729</v>
      </c>
      <c r="G14" s="12" t="s">
        <v>107</v>
      </c>
      <c r="H14" s="177">
        <v>45758</v>
      </c>
      <c r="I14" s="12"/>
      <c r="J14" s="14"/>
    </row>
    <row r="15" spans="1:14" x14ac:dyDescent="0.3">
      <c r="A15" s="35"/>
      <c r="B15" s="35"/>
      <c r="C15" s="35"/>
      <c r="D15" s="35"/>
      <c r="E15" s="14"/>
      <c r="F15" s="14">
        <v>729</v>
      </c>
      <c r="G15" s="12" t="s">
        <v>113</v>
      </c>
      <c r="H15" s="177">
        <v>45764</v>
      </c>
      <c r="I15" s="12"/>
      <c r="J15" s="14"/>
    </row>
    <row r="16" spans="1:14" x14ac:dyDescent="0.3">
      <c r="A16" s="563">
        <v>17283</v>
      </c>
      <c r="B16" s="563" t="s">
        <v>84</v>
      </c>
      <c r="C16" s="563" t="s">
        <v>26</v>
      </c>
      <c r="D16" s="563" t="s">
        <v>114</v>
      </c>
      <c r="E16" s="14"/>
      <c r="F16" s="14">
        <v>1003.38</v>
      </c>
      <c r="G16" s="12" t="s">
        <v>115</v>
      </c>
      <c r="H16" s="177">
        <v>45757</v>
      </c>
      <c r="I16" s="12"/>
      <c r="J16" s="14"/>
    </row>
    <row r="17" spans="1:10" x14ac:dyDescent="0.3">
      <c r="A17" s="564"/>
      <c r="B17" s="564"/>
      <c r="C17" s="564"/>
      <c r="D17" s="564"/>
      <c r="E17" s="14"/>
      <c r="F17" s="14">
        <v>1002</v>
      </c>
      <c r="G17" s="12" t="s">
        <v>116</v>
      </c>
      <c r="H17" s="177">
        <v>45764</v>
      </c>
      <c r="I17" s="12"/>
      <c r="J17" s="14"/>
    </row>
    <row r="18" spans="1:10" x14ac:dyDescent="0.3">
      <c r="A18" s="35"/>
      <c r="B18" s="35"/>
      <c r="C18" s="35"/>
      <c r="D18" s="35"/>
      <c r="E18" s="14"/>
      <c r="F18" s="14">
        <v>1002</v>
      </c>
      <c r="G18" s="12" t="s">
        <v>117</v>
      </c>
      <c r="H18" s="177">
        <v>45771</v>
      </c>
      <c r="I18" s="12"/>
      <c r="J18" s="14"/>
    </row>
    <row r="19" spans="1:10" x14ac:dyDescent="0.3">
      <c r="A19" s="563">
        <v>17290</v>
      </c>
      <c r="B19" s="563" t="s">
        <v>84</v>
      </c>
      <c r="C19" s="563" t="s">
        <v>118</v>
      </c>
      <c r="D19" s="563" t="s">
        <v>119</v>
      </c>
      <c r="E19" s="14"/>
      <c r="F19" s="14">
        <v>1071.97</v>
      </c>
      <c r="G19" s="12" t="s">
        <v>115</v>
      </c>
      <c r="H19" s="177">
        <v>45757</v>
      </c>
      <c r="I19" s="12"/>
      <c r="J19" s="14"/>
    </row>
    <row r="20" spans="1:10" x14ac:dyDescent="0.3">
      <c r="A20" s="564"/>
      <c r="B20" s="564"/>
      <c r="C20" s="564"/>
      <c r="D20" s="564"/>
      <c r="E20" s="14"/>
      <c r="F20" s="14">
        <v>1070</v>
      </c>
      <c r="G20" s="12" t="s">
        <v>116</v>
      </c>
      <c r="H20" s="177">
        <v>45764</v>
      </c>
      <c r="I20" s="12"/>
      <c r="J20" s="14"/>
    </row>
    <row r="21" spans="1:10" x14ac:dyDescent="0.3">
      <c r="A21" s="35"/>
      <c r="B21" s="35"/>
      <c r="C21" s="35"/>
      <c r="D21" s="35"/>
      <c r="E21" s="14"/>
      <c r="F21" s="14">
        <v>1070</v>
      </c>
      <c r="G21" s="12" t="s">
        <v>117</v>
      </c>
      <c r="H21" s="177">
        <v>45771</v>
      </c>
      <c r="I21" s="12"/>
      <c r="J21" s="14"/>
    </row>
    <row r="22" spans="1:10" x14ac:dyDescent="0.3">
      <c r="A22" s="40">
        <v>17312</v>
      </c>
      <c r="B22" s="40" t="s">
        <v>86</v>
      </c>
      <c r="C22" s="40" t="s">
        <v>26</v>
      </c>
      <c r="D22" s="40" t="s">
        <v>75</v>
      </c>
      <c r="E22" s="14"/>
      <c r="F22" s="14">
        <v>183.68</v>
      </c>
      <c r="G22" s="12" t="s">
        <v>107</v>
      </c>
      <c r="H22" s="177">
        <v>45758</v>
      </c>
      <c r="I22" s="12"/>
      <c r="J22" s="14"/>
    </row>
    <row r="23" spans="1:10" x14ac:dyDescent="0.3">
      <c r="A23" s="563">
        <v>17313</v>
      </c>
      <c r="B23" s="563" t="s">
        <v>86</v>
      </c>
      <c r="C23" s="563" t="s">
        <v>26</v>
      </c>
      <c r="D23" s="563" t="s">
        <v>75</v>
      </c>
      <c r="E23" s="14"/>
      <c r="F23" s="14">
        <v>406.95</v>
      </c>
      <c r="G23" s="12" t="s">
        <v>107</v>
      </c>
      <c r="H23" s="177">
        <v>45758</v>
      </c>
      <c r="I23" s="12"/>
      <c r="J23" s="14"/>
    </row>
    <row r="24" spans="1:10" x14ac:dyDescent="0.3">
      <c r="A24" s="35"/>
      <c r="B24" s="35"/>
      <c r="C24" s="35"/>
      <c r="D24" s="35"/>
      <c r="E24" s="14"/>
      <c r="F24" s="14">
        <v>405</v>
      </c>
      <c r="G24" s="12" t="s">
        <v>113</v>
      </c>
      <c r="H24" s="177">
        <v>45764</v>
      </c>
      <c r="I24" s="12"/>
      <c r="J24" s="14"/>
    </row>
    <row r="25" spans="1:10" x14ac:dyDescent="0.3">
      <c r="A25" s="563">
        <v>17344</v>
      </c>
      <c r="B25" s="563" t="s">
        <v>93</v>
      </c>
      <c r="C25" s="563" t="s">
        <v>26</v>
      </c>
      <c r="D25" s="563" t="s">
        <v>120</v>
      </c>
      <c r="E25" s="14"/>
      <c r="F25" s="14">
        <v>362.76</v>
      </c>
      <c r="G25" s="12" t="s">
        <v>121</v>
      </c>
      <c r="H25" s="177">
        <v>45762</v>
      </c>
      <c r="I25" s="12"/>
      <c r="J25" s="14"/>
    </row>
    <row r="26" spans="1:10" x14ac:dyDescent="0.3">
      <c r="A26" s="564"/>
      <c r="B26" s="564"/>
      <c r="C26" s="564"/>
      <c r="D26" s="564"/>
      <c r="E26" s="14"/>
      <c r="F26" s="14">
        <v>362</v>
      </c>
      <c r="G26" s="12" t="s">
        <v>122</v>
      </c>
      <c r="H26" s="177">
        <v>45770</v>
      </c>
      <c r="I26" s="12"/>
      <c r="J26" s="14"/>
    </row>
    <row r="27" spans="1:10" x14ac:dyDescent="0.3">
      <c r="A27" s="35"/>
      <c r="B27" s="35"/>
      <c r="C27" s="35"/>
      <c r="D27" s="35"/>
      <c r="E27" s="14"/>
      <c r="F27" s="14">
        <v>362</v>
      </c>
      <c r="G27" s="12" t="s">
        <v>123</v>
      </c>
      <c r="H27" s="177">
        <v>45777</v>
      </c>
      <c r="I27" s="12"/>
      <c r="J27" s="14"/>
    </row>
    <row r="28" spans="1:10" x14ac:dyDescent="0.3">
      <c r="A28" s="11">
        <v>17364</v>
      </c>
      <c r="B28" s="11" t="s">
        <v>71</v>
      </c>
      <c r="C28" s="11" t="s">
        <v>26</v>
      </c>
      <c r="D28" s="11" t="s">
        <v>124</v>
      </c>
      <c r="E28" s="14"/>
      <c r="F28" s="14">
        <v>363.98</v>
      </c>
      <c r="G28" s="12" t="s">
        <v>116</v>
      </c>
      <c r="H28" s="177">
        <v>45764</v>
      </c>
      <c r="I28" s="12"/>
      <c r="J28" s="14"/>
    </row>
    <row r="29" spans="1:10" x14ac:dyDescent="0.3">
      <c r="A29" s="11">
        <v>17365</v>
      </c>
      <c r="B29" s="11" t="s">
        <v>71</v>
      </c>
      <c r="C29" s="11" t="s">
        <v>26</v>
      </c>
      <c r="D29" s="11" t="s">
        <v>37</v>
      </c>
      <c r="E29" s="14"/>
      <c r="F29" s="14">
        <v>265.64999999999998</v>
      </c>
      <c r="G29" s="12" t="s">
        <v>116</v>
      </c>
      <c r="H29" s="177">
        <v>45764</v>
      </c>
      <c r="I29" s="12"/>
      <c r="J29" s="14"/>
    </row>
    <row r="30" spans="1:10" x14ac:dyDescent="0.3">
      <c r="A30" s="563">
        <v>17366</v>
      </c>
      <c r="B30" s="563" t="s">
        <v>71</v>
      </c>
      <c r="C30" s="563" t="s">
        <v>26</v>
      </c>
      <c r="D30" s="563" t="s">
        <v>112</v>
      </c>
      <c r="E30" s="14"/>
      <c r="F30" s="14">
        <v>369.73</v>
      </c>
      <c r="G30" s="12" t="s">
        <v>116</v>
      </c>
      <c r="H30" s="177">
        <v>45764</v>
      </c>
      <c r="I30" s="12"/>
      <c r="J30" s="14"/>
    </row>
    <row r="31" spans="1:10" x14ac:dyDescent="0.3">
      <c r="A31" s="564"/>
      <c r="B31" s="564"/>
      <c r="C31" s="564"/>
      <c r="D31" s="564"/>
      <c r="E31" s="14"/>
      <c r="F31" s="14">
        <v>368</v>
      </c>
      <c r="G31" s="12" t="s">
        <v>117</v>
      </c>
      <c r="H31" s="177">
        <v>45771</v>
      </c>
      <c r="I31" s="12"/>
      <c r="J31" s="14"/>
    </row>
    <row r="32" spans="1:10" x14ac:dyDescent="0.3">
      <c r="A32" s="35"/>
      <c r="B32" s="35"/>
      <c r="C32" s="35"/>
      <c r="D32" s="35"/>
      <c r="E32" s="14"/>
      <c r="F32" s="14">
        <v>368</v>
      </c>
      <c r="G32" s="12" t="s">
        <v>125</v>
      </c>
      <c r="H32" s="177">
        <v>45777</v>
      </c>
      <c r="I32" s="12"/>
      <c r="J32" s="14"/>
    </row>
    <row r="33" spans="1:10" x14ac:dyDescent="0.3">
      <c r="A33" s="563">
        <v>17401</v>
      </c>
      <c r="B33" s="563" t="s">
        <v>126</v>
      </c>
      <c r="C33" s="563" t="s">
        <v>26</v>
      </c>
      <c r="D33" s="563" t="s">
        <v>127</v>
      </c>
      <c r="E33" s="14"/>
      <c r="F33" s="14">
        <v>401.13</v>
      </c>
      <c r="G33" s="12" t="s">
        <v>128</v>
      </c>
      <c r="H33" s="177">
        <v>45769</v>
      </c>
      <c r="I33" s="12"/>
      <c r="J33" s="14"/>
    </row>
    <row r="34" spans="1:10" x14ac:dyDescent="0.3">
      <c r="A34" s="35"/>
      <c r="B34" s="35"/>
      <c r="C34" s="35"/>
      <c r="D34" s="35"/>
      <c r="E34" s="14"/>
      <c r="F34" s="14">
        <v>401</v>
      </c>
      <c r="G34" s="12" t="s">
        <v>129</v>
      </c>
      <c r="H34" s="177">
        <v>45777</v>
      </c>
      <c r="I34" s="12"/>
      <c r="J34" s="14"/>
    </row>
    <row r="35" spans="1:10" x14ac:dyDescent="0.3">
      <c r="A35" s="11">
        <v>17418</v>
      </c>
      <c r="B35" s="11" t="s">
        <v>99</v>
      </c>
      <c r="C35" s="11" t="s">
        <v>26</v>
      </c>
      <c r="D35" s="11" t="s">
        <v>130</v>
      </c>
      <c r="E35" s="14"/>
      <c r="F35" s="14">
        <v>101.78</v>
      </c>
      <c r="G35" s="12" t="s">
        <v>131</v>
      </c>
      <c r="H35" s="177">
        <v>45769</v>
      </c>
      <c r="I35" s="12"/>
      <c r="J35" s="14"/>
    </row>
    <row r="36" spans="1:10" x14ac:dyDescent="0.3">
      <c r="A36" s="563">
        <v>17423</v>
      </c>
      <c r="B36" s="563" t="s">
        <v>132</v>
      </c>
      <c r="C36" s="563" t="s">
        <v>26</v>
      </c>
      <c r="D36" s="563" t="s">
        <v>133</v>
      </c>
      <c r="E36" s="14"/>
      <c r="F36" s="14">
        <v>1585.88</v>
      </c>
      <c r="G36" s="12" t="s">
        <v>122</v>
      </c>
      <c r="H36" s="177">
        <v>45770</v>
      </c>
      <c r="I36" s="12"/>
      <c r="J36" s="14"/>
    </row>
    <row r="37" spans="1:10" x14ac:dyDescent="0.3">
      <c r="A37" s="564"/>
      <c r="B37" s="564"/>
      <c r="C37" s="564"/>
      <c r="D37" s="564"/>
      <c r="E37" s="14"/>
      <c r="F37" s="14">
        <v>1585</v>
      </c>
      <c r="G37" s="12" t="s">
        <v>123</v>
      </c>
      <c r="H37" s="177">
        <v>45777</v>
      </c>
      <c r="I37" s="12"/>
      <c r="J37" s="14"/>
    </row>
    <row r="38" spans="1:10" x14ac:dyDescent="0.3">
      <c r="A38" s="35"/>
      <c r="B38" s="35"/>
      <c r="C38" s="35"/>
      <c r="D38" s="35"/>
      <c r="E38" s="14"/>
      <c r="F38" s="14">
        <v>1585</v>
      </c>
      <c r="G38" s="12" t="s">
        <v>134</v>
      </c>
      <c r="H38" s="177">
        <v>45783</v>
      </c>
      <c r="I38" s="12"/>
      <c r="J38" s="14"/>
    </row>
    <row r="39" spans="1:10" x14ac:dyDescent="0.3">
      <c r="A39" s="11">
        <v>17421</v>
      </c>
      <c r="B39" s="11" t="s">
        <v>132</v>
      </c>
      <c r="C39" s="11" t="s">
        <v>26</v>
      </c>
      <c r="D39" s="11" t="s">
        <v>135</v>
      </c>
      <c r="E39" s="14"/>
      <c r="F39" s="14">
        <v>136.28</v>
      </c>
      <c r="G39" s="12" t="s">
        <v>122</v>
      </c>
      <c r="H39" s="177">
        <v>45770</v>
      </c>
      <c r="I39" s="12"/>
      <c r="J39" s="14"/>
    </row>
    <row r="40" spans="1:10" x14ac:dyDescent="0.3">
      <c r="A40" s="563">
        <v>17453</v>
      </c>
      <c r="B40" s="563" t="s">
        <v>136</v>
      </c>
      <c r="C40" s="563" t="s">
        <v>26</v>
      </c>
      <c r="D40" s="563" t="s">
        <v>137</v>
      </c>
      <c r="E40" s="14"/>
      <c r="F40" s="14">
        <v>1171.8599999999999</v>
      </c>
      <c r="G40" s="12" t="s">
        <v>117</v>
      </c>
      <c r="H40" s="177">
        <v>45771</v>
      </c>
      <c r="I40" s="12"/>
      <c r="J40" s="14"/>
    </row>
    <row r="41" spans="1:10" x14ac:dyDescent="0.3">
      <c r="A41" s="564"/>
      <c r="B41" s="564"/>
      <c r="C41" s="564"/>
      <c r="D41" s="564"/>
      <c r="E41" s="14"/>
      <c r="F41" s="14">
        <v>1171</v>
      </c>
      <c r="G41" s="12" t="s">
        <v>125</v>
      </c>
      <c r="H41" s="177">
        <v>45777</v>
      </c>
      <c r="I41" s="12"/>
      <c r="J41" s="14"/>
    </row>
    <row r="42" spans="1:10" x14ac:dyDescent="0.3">
      <c r="A42" s="35"/>
      <c r="B42" s="35"/>
      <c r="C42" s="35"/>
      <c r="D42" s="35"/>
      <c r="E42" s="14"/>
      <c r="F42" s="14">
        <v>1171</v>
      </c>
      <c r="G42" s="12" t="s">
        <v>138</v>
      </c>
      <c r="H42" s="177">
        <v>45786</v>
      </c>
      <c r="I42" s="12"/>
      <c r="J42" s="14"/>
    </row>
    <row r="43" spans="1:10" x14ac:dyDescent="0.3">
      <c r="A43" s="11">
        <v>17456</v>
      </c>
      <c r="B43" s="11" t="s">
        <v>103</v>
      </c>
      <c r="C43" s="11" t="s">
        <v>26</v>
      </c>
      <c r="D43" s="11"/>
      <c r="E43" s="14"/>
      <c r="F43" s="14">
        <v>112.13</v>
      </c>
      <c r="G43" s="12" t="s">
        <v>139</v>
      </c>
      <c r="H43" s="177">
        <v>45772</v>
      </c>
      <c r="I43" s="12"/>
      <c r="J43" s="14"/>
    </row>
    <row r="44" spans="1:10" x14ac:dyDescent="0.3">
      <c r="A44" s="11">
        <v>17464</v>
      </c>
      <c r="B44" s="11" t="s">
        <v>103</v>
      </c>
      <c r="C44" s="11" t="s">
        <v>26</v>
      </c>
      <c r="D44" s="11"/>
      <c r="E44" s="14"/>
      <c r="F44" s="14">
        <v>351.54</v>
      </c>
      <c r="G44" s="12" t="s">
        <v>139</v>
      </c>
      <c r="H44" s="177">
        <v>45772</v>
      </c>
      <c r="I44" s="12"/>
      <c r="J44" s="14"/>
    </row>
    <row r="45" spans="1:10" x14ac:dyDescent="0.3">
      <c r="A45" s="11">
        <v>17466</v>
      </c>
      <c r="B45" s="11" t="s">
        <v>103</v>
      </c>
      <c r="C45" s="11" t="s">
        <v>26</v>
      </c>
      <c r="D45" s="11"/>
      <c r="E45" s="14"/>
      <c r="F45" s="14">
        <v>186</v>
      </c>
      <c r="G45" s="12" t="s">
        <v>139</v>
      </c>
      <c r="H45" s="177">
        <v>45772</v>
      </c>
      <c r="I45" s="12"/>
      <c r="J45" s="14"/>
    </row>
    <row r="46" spans="1:10" x14ac:dyDescent="0.3">
      <c r="A46" s="9"/>
      <c r="B46" s="9"/>
      <c r="C46" s="9"/>
      <c r="D46" s="9"/>
      <c r="E46" s="10"/>
      <c r="F46" s="10"/>
      <c r="G46" s="9"/>
      <c r="H46" s="178"/>
      <c r="I46" s="9"/>
      <c r="J46" s="10">
        <f>SUM(J2:J45)</f>
        <v>0</v>
      </c>
    </row>
    <row r="47" spans="1:10" ht="17.399999999999999" thickBot="1" x14ac:dyDescent="0.35">
      <c r="A47" s="592" t="s">
        <v>10</v>
      </c>
      <c r="B47" s="592"/>
      <c r="C47" s="593"/>
      <c r="D47" s="17"/>
      <c r="E47" s="2">
        <f>SUM(E2:E46)</f>
        <v>0</v>
      </c>
      <c r="F47" s="18">
        <f>SUM(F2:F46)</f>
        <v>32410.22</v>
      </c>
      <c r="G47" s="3"/>
    </row>
    <row r="48" spans="1:10" ht="17.399999999999999" thickBot="1" x14ac:dyDescent="0.35">
      <c r="A48" s="590" t="s">
        <v>11</v>
      </c>
      <c r="B48" s="590"/>
      <c r="C48" s="591"/>
      <c r="D48" s="4"/>
      <c r="E48" s="5"/>
      <c r="F48" s="19"/>
      <c r="G48" s="6"/>
    </row>
    <row r="49" spans="1:7" ht="16.8" x14ac:dyDescent="0.3">
      <c r="A49" s="586"/>
      <c r="B49" s="586"/>
      <c r="C49" s="587"/>
      <c r="D49" s="588">
        <f>(F47+E48)</f>
        <v>32410.22</v>
      </c>
      <c r="E49" s="7"/>
      <c r="G49" s="8"/>
    </row>
    <row r="50" spans="1:7" x14ac:dyDescent="0.3">
      <c r="A50" s="586"/>
      <c r="B50" s="586"/>
      <c r="C50" s="587"/>
      <c r="D50" s="589"/>
      <c r="G50" s="8"/>
    </row>
    <row r="52" spans="1:7" x14ac:dyDescent="0.3">
      <c r="A52" t="s">
        <v>12</v>
      </c>
      <c r="B52" t="s">
        <v>28</v>
      </c>
      <c r="C52" t="s">
        <v>29</v>
      </c>
      <c r="D52" t="s">
        <v>30</v>
      </c>
      <c r="E52" t="s">
        <v>31</v>
      </c>
      <c r="F52" t="s">
        <v>34</v>
      </c>
    </row>
    <row r="53" spans="1:7" x14ac:dyDescent="0.3">
      <c r="A53" s="9" t="s">
        <v>13</v>
      </c>
      <c r="B53" s="10">
        <v>19219.28</v>
      </c>
      <c r="C53" s="10">
        <v>109492.58</v>
      </c>
      <c r="D53" s="10">
        <v>126073.37</v>
      </c>
      <c r="E53" s="10">
        <v>270562.52999999997</v>
      </c>
      <c r="F53" s="36">
        <f>'Janeiro '!F79</f>
        <v>49887.659999999996</v>
      </c>
    </row>
    <row r="54" spans="1:7" x14ac:dyDescent="0.3">
      <c r="A54" s="9" t="s">
        <v>14</v>
      </c>
      <c r="B54" s="10">
        <v>18377.75</v>
      </c>
      <c r="C54" s="10">
        <v>151228.71</v>
      </c>
      <c r="D54" s="10">
        <v>166235.96</v>
      </c>
      <c r="E54" s="10">
        <v>324984.97000000015</v>
      </c>
      <c r="F54" s="36">
        <v>15513.83</v>
      </c>
    </row>
    <row r="55" spans="1:7" x14ac:dyDescent="0.3">
      <c r="A55" s="9" t="s">
        <v>15</v>
      </c>
      <c r="B55" s="10">
        <v>25009.87</v>
      </c>
      <c r="C55" s="10">
        <v>119148.49</v>
      </c>
      <c r="D55" s="10">
        <v>119814.85</v>
      </c>
      <c r="E55" s="10">
        <v>256001.56999999998</v>
      </c>
      <c r="F55" s="36">
        <f>SUM(F47)</f>
        <v>32410.22</v>
      </c>
    </row>
    <row r="56" spans="1:7" x14ac:dyDescent="0.3">
      <c r="A56" s="9" t="s">
        <v>16</v>
      </c>
      <c r="B56" s="10">
        <v>34211.96</v>
      </c>
      <c r="C56" s="10">
        <v>238129.97</v>
      </c>
      <c r="D56" s="10">
        <v>112668.22</v>
      </c>
      <c r="E56" s="10">
        <v>136419.94</v>
      </c>
      <c r="F56" s="31"/>
    </row>
    <row r="57" spans="1:7" x14ac:dyDescent="0.3">
      <c r="A57" s="9" t="s">
        <v>17</v>
      </c>
      <c r="B57" s="10">
        <v>130599.69</v>
      </c>
      <c r="C57" s="10">
        <v>150026.72</v>
      </c>
      <c r="D57" s="10">
        <v>39597.94</v>
      </c>
      <c r="E57" s="10">
        <v>57014.400000000009</v>
      </c>
      <c r="F57" s="31"/>
    </row>
    <row r="58" spans="1:7" x14ac:dyDescent="0.3">
      <c r="A58" s="9" t="s">
        <v>18</v>
      </c>
      <c r="B58" s="10">
        <v>97973.1</v>
      </c>
      <c r="C58" s="10">
        <v>208724.8</v>
      </c>
      <c r="D58" s="10">
        <v>77419.240000000005</v>
      </c>
      <c r="E58" s="10">
        <v>259261.9199999999</v>
      </c>
      <c r="F58" s="31"/>
    </row>
    <row r="59" spans="1:7" x14ac:dyDescent="0.3">
      <c r="A59" s="9" t="s">
        <v>19</v>
      </c>
      <c r="B59" s="10">
        <v>309004.57</v>
      </c>
      <c r="C59" s="10">
        <v>130036.72</v>
      </c>
      <c r="D59" s="10">
        <v>74963.62</v>
      </c>
      <c r="E59" s="10">
        <v>191964.91000000006</v>
      </c>
      <c r="F59" s="31"/>
    </row>
    <row r="60" spans="1:7" x14ac:dyDescent="0.3">
      <c r="A60" s="9" t="s">
        <v>20</v>
      </c>
      <c r="B60" s="10">
        <v>436765.8</v>
      </c>
      <c r="C60" s="10">
        <v>211762.02</v>
      </c>
      <c r="D60" s="10">
        <v>152485.66</v>
      </c>
      <c r="E60" s="10">
        <v>273158.85000000009</v>
      </c>
      <c r="F60" s="31"/>
    </row>
    <row r="61" spans="1:7" x14ac:dyDescent="0.3">
      <c r="A61" s="9" t="s">
        <v>21</v>
      </c>
      <c r="B61" s="10">
        <v>355927.94</v>
      </c>
      <c r="C61" s="10">
        <v>534003.5</v>
      </c>
      <c r="D61" s="10">
        <v>171282.48</v>
      </c>
      <c r="E61" s="10">
        <v>63159.509999999995</v>
      </c>
      <c r="F61" s="31"/>
    </row>
    <row r="62" spans="1:7" x14ac:dyDescent="0.3">
      <c r="A62" s="9" t="s">
        <v>22</v>
      </c>
      <c r="B62" s="10">
        <v>540038.64</v>
      </c>
      <c r="C62" s="10">
        <v>96571.01</v>
      </c>
      <c r="D62" s="10">
        <v>168433.06</v>
      </c>
      <c r="E62" s="10">
        <v>53077.380000000012</v>
      </c>
      <c r="F62" s="31"/>
    </row>
    <row r="63" spans="1:7" x14ac:dyDescent="0.3">
      <c r="A63" s="9" t="s">
        <v>23</v>
      </c>
      <c r="B63" s="10">
        <v>248566.76</v>
      </c>
      <c r="C63" s="10">
        <v>33008.07</v>
      </c>
      <c r="D63" s="10">
        <v>155757.68</v>
      </c>
      <c r="E63" s="10">
        <v>15517.440000000002</v>
      </c>
      <c r="F63" s="31"/>
    </row>
    <row r="64" spans="1:7" ht="15" thickBot="1" x14ac:dyDescent="0.35">
      <c r="A64" s="22" t="s">
        <v>24</v>
      </c>
      <c r="B64" s="23">
        <v>0</v>
      </c>
      <c r="C64" s="23">
        <v>18714.12</v>
      </c>
      <c r="D64" s="23">
        <v>163379.07999999999</v>
      </c>
      <c r="E64" s="24">
        <v>9580.01</v>
      </c>
      <c r="F64" s="32"/>
    </row>
    <row r="65" spans="1:6" ht="15" thickBot="1" x14ac:dyDescent="0.35">
      <c r="A65" s="25" t="s">
        <v>25</v>
      </c>
      <c r="B65" s="26">
        <v>2215695.3600000003</v>
      </c>
      <c r="C65" s="26">
        <v>2000846.7100000002</v>
      </c>
      <c r="D65" s="26">
        <v>1528111.16</v>
      </c>
      <c r="E65" s="27">
        <f>SUM(E53:E64)</f>
        <v>1910703.4300000002</v>
      </c>
      <c r="F65" s="33"/>
    </row>
  </sheetData>
  <mergeCells count="4">
    <mergeCell ref="A48:C48"/>
    <mergeCell ref="A49:C50"/>
    <mergeCell ref="D49:D50"/>
    <mergeCell ref="A47:C47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1C80-676D-450B-963A-B2E628AFF1E9}">
  <dimension ref="A1:J45"/>
  <sheetViews>
    <sheetView topLeftCell="A6" workbookViewId="0">
      <selection activeCell="H2" sqref="H2:H25"/>
    </sheetView>
  </sheetViews>
  <sheetFormatPr defaultRowHeight="14.4" x14ac:dyDescent="0.3"/>
  <cols>
    <col min="1" max="1" width="13.6640625" customWidth="1"/>
    <col min="2" max="2" width="16.77734375" customWidth="1"/>
    <col min="3" max="3" width="17.44140625" customWidth="1"/>
    <col min="4" max="4" width="15.6640625" customWidth="1"/>
    <col min="5" max="5" width="15.21875" customWidth="1"/>
    <col min="6" max="6" width="18.33203125" customWidth="1"/>
    <col min="7" max="7" width="13.33203125" customWidth="1"/>
    <col min="8" max="8" width="12.21875" style="179" customWidth="1"/>
    <col min="10" max="10" width="14.33203125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5" t="s">
        <v>6</v>
      </c>
      <c r="H1" s="176" t="s">
        <v>7</v>
      </c>
      <c r="I1" s="15" t="s">
        <v>8</v>
      </c>
      <c r="J1" s="16" t="s">
        <v>9</v>
      </c>
    </row>
    <row r="2" spans="1:10" x14ac:dyDescent="0.3">
      <c r="A2" s="563">
        <v>17575</v>
      </c>
      <c r="B2" s="563" t="s">
        <v>110</v>
      </c>
      <c r="C2" s="563" t="s">
        <v>26</v>
      </c>
      <c r="D2" s="563" t="s">
        <v>112</v>
      </c>
      <c r="E2" s="594"/>
      <c r="F2" s="14">
        <v>485.1</v>
      </c>
      <c r="G2" s="12" t="s">
        <v>140</v>
      </c>
      <c r="H2" s="177">
        <v>45783</v>
      </c>
      <c r="I2" s="12"/>
      <c r="J2" s="14"/>
    </row>
    <row r="3" spans="1:10" x14ac:dyDescent="0.3">
      <c r="A3" s="564"/>
      <c r="B3" s="564"/>
      <c r="C3" s="564"/>
      <c r="D3" s="564"/>
      <c r="E3" s="595"/>
      <c r="F3" s="14">
        <v>483</v>
      </c>
      <c r="G3" s="12" t="s">
        <v>141</v>
      </c>
      <c r="H3" s="177">
        <v>45791</v>
      </c>
      <c r="I3" s="12"/>
      <c r="J3" s="14"/>
    </row>
    <row r="4" spans="1:10" x14ac:dyDescent="0.3">
      <c r="A4" s="35"/>
      <c r="B4" s="35"/>
      <c r="C4" s="35"/>
      <c r="D4" s="35"/>
      <c r="E4" s="596"/>
      <c r="F4" s="14">
        <v>483</v>
      </c>
      <c r="G4" s="12" t="s">
        <v>142</v>
      </c>
      <c r="H4" s="177">
        <v>45797</v>
      </c>
      <c r="I4" s="12"/>
      <c r="J4" s="14"/>
    </row>
    <row r="5" spans="1:10" x14ac:dyDescent="0.3">
      <c r="A5" s="563">
        <v>17589</v>
      </c>
      <c r="B5" s="563" t="s">
        <v>110</v>
      </c>
      <c r="C5" s="563" t="s">
        <v>26</v>
      </c>
      <c r="D5" s="563" t="s">
        <v>143</v>
      </c>
      <c r="E5" s="594"/>
      <c r="F5" s="14">
        <v>1245.8699999999999</v>
      </c>
      <c r="G5" s="12" t="s">
        <v>140</v>
      </c>
      <c r="H5" s="177">
        <v>45783</v>
      </c>
      <c r="I5" s="12"/>
      <c r="J5" s="14"/>
    </row>
    <row r="6" spans="1:10" x14ac:dyDescent="0.3">
      <c r="A6" s="564"/>
      <c r="B6" s="564"/>
      <c r="C6" s="564"/>
      <c r="D6" s="564"/>
      <c r="E6" s="595"/>
      <c r="F6" s="14">
        <v>1244</v>
      </c>
      <c r="G6" s="12" t="s">
        <v>141</v>
      </c>
      <c r="H6" s="177">
        <v>45791</v>
      </c>
      <c r="I6" s="12"/>
      <c r="J6" s="14"/>
    </row>
    <row r="7" spans="1:10" x14ac:dyDescent="0.3">
      <c r="A7" s="35"/>
      <c r="B7" s="35"/>
      <c r="C7" s="35"/>
      <c r="D7" s="35"/>
      <c r="E7" s="596"/>
      <c r="F7" s="14">
        <v>1244</v>
      </c>
      <c r="G7" s="12" t="s">
        <v>142</v>
      </c>
      <c r="H7" s="177">
        <v>45797</v>
      </c>
      <c r="I7" s="12"/>
      <c r="J7" s="14"/>
    </row>
    <row r="8" spans="1:10" x14ac:dyDescent="0.3">
      <c r="A8" s="566">
        <v>17590</v>
      </c>
      <c r="B8" s="568" t="s">
        <v>110</v>
      </c>
      <c r="C8" s="570" t="s">
        <v>26</v>
      </c>
      <c r="D8" s="566" t="s">
        <v>108</v>
      </c>
      <c r="E8" s="594"/>
      <c r="F8" s="14">
        <v>1185.23</v>
      </c>
      <c r="G8" s="12" t="s">
        <v>140</v>
      </c>
      <c r="H8" s="177">
        <v>45783</v>
      </c>
      <c r="I8" s="12"/>
      <c r="J8" s="14"/>
    </row>
    <row r="9" spans="1:10" x14ac:dyDescent="0.3">
      <c r="A9" s="567"/>
      <c r="B9" s="569"/>
      <c r="C9" s="570"/>
      <c r="D9" s="567"/>
      <c r="E9" s="595"/>
      <c r="F9" s="14">
        <v>1185</v>
      </c>
      <c r="G9" s="12" t="s">
        <v>141</v>
      </c>
      <c r="H9" s="177">
        <v>45791</v>
      </c>
      <c r="I9" s="12"/>
      <c r="J9" s="14"/>
    </row>
    <row r="10" spans="1:10" ht="15" thickBot="1" x14ac:dyDescent="0.35">
      <c r="A10" s="567"/>
      <c r="B10" s="569"/>
      <c r="C10" s="571"/>
      <c r="D10" s="567"/>
      <c r="E10" s="596"/>
      <c r="F10" s="14">
        <v>1185</v>
      </c>
      <c r="G10" s="12" t="s">
        <v>142</v>
      </c>
      <c r="H10" s="177">
        <v>45797</v>
      </c>
      <c r="I10" s="12"/>
      <c r="J10" s="14"/>
    </row>
    <row r="11" spans="1:10" x14ac:dyDescent="0.3">
      <c r="A11" s="573">
        <v>17591</v>
      </c>
      <c r="B11" s="568" t="s">
        <v>110</v>
      </c>
      <c r="C11" s="570" t="s">
        <v>26</v>
      </c>
      <c r="D11" s="566" t="s">
        <v>37</v>
      </c>
      <c r="E11" s="594"/>
      <c r="F11" s="14">
        <v>368.28</v>
      </c>
      <c r="G11" s="12" t="s">
        <v>140</v>
      </c>
      <c r="H11" s="177">
        <v>45783</v>
      </c>
      <c r="I11" s="12"/>
      <c r="J11" s="14"/>
    </row>
    <row r="12" spans="1:10" x14ac:dyDescent="0.3">
      <c r="A12" s="567"/>
      <c r="B12" s="569"/>
      <c r="C12" s="570"/>
      <c r="D12" s="567"/>
      <c r="E12" s="595"/>
      <c r="F12" s="38">
        <v>367</v>
      </c>
      <c r="G12" s="12" t="s">
        <v>141</v>
      </c>
      <c r="H12" s="180">
        <v>45791</v>
      </c>
      <c r="I12" s="39"/>
      <c r="J12" s="38"/>
    </row>
    <row r="13" spans="1:10" x14ac:dyDescent="0.3">
      <c r="A13" s="574"/>
      <c r="B13" s="569"/>
      <c r="C13" s="571"/>
      <c r="D13" s="567"/>
      <c r="E13" s="596"/>
      <c r="F13" s="14">
        <v>367</v>
      </c>
      <c r="G13" s="12" t="s">
        <v>142</v>
      </c>
      <c r="H13" s="177">
        <v>45797</v>
      </c>
      <c r="I13" s="12"/>
      <c r="J13" s="14"/>
    </row>
    <row r="14" spans="1:10" x14ac:dyDescent="0.3">
      <c r="A14" s="563">
        <v>17620</v>
      </c>
      <c r="B14" s="563" t="s">
        <v>107</v>
      </c>
      <c r="C14" s="563" t="s">
        <v>26</v>
      </c>
      <c r="D14" s="563" t="s">
        <v>144</v>
      </c>
      <c r="E14" s="594"/>
      <c r="F14" s="14">
        <v>1082.74</v>
      </c>
      <c r="G14" s="12" t="s">
        <v>145</v>
      </c>
      <c r="H14" s="177">
        <v>45786</v>
      </c>
      <c r="I14" s="12"/>
      <c r="J14" s="14"/>
    </row>
    <row r="15" spans="1:10" x14ac:dyDescent="0.3">
      <c r="A15" s="564"/>
      <c r="B15" s="564"/>
      <c r="C15" s="564"/>
      <c r="D15" s="564"/>
      <c r="E15" s="595"/>
      <c r="F15" s="14">
        <v>1081</v>
      </c>
      <c r="G15" s="12" t="s">
        <v>146</v>
      </c>
      <c r="H15" s="177">
        <v>45791</v>
      </c>
      <c r="I15" s="12"/>
      <c r="J15" s="14"/>
    </row>
    <row r="16" spans="1:10" x14ac:dyDescent="0.3">
      <c r="A16" s="35"/>
      <c r="B16" s="35"/>
      <c r="C16" s="35"/>
      <c r="D16" s="35"/>
      <c r="E16" s="596"/>
      <c r="F16" s="14">
        <v>1081</v>
      </c>
      <c r="G16" s="12" t="s">
        <v>147</v>
      </c>
      <c r="H16" s="177">
        <v>45798</v>
      </c>
      <c r="I16" s="12"/>
      <c r="J16" s="14"/>
    </row>
    <row r="17" spans="1:10" x14ac:dyDescent="0.3">
      <c r="A17" s="11">
        <v>17621</v>
      </c>
      <c r="B17" s="11" t="s">
        <v>107</v>
      </c>
      <c r="C17" s="11" t="s">
        <v>26</v>
      </c>
      <c r="D17" s="11" t="s">
        <v>37</v>
      </c>
      <c r="E17" s="37"/>
      <c r="F17" s="14">
        <v>267.04000000000002</v>
      </c>
      <c r="G17" s="12" t="s">
        <v>145</v>
      </c>
      <c r="H17" s="177">
        <v>45786</v>
      </c>
      <c r="I17" s="12"/>
      <c r="J17" s="14"/>
    </row>
    <row r="18" spans="1:10" ht="15.6" customHeight="1" x14ac:dyDescent="0.3">
      <c r="A18" s="40">
        <v>17640</v>
      </c>
      <c r="B18" s="40" t="s">
        <v>148</v>
      </c>
      <c r="C18" s="40" t="s">
        <v>26</v>
      </c>
      <c r="D18" s="40" t="s">
        <v>37</v>
      </c>
      <c r="E18" s="14"/>
      <c r="F18" s="14">
        <v>362.7</v>
      </c>
      <c r="G18" s="12" t="s">
        <v>149</v>
      </c>
      <c r="H18" s="177">
        <v>45791</v>
      </c>
      <c r="I18" s="12"/>
      <c r="J18" s="14"/>
    </row>
    <row r="19" spans="1:10" x14ac:dyDescent="0.3">
      <c r="A19" s="40">
        <v>17669</v>
      </c>
      <c r="B19" s="40" t="s">
        <v>111</v>
      </c>
      <c r="C19" s="40" t="s">
        <v>26</v>
      </c>
      <c r="D19" s="40" t="s">
        <v>135</v>
      </c>
      <c r="E19" s="14"/>
      <c r="F19" s="14">
        <v>274.27999999999997</v>
      </c>
      <c r="G19" s="12" t="s">
        <v>141</v>
      </c>
      <c r="H19" s="177">
        <v>45791</v>
      </c>
      <c r="I19" s="12"/>
      <c r="J19" s="14"/>
    </row>
    <row r="20" spans="1:10" x14ac:dyDescent="0.3">
      <c r="A20" s="563">
        <v>17750</v>
      </c>
      <c r="B20" s="563" t="s">
        <v>131</v>
      </c>
      <c r="C20" s="563" t="s">
        <v>26</v>
      </c>
      <c r="D20" s="563" t="s">
        <v>37</v>
      </c>
      <c r="E20" s="14"/>
      <c r="F20" s="14">
        <v>1156.28</v>
      </c>
      <c r="G20" s="12" t="s">
        <v>142</v>
      </c>
      <c r="H20" s="177">
        <v>45797</v>
      </c>
      <c r="I20" s="12"/>
      <c r="J20" s="14"/>
    </row>
    <row r="21" spans="1:10" x14ac:dyDescent="0.3">
      <c r="A21" s="564"/>
      <c r="B21" s="564"/>
      <c r="C21" s="564"/>
      <c r="D21" s="564"/>
      <c r="E21" s="14"/>
      <c r="F21" s="14">
        <v>1156</v>
      </c>
      <c r="G21" s="12" t="s">
        <v>150</v>
      </c>
      <c r="H21" s="177">
        <v>45804</v>
      </c>
      <c r="I21" s="12"/>
      <c r="J21" s="14"/>
    </row>
    <row r="22" spans="1:10" x14ac:dyDescent="0.3">
      <c r="A22" s="35"/>
      <c r="B22" s="35"/>
      <c r="C22" s="35"/>
      <c r="D22" s="35"/>
      <c r="E22" s="14"/>
      <c r="F22" s="14">
        <v>1156</v>
      </c>
      <c r="G22" s="12" t="s">
        <v>151</v>
      </c>
      <c r="H22" s="177">
        <v>45811</v>
      </c>
      <c r="I22" s="12"/>
      <c r="J22" s="14"/>
    </row>
    <row r="23" spans="1:10" x14ac:dyDescent="0.3">
      <c r="A23" s="563">
        <v>17832</v>
      </c>
      <c r="B23" s="563" t="s">
        <v>152</v>
      </c>
      <c r="C23" s="563" t="s">
        <v>26</v>
      </c>
      <c r="D23" s="563" t="s">
        <v>37</v>
      </c>
      <c r="E23" s="14"/>
      <c r="F23" s="14">
        <v>1886.01</v>
      </c>
      <c r="G23" s="12" t="s">
        <v>150</v>
      </c>
      <c r="H23" s="177">
        <v>45804</v>
      </c>
      <c r="I23" s="12"/>
      <c r="J23" s="14"/>
    </row>
    <row r="24" spans="1:10" x14ac:dyDescent="0.3">
      <c r="A24" s="564"/>
      <c r="B24" s="564"/>
      <c r="C24" s="564"/>
      <c r="D24" s="564"/>
      <c r="E24" s="14"/>
      <c r="F24" s="14">
        <v>1886</v>
      </c>
      <c r="G24" s="12" t="s">
        <v>151</v>
      </c>
      <c r="H24" s="177">
        <v>45812</v>
      </c>
      <c r="I24" s="12"/>
      <c r="J24" s="14"/>
    </row>
    <row r="25" spans="1:10" x14ac:dyDescent="0.3">
      <c r="A25" s="35"/>
      <c r="B25" s="35"/>
      <c r="C25" s="35"/>
      <c r="D25" s="35"/>
      <c r="E25" s="14"/>
      <c r="F25" s="14">
        <v>1886</v>
      </c>
      <c r="G25" s="12" t="s">
        <v>153</v>
      </c>
      <c r="H25" s="177">
        <v>45818</v>
      </c>
      <c r="I25" s="12"/>
      <c r="J25" s="14"/>
    </row>
    <row r="26" spans="1:10" x14ac:dyDescent="0.3">
      <c r="A26" s="9"/>
      <c r="B26" s="9"/>
      <c r="C26" s="9"/>
      <c r="D26" s="9"/>
      <c r="E26" s="10"/>
      <c r="F26" s="10"/>
      <c r="G26" s="9"/>
      <c r="H26" s="178"/>
      <c r="I26" s="9"/>
      <c r="J26" s="10">
        <f>SUM(J2:J25)</f>
        <v>0</v>
      </c>
    </row>
    <row r="27" spans="1:10" ht="17.399999999999999" thickBot="1" x14ac:dyDescent="0.35">
      <c r="A27" s="592" t="s">
        <v>10</v>
      </c>
      <c r="B27" s="592"/>
      <c r="C27" s="593"/>
      <c r="D27" s="17"/>
      <c r="E27" s="2">
        <f>SUM(E2:E26)</f>
        <v>0</v>
      </c>
      <c r="F27" s="18">
        <f>SUM(F2:F26)</f>
        <v>23117.530000000002</v>
      </c>
      <c r="G27" s="3"/>
    </row>
    <row r="28" spans="1:10" ht="17.399999999999999" thickBot="1" x14ac:dyDescent="0.35">
      <c r="A28" s="590" t="s">
        <v>11</v>
      </c>
      <c r="B28" s="590"/>
      <c r="C28" s="591"/>
      <c r="D28" s="4"/>
      <c r="E28" s="5"/>
      <c r="F28" s="19"/>
      <c r="G28" s="6"/>
    </row>
    <row r="29" spans="1:10" ht="16.8" x14ac:dyDescent="0.3">
      <c r="A29" s="586"/>
      <c r="B29" s="586"/>
      <c r="C29" s="587"/>
      <c r="D29" s="588">
        <v>0</v>
      </c>
      <c r="E29" s="7"/>
      <c r="G29" s="8"/>
    </row>
    <row r="30" spans="1:10" x14ac:dyDescent="0.3">
      <c r="A30" s="586"/>
      <c r="B30" s="586"/>
      <c r="C30" s="587"/>
      <c r="D30" s="589"/>
      <c r="G30" s="8"/>
    </row>
    <row r="32" spans="1:10" x14ac:dyDescent="0.3">
      <c r="A32" t="s">
        <v>12</v>
      </c>
      <c r="B32" t="s">
        <v>28</v>
      </c>
      <c r="C32" t="s">
        <v>29</v>
      </c>
      <c r="D32" t="s">
        <v>30</v>
      </c>
      <c r="E32" t="s">
        <v>31</v>
      </c>
      <c r="F32" t="s">
        <v>34</v>
      </c>
    </row>
    <row r="33" spans="1:6" x14ac:dyDescent="0.3">
      <c r="A33" s="9" t="s">
        <v>13</v>
      </c>
      <c r="B33" s="10">
        <v>19219.28</v>
      </c>
      <c r="C33" s="10">
        <v>109492.58</v>
      </c>
      <c r="D33" s="10">
        <v>126073.37</v>
      </c>
      <c r="E33" s="10">
        <v>270562.52999999997</v>
      </c>
      <c r="F33" s="36">
        <f>'Janeiro '!F79</f>
        <v>49887.659999999996</v>
      </c>
    </row>
    <row r="34" spans="1:6" x14ac:dyDescent="0.3">
      <c r="A34" s="9" t="s">
        <v>14</v>
      </c>
      <c r="B34" s="10">
        <v>18377.75</v>
      </c>
      <c r="C34" s="10">
        <v>151228.71</v>
      </c>
      <c r="D34" s="10">
        <v>166235.96</v>
      </c>
      <c r="E34" s="10">
        <v>324984.97000000015</v>
      </c>
      <c r="F34" s="36">
        <v>15513.83</v>
      </c>
    </row>
    <row r="35" spans="1:6" x14ac:dyDescent="0.3">
      <c r="A35" s="9" t="s">
        <v>15</v>
      </c>
      <c r="B35" s="10">
        <v>25009.87</v>
      </c>
      <c r="C35" s="10">
        <v>119148.49</v>
      </c>
      <c r="D35" s="10">
        <v>119814.85</v>
      </c>
      <c r="E35" s="10">
        <v>256001.56999999998</v>
      </c>
      <c r="F35" s="36">
        <v>32410.22</v>
      </c>
    </row>
    <row r="36" spans="1:6" x14ac:dyDescent="0.3">
      <c r="A36" s="9" t="s">
        <v>16</v>
      </c>
      <c r="B36" s="10">
        <v>34211.96</v>
      </c>
      <c r="C36" s="10">
        <v>238129.97</v>
      </c>
      <c r="D36" s="10">
        <v>112668.22</v>
      </c>
      <c r="E36" s="10">
        <v>136419.94</v>
      </c>
      <c r="F36" s="36">
        <f>SUM(F27)</f>
        <v>23117.530000000002</v>
      </c>
    </row>
    <row r="37" spans="1:6" x14ac:dyDescent="0.3">
      <c r="A37" s="9" t="s">
        <v>17</v>
      </c>
      <c r="B37" s="10">
        <v>130599.69</v>
      </c>
      <c r="C37" s="10">
        <v>150026.72</v>
      </c>
      <c r="D37" s="10">
        <v>39597.94</v>
      </c>
      <c r="E37" s="10">
        <v>57014.400000000009</v>
      </c>
      <c r="F37" s="31"/>
    </row>
    <row r="38" spans="1:6" x14ac:dyDescent="0.3">
      <c r="A38" s="9" t="s">
        <v>18</v>
      </c>
      <c r="B38" s="10">
        <v>97973.1</v>
      </c>
      <c r="C38" s="10">
        <v>208724.8</v>
      </c>
      <c r="D38" s="10">
        <v>77419.240000000005</v>
      </c>
      <c r="E38" s="10">
        <v>259261.9199999999</v>
      </c>
      <c r="F38" s="31"/>
    </row>
    <row r="39" spans="1:6" x14ac:dyDescent="0.3">
      <c r="A39" s="9" t="s">
        <v>19</v>
      </c>
      <c r="B39" s="10">
        <v>309004.57</v>
      </c>
      <c r="C39" s="10">
        <v>130036.72</v>
      </c>
      <c r="D39" s="10">
        <v>74963.62</v>
      </c>
      <c r="E39" s="10">
        <v>191964.91000000006</v>
      </c>
      <c r="F39" s="31"/>
    </row>
    <row r="40" spans="1:6" x14ac:dyDescent="0.3">
      <c r="A40" s="9" t="s">
        <v>20</v>
      </c>
      <c r="B40" s="10">
        <v>436765.8</v>
      </c>
      <c r="C40" s="10">
        <v>211762.02</v>
      </c>
      <c r="D40" s="10">
        <v>152485.66</v>
      </c>
      <c r="E40" s="10">
        <v>273158.85000000009</v>
      </c>
      <c r="F40" s="31"/>
    </row>
    <row r="41" spans="1:6" x14ac:dyDescent="0.3">
      <c r="A41" s="9" t="s">
        <v>21</v>
      </c>
      <c r="B41" s="10">
        <v>355927.94</v>
      </c>
      <c r="C41" s="10">
        <v>534003.5</v>
      </c>
      <c r="D41" s="10">
        <v>171282.48</v>
      </c>
      <c r="E41" s="10">
        <v>63159.509999999995</v>
      </c>
      <c r="F41" s="31"/>
    </row>
    <row r="42" spans="1:6" x14ac:dyDescent="0.3">
      <c r="A42" s="9" t="s">
        <v>22</v>
      </c>
      <c r="B42" s="10">
        <v>540038.64</v>
      </c>
      <c r="C42" s="10">
        <v>96571.01</v>
      </c>
      <c r="D42" s="10">
        <v>168433.06</v>
      </c>
      <c r="E42" s="10">
        <v>53077.380000000012</v>
      </c>
      <c r="F42" s="31"/>
    </row>
    <row r="43" spans="1:6" x14ac:dyDescent="0.3">
      <c r="A43" s="9" t="s">
        <v>23</v>
      </c>
      <c r="B43" s="10">
        <v>248566.76</v>
      </c>
      <c r="C43" s="10">
        <v>33008.07</v>
      </c>
      <c r="D43" s="10">
        <v>155757.68</v>
      </c>
      <c r="E43" s="10">
        <v>15517.440000000002</v>
      </c>
      <c r="F43" s="31"/>
    </row>
    <row r="44" spans="1:6" ht="15" thickBot="1" x14ac:dyDescent="0.35">
      <c r="A44" s="22" t="s">
        <v>24</v>
      </c>
      <c r="B44" s="23">
        <v>0</v>
      </c>
      <c r="C44" s="23">
        <v>18714.12</v>
      </c>
      <c r="D44" s="23">
        <v>163379.07999999999</v>
      </c>
      <c r="E44" s="24">
        <v>9580.01</v>
      </c>
      <c r="F44" s="32"/>
    </row>
    <row r="45" spans="1:6" ht="15" thickBot="1" x14ac:dyDescent="0.35">
      <c r="A45" s="25" t="s">
        <v>25</v>
      </c>
      <c r="B45" s="26">
        <v>2215695.3600000003</v>
      </c>
      <c r="C45" s="26">
        <v>2000846.7100000002</v>
      </c>
      <c r="D45" s="26">
        <v>1528111.16</v>
      </c>
      <c r="E45" s="27">
        <f>SUM(E33:E44)</f>
        <v>1910703.4300000002</v>
      </c>
      <c r="F45" s="33"/>
    </row>
  </sheetData>
  <mergeCells count="9">
    <mergeCell ref="E11:E13"/>
    <mergeCell ref="E2:E4"/>
    <mergeCell ref="E5:E7"/>
    <mergeCell ref="E8:E10"/>
    <mergeCell ref="A29:C30"/>
    <mergeCell ref="D29:D30"/>
    <mergeCell ref="A27:C27"/>
    <mergeCell ref="A28:C28"/>
    <mergeCell ref="E14:E1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F00C-799C-43C3-8CAF-AA20A494A33B}">
  <dimension ref="A1:J47"/>
  <sheetViews>
    <sheetView topLeftCell="A4" workbookViewId="0">
      <selection activeCell="H2" sqref="H2:H26"/>
    </sheetView>
  </sheetViews>
  <sheetFormatPr defaultRowHeight="14.4" x14ac:dyDescent="0.3"/>
  <cols>
    <col min="1" max="1" width="19.33203125" customWidth="1"/>
    <col min="2" max="2" width="17.5546875" customWidth="1"/>
    <col min="3" max="3" width="15.6640625" customWidth="1"/>
    <col min="4" max="4" width="17" customWidth="1"/>
    <col min="5" max="5" width="18.44140625" customWidth="1"/>
    <col min="6" max="6" width="18.33203125" customWidth="1"/>
    <col min="7" max="7" width="17.77734375" customWidth="1"/>
    <col min="8" max="8" width="14.6640625" style="179" customWidth="1"/>
    <col min="9" max="9" width="10.77734375" customWidth="1"/>
    <col min="10" max="10" width="14.33203125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5" t="s">
        <v>6</v>
      </c>
      <c r="H1" s="176" t="s">
        <v>7</v>
      </c>
      <c r="I1" s="15" t="s">
        <v>8</v>
      </c>
      <c r="J1" s="16" t="s">
        <v>9</v>
      </c>
    </row>
    <row r="2" spans="1:10" x14ac:dyDescent="0.3">
      <c r="A2" s="563">
        <v>17866</v>
      </c>
      <c r="B2" s="563" t="s">
        <v>154</v>
      </c>
      <c r="C2" s="563" t="s">
        <v>26</v>
      </c>
      <c r="D2" s="599"/>
      <c r="E2" s="594"/>
      <c r="F2" s="14">
        <v>774.41</v>
      </c>
      <c r="G2" s="12" t="s">
        <v>155</v>
      </c>
      <c r="H2" s="177">
        <v>45810</v>
      </c>
      <c r="I2" s="12"/>
      <c r="J2" s="14">
        <v>0</v>
      </c>
    </row>
    <row r="3" spans="1:10" x14ac:dyDescent="0.3">
      <c r="A3" s="564"/>
      <c r="B3" s="564"/>
      <c r="C3" s="564"/>
      <c r="D3" s="597"/>
      <c r="E3" s="595"/>
      <c r="F3" s="14">
        <v>772</v>
      </c>
      <c r="G3" s="12" t="s">
        <v>156</v>
      </c>
      <c r="H3" s="177">
        <v>45817</v>
      </c>
      <c r="I3" s="12"/>
      <c r="J3" s="14">
        <v>0</v>
      </c>
    </row>
    <row r="4" spans="1:10" x14ac:dyDescent="0.3">
      <c r="A4" s="35"/>
      <c r="B4" s="35"/>
      <c r="C4" s="35"/>
      <c r="D4" s="598"/>
      <c r="E4" s="596"/>
      <c r="F4" s="14">
        <v>772</v>
      </c>
      <c r="G4" s="12" t="s">
        <v>157</v>
      </c>
      <c r="H4" s="177">
        <v>45824</v>
      </c>
      <c r="I4" s="12"/>
      <c r="J4" s="14">
        <v>0</v>
      </c>
    </row>
    <row r="5" spans="1:10" x14ac:dyDescent="0.3">
      <c r="A5" s="564">
        <v>17876</v>
      </c>
      <c r="B5" s="564" t="s">
        <v>158</v>
      </c>
      <c r="C5" s="564" t="s">
        <v>26</v>
      </c>
      <c r="D5" s="597"/>
      <c r="E5" s="595"/>
      <c r="F5" s="14">
        <v>339.83</v>
      </c>
      <c r="G5" s="12" t="s">
        <v>155</v>
      </c>
      <c r="H5" s="177">
        <v>45810</v>
      </c>
      <c r="I5" s="12"/>
      <c r="J5" s="14">
        <v>0</v>
      </c>
    </row>
    <row r="6" spans="1:10" x14ac:dyDescent="0.3">
      <c r="A6" s="35"/>
      <c r="B6" s="35"/>
      <c r="C6" s="35"/>
      <c r="D6" s="598"/>
      <c r="E6" s="596"/>
      <c r="F6" s="14">
        <v>339.82</v>
      </c>
      <c r="G6" s="12" t="s">
        <v>156</v>
      </c>
      <c r="H6" s="177">
        <v>45817</v>
      </c>
      <c r="I6" s="12"/>
      <c r="J6" s="14">
        <v>0</v>
      </c>
    </row>
    <row r="7" spans="1:10" x14ac:dyDescent="0.3">
      <c r="A7" s="566">
        <v>17878</v>
      </c>
      <c r="B7" s="568" t="s">
        <v>158</v>
      </c>
      <c r="C7" s="570" t="s">
        <v>26</v>
      </c>
      <c r="D7" s="600"/>
      <c r="E7" s="594"/>
      <c r="F7" s="14">
        <v>725.78</v>
      </c>
      <c r="G7" s="12" t="s">
        <v>155</v>
      </c>
      <c r="H7" s="177">
        <v>45810</v>
      </c>
      <c r="I7" s="12"/>
      <c r="J7" s="14">
        <v>0</v>
      </c>
    </row>
    <row r="8" spans="1:10" x14ac:dyDescent="0.3">
      <c r="A8" s="567"/>
      <c r="B8" s="569"/>
      <c r="C8" s="570"/>
      <c r="D8" s="601"/>
      <c r="E8" s="595"/>
      <c r="F8" s="14">
        <v>723</v>
      </c>
      <c r="G8" s="12" t="s">
        <v>156</v>
      </c>
      <c r="H8" s="177">
        <v>45817</v>
      </c>
      <c r="I8" s="12"/>
      <c r="J8" s="14">
        <v>0</v>
      </c>
    </row>
    <row r="9" spans="1:10" ht="15" thickBot="1" x14ac:dyDescent="0.35">
      <c r="A9" s="567"/>
      <c r="B9" s="569"/>
      <c r="C9" s="571"/>
      <c r="D9" s="601"/>
      <c r="E9" s="596"/>
      <c r="F9" s="14">
        <v>723</v>
      </c>
      <c r="G9" s="12" t="s">
        <v>157</v>
      </c>
      <c r="H9" s="177">
        <v>45824</v>
      </c>
      <c r="I9" s="12"/>
      <c r="J9" s="14">
        <v>0</v>
      </c>
    </row>
    <row r="10" spans="1:10" x14ac:dyDescent="0.3">
      <c r="A10" s="573">
        <v>17894</v>
      </c>
      <c r="B10" s="568" t="s">
        <v>140</v>
      </c>
      <c r="C10" s="570" t="s">
        <v>26</v>
      </c>
      <c r="D10" s="600"/>
      <c r="E10" s="594"/>
      <c r="F10" s="14">
        <v>342.83</v>
      </c>
      <c r="G10" s="12" t="s">
        <v>159</v>
      </c>
      <c r="H10" s="177">
        <v>45811</v>
      </c>
      <c r="I10" s="12"/>
      <c r="J10" s="14">
        <v>0</v>
      </c>
    </row>
    <row r="11" spans="1:10" x14ac:dyDescent="0.3">
      <c r="A11" s="567"/>
      <c r="B11" s="569"/>
      <c r="C11" s="570"/>
      <c r="D11" s="601"/>
      <c r="E11" s="595"/>
      <c r="F11" s="38">
        <v>342</v>
      </c>
      <c r="G11" s="12" t="s">
        <v>160</v>
      </c>
      <c r="H11" s="180">
        <v>45818</v>
      </c>
      <c r="I11" s="39"/>
      <c r="J11" s="38">
        <v>0</v>
      </c>
    </row>
    <row r="12" spans="1:10" x14ac:dyDescent="0.3">
      <c r="A12" s="40">
        <v>17893</v>
      </c>
      <c r="B12" s="40" t="s">
        <v>140</v>
      </c>
      <c r="C12" s="40" t="s">
        <v>26</v>
      </c>
      <c r="D12" s="40"/>
      <c r="E12" s="42"/>
      <c r="F12" s="14">
        <v>369.68</v>
      </c>
      <c r="G12" s="12" t="s">
        <v>159</v>
      </c>
      <c r="H12" s="177">
        <v>45811</v>
      </c>
      <c r="I12" s="12"/>
      <c r="J12" s="14">
        <v>0</v>
      </c>
    </row>
    <row r="13" spans="1:10" x14ac:dyDescent="0.3">
      <c r="A13" s="40">
        <v>17892</v>
      </c>
      <c r="B13" s="40" t="s">
        <v>140</v>
      </c>
      <c r="C13" s="40" t="s">
        <v>26</v>
      </c>
      <c r="D13" s="40"/>
      <c r="E13" s="14"/>
      <c r="F13" s="14">
        <v>260.48</v>
      </c>
      <c r="G13" s="12" t="s">
        <v>159</v>
      </c>
      <c r="H13" s="177">
        <v>45810</v>
      </c>
      <c r="I13" s="12"/>
      <c r="J13" s="14">
        <v>0</v>
      </c>
    </row>
    <row r="14" spans="1:10" x14ac:dyDescent="0.3">
      <c r="A14" s="563">
        <v>17897</v>
      </c>
      <c r="B14" s="563" t="s">
        <v>140</v>
      </c>
      <c r="C14" s="570" t="s">
        <v>26</v>
      </c>
      <c r="D14" s="599"/>
      <c r="E14" s="14"/>
      <c r="F14" s="14">
        <v>426.76</v>
      </c>
      <c r="G14" s="12" t="s">
        <v>159</v>
      </c>
      <c r="H14" s="177">
        <v>45811</v>
      </c>
      <c r="I14" s="12"/>
      <c r="J14" s="14">
        <v>0</v>
      </c>
    </row>
    <row r="15" spans="1:10" x14ac:dyDescent="0.3">
      <c r="A15" s="564"/>
      <c r="B15" s="564"/>
      <c r="C15" s="570"/>
      <c r="D15" s="597"/>
      <c r="E15" s="14"/>
      <c r="F15" s="14">
        <v>426</v>
      </c>
      <c r="G15" s="12" t="s">
        <v>160</v>
      </c>
      <c r="H15" s="177">
        <v>45818</v>
      </c>
      <c r="I15" s="12"/>
      <c r="J15" s="14">
        <v>0</v>
      </c>
    </row>
    <row r="16" spans="1:10" x14ac:dyDescent="0.3">
      <c r="A16" s="35"/>
      <c r="B16" s="35"/>
      <c r="C16" s="571"/>
      <c r="D16" s="598"/>
      <c r="E16" s="14"/>
      <c r="F16" s="14">
        <v>426</v>
      </c>
      <c r="G16" s="12" t="s">
        <v>161</v>
      </c>
      <c r="H16" s="177">
        <v>45824</v>
      </c>
      <c r="I16" s="12"/>
      <c r="J16" s="14">
        <v>0</v>
      </c>
    </row>
    <row r="17" spans="1:10" x14ac:dyDescent="0.3">
      <c r="A17" s="563">
        <v>17921</v>
      </c>
      <c r="B17" s="563" t="s">
        <v>134</v>
      </c>
      <c r="C17" s="570" t="s">
        <v>26</v>
      </c>
      <c r="D17" s="599"/>
      <c r="E17" s="14"/>
      <c r="F17" s="14">
        <v>362.75</v>
      </c>
      <c r="G17" s="12" t="s">
        <v>162</v>
      </c>
      <c r="H17" s="177">
        <v>45812</v>
      </c>
      <c r="I17" s="12"/>
      <c r="J17" s="14">
        <v>0</v>
      </c>
    </row>
    <row r="18" spans="1:10" x14ac:dyDescent="0.3">
      <c r="A18" s="564"/>
      <c r="B18" s="564"/>
      <c r="C18" s="570"/>
      <c r="D18" s="597"/>
      <c r="E18" s="14"/>
      <c r="F18" s="14">
        <v>362</v>
      </c>
      <c r="G18" s="12" t="s">
        <v>163</v>
      </c>
      <c r="H18" s="177">
        <v>45818</v>
      </c>
      <c r="I18" s="12"/>
      <c r="J18" s="14">
        <v>0</v>
      </c>
    </row>
    <row r="19" spans="1:10" x14ac:dyDescent="0.3">
      <c r="A19" s="35"/>
      <c r="B19" s="35"/>
      <c r="C19" s="571"/>
      <c r="D19" s="598"/>
      <c r="E19" s="14"/>
      <c r="F19" s="14">
        <v>362</v>
      </c>
      <c r="G19" s="12" t="s">
        <v>164</v>
      </c>
      <c r="H19" s="177">
        <v>45824</v>
      </c>
      <c r="I19" s="12"/>
      <c r="J19" s="14">
        <v>0</v>
      </c>
    </row>
    <row r="20" spans="1:10" x14ac:dyDescent="0.3">
      <c r="A20" s="563">
        <v>18124</v>
      </c>
      <c r="B20" s="563" t="s">
        <v>165</v>
      </c>
      <c r="C20" s="563" t="s">
        <v>26</v>
      </c>
      <c r="D20" s="599"/>
      <c r="E20" s="594"/>
      <c r="F20" s="14">
        <v>725.23</v>
      </c>
      <c r="G20" s="12" t="s">
        <v>167</v>
      </c>
      <c r="H20" s="177">
        <v>45831</v>
      </c>
      <c r="I20" s="12"/>
      <c r="J20" s="14">
        <v>0</v>
      </c>
    </row>
    <row r="21" spans="1:10" ht="16.8" customHeight="1" x14ac:dyDescent="0.3">
      <c r="A21" s="564"/>
      <c r="B21" s="564"/>
      <c r="C21" s="564"/>
      <c r="D21" s="597"/>
      <c r="E21" s="595"/>
      <c r="F21" s="14">
        <v>725</v>
      </c>
      <c r="G21" s="12" t="s">
        <v>166</v>
      </c>
      <c r="H21" s="177">
        <v>45838</v>
      </c>
      <c r="I21" s="12"/>
      <c r="J21" s="14">
        <v>0</v>
      </c>
    </row>
    <row r="22" spans="1:10" x14ac:dyDescent="0.3">
      <c r="A22" s="35"/>
      <c r="B22" s="35"/>
      <c r="C22" s="35"/>
      <c r="D22" s="598"/>
      <c r="E22" s="596"/>
      <c r="F22" s="14">
        <v>725</v>
      </c>
      <c r="G22" s="12" t="s">
        <v>168</v>
      </c>
      <c r="H22" s="177">
        <v>45845</v>
      </c>
      <c r="I22" s="12"/>
      <c r="J22" s="14">
        <v>0</v>
      </c>
    </row>
    <row r="23" spans="1:10" x14ac:dyDescent="0.3">
      <c r="A23" s="43">
        <v>18136</v>
      </c>
      <c r="B23" s="194" t="s">
        <v>150</v>
      </c>
      <c r="C23" s="43" t="s">
        <v>26</v>
      </c>
      <c r="D23" s="43"/>
      <c r="E23" s="51"/>
      <c r="F23" s="14">
        <v>405.3</v>
      </c>
      <c r="G23" s="12" t="s">
        <v>247</v>
      </c>
      <c r="H23" s="177">
        <v>45831</v>
      </c>
      <c r="I23" s="12"/>
      <c r="J23" s="14">
        <v>0</v>
      </c>
    </row>
    <row r="24" spans="1:10" x14ac:dyDescent="0.3">
      <c r="A24" s="43"/>
      <c r="B24" s="43"/>
      <c r="C24" s="43"/>
      <c r="D24" s="43"/>
      <c r="E24" s="51"/>
      <c r="F24" s="14">
        <v>404</v>
      </c>
      <c r="G24" s="12" t="s">
        <v>173</v>
      </c>
      <c r="H24" s="177">
        <v>45838</v>
      </c>
      <c r="I24" s="12"/>
      <c r="J24" s="14">
        <v>0</v>
      </c>
    </row>
    <row r="25" spans="1:10" x14ac:dyDescent="0.3">
      <c r="A25" s="563">
        <v>18193</v>
      </c>
      <c r="B25" s="563" t="s">
        <v>169</v>
      </c>
      <c r="C25" s="563" t="s">
        <v>26</v>
      </c>
      <c r="D25" s="599"/>
      <c r="E25" s="14"/>
      <c r="F25" s="14">
        <v>342.83</v>
      </c>
      <c r="G25" s="12" t="s">
        <v>170</v>
      </c>
      <c r="H25" s="177">
        <v>45831</v>
      </c>
      <c r="I25" s="12"/>
      <c r="J25" s="14">
        <v>0</v>
      </c>
    </row>
    <row r="26" spans="1:10" x14ac:dyDescent="0.3">
      <c r="A26" s="564"/>
      <c r="B26" s="564"/>
      <c r="C26" s="564"/>
      <c r="D26" s="597"/>
      <c r="E26" s="14"/>
      <c r="F26" s="14">
        <v>342</v>
      </c>
      <c r="G26" s="12" t="s">
        <v>171</v>
      </c>
      <c r="H26" s="177">
        <v>45838</v>
      </c>
      <c r="I26" s="12"/>
      <c r="J26" s="14">
        <v>0</v>
      </c>
    </row>
    <row r="27" spans="1:10" x14ac:dyDescent="0.3">
      <c r="A27" s="35"/>
      <c r="B27" s="35"/>
      <c r="C27" s="35"/>
      <c r="D27" s="598"/>
      <c r="E27" s="14"/>
      <c r="F27" s="14">
        <v>0</v>
      </c>
      <c r="G27" s="12"/>
      <c r="H27" s="177"/>
      <c r="I27" s="12"/>
      <c r="J27" s="14">
        <v>0</v>
      </c>
    </row>
    <row r="28" spans="1:10" x14ac:dyDescent="0.3">
      <c r="A28" s="9"/>
      <c r="B28" s="9"/>
      <c r="C28" s="9"/>
      <c r="D28" s="9"/>
      <c r="E28" s="10"/>
      <c r="F28" s="10"/>
      <c r="G28" s="9"/>
      <c r="H28" s="178"/>
      <c r="I28" s="9"/>
      <c r="J28" s="10">
        <f>SUM(J2:J27)</f>
        <v>0</v>
      </c>
    </row>
    <row r="29" spans="1:10" ht="17.399999999999999" thickBot="1" x14ac:dyDescent="0.35">
      <c r="A29" s="592" t="s">
        <v>10</v>
      </c>
      <c r="B29" s="592"/>
      <c r="C29" s="593"/>
      <c r="D29" s="17"/>
      <c r="E29" s="2">
        <f>SUM(E2:E28)</f>
        <v>0</v>
      </c>
      <c r="F29" s="18">
        <f>SUM(F2:F27)</f>
        <v>12519.699999999999</v>
      </c>
      <c r="G29" s="3"/>
    </row>
    <row r="30" spans="1:10" ht="17.399999999999999" thickBot="1" x14ac:dyDescent="0.35">
      <c r="A30" s="590" t="s">
        <v>11</v>
      </c>
      <c r="B30" s="590"/>
      <c r="C30" s="591"/>
      <c r="D30" s="4"/>
      <c r="E30" s="5"/>
      <c r="F30" s="19"/>
      <c r="G30" s="6"/>
    </row>
    <row r="31" spans="1:10" ht="16.8" x14ac:dyDescent="0.3">
      <c r="A31" s="586"/>
      <c r="B31" s="586"/>
      <c r="C31" s="587"/>
      <c r="D31" s="588">
        <v>0</v>
      </c>
      <c r="E31" s="7"/>
      <c r="G31" s="8"/>
    </row>
    <row r="32" spans="1:10" x14ac:dyDescent="0.3">
      <c r="A32" s="586"/>
      <c r="B32" s="586"/>
      <c r="C32" s="587"/>
      <c r="D32" s="589"/>
      <c r="G32" s="8"/>
    </row>
    <row r="34" spans="1:6" x14ac:dyDescent="0.3">
      <c r="A34" t="s">
        <v>12</v>
      </c>
      <c r="B34" t="s">
        <v>28</v>
      </c>
      <c r="C34" t="s">
        <v>29</v>
      </c>
      <c r="D34" t="s">
        <v>30</v>
      </c>
      <c r="E34" t="s">
        <v>31</v>
      </c>
      <c r="F34" t="s">
        <v>34</v>
      </c>
    </row>
    <row r="35" spans="1:6" x14ac:dyDescent="0.3">
      <c r="A35" s="9" t="s">
        <v>13</v>
      </c>
      <c r="B35" s="10">
        <v>19219.28</v>
      </c>
      <c r="C35" s="10">
        <v>109492.58</v>
      </c>
      <c r="D35" s="10">
        <v>126073.37</v>
      </c>
      <c r="E35" s="10">
        <v>270562.52999999997</v>
      </c>
      <c r="F35" s="36">
        <f>'Janeiro '!F79</f>
        <v>49887.659999999996</v>
      </c>
    </row>
    <row r="36" spans="1:6" x14ac:dyDescent="0.3">
      <c r="A36" s="9" t="s">
        <v>14</v>
      </c>
      <c r="B36" s="10">
        <v>18377.75</v>
      </c>
      <c r="C36" s="10">
        <v>151228.71</v>
      </c>
      <c r="D36" s="10">
        <v>166235.96</v>
      </c>
      <c r="E36" s="10">
        <v>324984.97000000015</v>
      </c>
      <c r="F36" s="36">
        <v>15513.83</v>
      </c>
    </row>
    <row r="37" spans="1:6" x14ac:dyDescent="0.3">
      <c r="A37" s="9" t="s">
        <v>15</v>
      </c>
      <c r="B37" s="10">
        <v>25009.87</v>
      </c>
      <c r="C37" s="10">
        <v>119148.49</v>
      </c>
      <c r="D37" s="10">
        <v>119814.85</v>
      </c>
      <c r="E37" s="10">
        <v>256001.56999999998</v>
      </c>
      <c r="F37" s="36">
        <v>32410.22</v>
      </c>
    </row>
    <row r="38" spans="1:6" x14ac:dyDescent="0.3">
      <c r="A38" s="9" t="s">
        <v>16</v>
      </c>
      <c r="B38" s="10">
        <v>34211.96</v>
      </c>
      <c r="C38" s="10">
        <v>238129.97</v>
      </c>
      <c r="D38" s="10">
        <v>112668.22</v>
      </c>
      <c r="E38" s="10">
        <v>136419.94</v>
      </c>
      <c r="F38" s="41">
        <v>23117.53</v>
      </c>
    </row>
    <row r="39" spans="1:6" x14ac:dyDescent="0.3">
      <c r="A39" s="9" t="s">
        <v>17</v>
      </c>
      <c r="B39" s="10">
        <v>130599.69</v>
      </c>
      <c r="C39" s="10">
        <v>150026.72</v>
      </c>
      <c r="D39" s="10">
        <v>39597.94</v>
      </c>
      <c r="E39" s="10">
        <v>57014.400000000009</v>
      </c>
      <c r="F39" s="36">
        <f>SUM(F29)</f>
        <v>12519.699999999999</v>
      </c>
    </row>
    <row r="40" spans="1:6" x14ac:dyDescent="0.3">
      <c r="A40" s="9" t="s">
        <v>18</v>
      </c>
      <c r="B40" s="10">
        <v>97973.1</v>
      </c>
      <c r="C40" s="10">
        <v>208724.8</v>
      </c>
      <c r="D40" s="10">
        <v>77419.240000000005</v>
      </c>
      <c r="E40" s="10">
        <v>259261.9199999999</v>
      </c>
      <c r="F40" s="31"/>
    </row>
    <row r="41" spans="1:6" x14ac:dyDescent="0.3">
      <c r="A41" s="9" t="s">
        <v>19</v>
      </c>
      <c r="B41" s="10">
        <v>309004.57</v>
      </c>
      <c r="C41" s="10">
        <v>130036.72</v>
      </c>
      <c r="D41" s="10">
        <v>74963.62</v>
      </c>
      <c r="E41" s="10">
        <v>191964.91000000006</v>
      </c>
      <c r="F41" s="31"/>
    </row>
    <row r="42" spans="1:6" x14ac:dyDescent="0.3">
      <c r="A42" s="9" t="s">
        <v>20</v>
      </c>
      <c r="B42" s="10">
        <v>436765.8</v>
      </c>
      <c r="C42" s="10">
        <v>211762.02</v>
      </c>
      <c r="D42" s="10">
        <v>152485.66</v>
      </c>
      <c r="E42" s="10">
        <v>273158.85000000009</v>
      </c>
      <c r="F42" s="31"/>
    </row>
    <row r="43" spans="1:6" x14ac:dyDescent="0.3">
      <c r="A43" s="9" t="s">
        <v>21</v>
      </c>
      <c r="B43" s="10">
        <v>355927.94</v>
      </c>
      <c r="C43" s="10">
        <v>534003.5</v>
      </c>
      <c r="D43" s="10">
        <v>171282.48</v>
      </c>
      <c r="E43" s="10">
        <v>63159.509999999995</v>
      </c>
      <c r="F43" s="31"/>
    </row>
    <row r="44" spans="1:6" x14ac:dyDescent="0.3">
      <c r="A44" s="9" t="s">
        <v>22</v>
      </c>
      <c r="B44" s="10">
        <v>540038.64</v>
      </c>
      <c r="C44" s="10">
        <v>96571.01</v>
      </c>
      <c r="D44" s="10">
        <v>168433.06</v>
      </c>
      <c r="E44" s="10">
        <v>53077.380000000012</v>
      </c>
      <c r="F44" s="31"/>
    </row>
    <row r="45" spans="1:6" x14ac:dyDescent="0.3">
      <c r="A45" s="9" t="s">
        <v>23</v>
      </c>
      <c r="B45" s="10">
        <v>248566.76</v>
      </c>
      <c r="C45" s="10">
        <v>33008.07</v>
      </c>
      <c r="D45" s="10">
        <v>155757.68</v>
      </c>
      <c r="E45" s="10">
        <v>15517.440000000002</v>
      </c>
      <c r="F45" s="31"/>
    </row>
    <row r="46" spans="1:6" ht="15" thickBot="1" x14ac:dyDescent="0.35">
      <c r="A46" s="22" t="s">
        <v>24</v>
      </c>
      <c r="B46" s="23">
        <v>0</v>
      </c>
      <c r="C46" s="23">
        <v>18714.12</v>
      </c>
      <c r="D46" s="23">
        <v>163379.07999999999</v>
      </c>
      <c r="E46" s="24">
        <v>9580.01</v>
      </c>
      <c r="F46" s="32"/>
    </row>
    <row r="47" spans="1:6" ht="15" thickBot="1" x14ac:dyDescent="0.35">
      <c r="A47" s="25" t="s">
        <v>25</v>
      </c>
      <c r="B47" s="26">
        <v>2215695.3600000003</v>
      </c>
      <c r="C47" s="26">
        <v>2000846.7100000002</v>
      </c>
      <c r="D47" s="26">
        <v>1528111.16</v>
      </c>
      <c r="E47" s="27">
        <f>SUM(E35:E46)</f>
        <v>1910703.4300000002</v>
      </c>
      <c r="F47" s="33"/>
    </row>
  </sheetData>
  <mergeCells count="17">
    <mergeCell ref="E20:E22"/>
    <mergeCell ref="D20:D22"/>
    <mergeCell ref="A30:C30"/>
    <mergeCell ref="A31:C32"/>
    <mergeCell ref="D31:D32"/>
    <mergeCell ref="D25:D27"/>
    <mergeCell ref="A29:C29"/>
    <mergeCell ref="D10:D11"/>
    <mergeCell ref="E10:E11"/>
    <mergeCell ref="D7:D9"/>
    <mergeCell ref="D17:D19"/>
    <mergeCell ref="D14:D16"/>
    <mergeCell ref="D5:D6"/>
    <mergeCell ref="E5:E6"/>
    <mergeCell ref="D2:D4"/>
    <mergeCell ref="E2:E4"/>
    <mergeCell ref="E7:E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ED34-A98E-463A-AEE1-0647B490F44E}">
  <dimension ref="A1:J68"/>
  <sheetViews>
    <sheetView topLeftCell="A30" workbookViewId="0">
      <selection activeCell="G2" sqref="G2:H49"/>
    </sheetView>
  </sheetViews>
  <sheetFormatPr defaultRowHeight="14.4" x14ac:dyDescent="0.3"/>
  <cols>
    <col min="1" max="1" width="19.33203125" customWidth="1"/>
    <col min="2" max="2" width="17.5546875" customWidth="1"/>
    <col min="3" max="3" width="15.6640625" customWidth="1"/>
    <col min="4" max="4" width="17" customWidth="1"/>
    <col min="5" max="5" width="18.44140625" customWidth="1"/>
    <col min="6" max="6" width="18.33203125" customWidth="1"/>
    <col min="7" max="7" width="17.77734375" customWidth="1"/>
    <col min="8" max="8" width="14.6640625" style="175" customWidth="1"/>
    <col min="9" max="9" width="10.77734375" customWidth="1"/>
    <col min="10" max="10" width="14.33203125" customWidth="1"/>
  </cols>
  <sheetData>
    <row r="1" spans="1:10" x14ac:dyDescent="0.3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5" t="s">
        <v>6</v>
      </c>
      <c r="H1" s="172" t="s">
        <v>7</v>
      </c>
      <c r="I1" s="15" t="s">
        <v>8</v>
      </c>
      <c r="J1" s="16" t="s">
        <v>9</v>
      </c>
    </row>
    <row r="2" spans="1:10" x14ac:dyDescent="0.3">
      <c r="A2" s="22">
        <v>18197</v>
      </c>
      <c r="B2" s="563" t="s">
        <v>155</v>
      </c>
      <c r="C2" s="563" t="s">
        <v>26</v>
      </c>
      <c r="D2" s="599"/>
      <c r="E2" s="594"/>
      <c r="F2" s="14">
        <v>455.03</v>
      </c>
      <c r="G2" s="12" t="s">
        <v>166</v>
      </c>
      <c r="H2" s="173">
        <v>45838</v>
      </c>
      <c r="I2" s="12"/>
      <c r="J2" s="14">
        <v>0</v>
      </c>
    </row>
    <row r="3" spans="1:10" x14ac:dyDescent="0.3">
      <c r="A3" s="575"/>
      <c r="B3" s="564"/>
      <c r="C3" s="564"/>
      <c r="D3" s="597"/>
      <c r="E3" s="595"/>
      <c r="F3" s="14">
        <v>453</v>
      </c>
      <c r="G3" s="12" t="s">
        <v>168</v>
      </c>
      <c r="H3" s="173">
        <v>45845</v>
      </c>
      <c r="I3" s="12"/>
      <c r="J3" s="14">
        <v>0</v>
      </c>
    </row>
    <row r="4" spans="1:10" x14ac:dyDescent="0.3">
      <c r="A4" s="576"/>
      <c r="B4" s="35"/>
      <c r="C4" s="35"/>
      <c r="D4" s="598"/>
      <c r="E4" s="596"/>
      <c r="F4" s="14">
        <v>453</v>
      </c>
      <c r="G4" s="12" t="s">
        <v>172</v>
      </c>
      <c r="H4" s="173">
        <v>45853</v>
      </c>
      <c r="I4" s="12"/>
      <c r="J4" s="14">
        <v>0</v>
      </c>
    </row>
    <row r="5" spans="1:10" x14ac:dyDescent="0.3">
      <c r="A5" s="44">
        <v>18205</v>
      </c>
      <c r="B5" s="43" t="s">
        <v>155</v>
      </c>
      <c r="C5" s="43" t="s">
        <v>26</v>
      </c>
      <c r="D5" s="43"/>
      <c r="E5" s="37"/>
      <c r="F5" s="14">
        <v>272.55</v>
      </c>
      <c r="G5" s="12" t="s">
        <v>166</v>
      </c>
      <c r="H5" s="173">
        <v>45838</v>
      </c>
      <c r="I5" s="12"/>
      <c r="J5" s="14">
        <v>0</v>
      </c>
    </row>
    <row r="6" spans="1:10" x14ac:dyDescent="0.3">
      <c r="A6" s="579">
        <v>18219</v>
      </c>
      <c r="B6" s="568" t="s">
        <v>159</v>
      </c>
      <c r="C6" s="570" t="s">
        <v>26</v>
      </c>
      <c r="D6" s="600"/>
      <c r="E6" s="594"/>
      <c r="F6" s="14">
        <v>315.31</v>
      </c>
      <c r="G6" s="12" t="s">
        <v>173</v>
      </c>
      <c r="H6" s="173">
        <v>45838</v>
      </c>
      <c r="I6" s="12"/>
      <c r="J6" s="14">
        <v>0</v>
      </c>
    </row>
    <row r="7" spans="1:10" x14ac:dyDescent="0.3">
      <c r="A7" s="580"/>
      <c r="B7" s="569"/>
      <c r="C7" s="570"/>
      <c r="D7" s="601"/>
      <c r="E7" s="595"/>
      <c r="F7" s="14">
        <v>315</v>
      </c>
      <c r="G7" s="12" t="s">
        <v>174</v>
      </c>
      <c r="H7" s="173">
        <v>45845</v>
      </c>
      <c r="I7" s="12"/>
      <c r="J7" s="14">
        <v>0</v>
      </c>
    </row>
    <row r="8" spans="1:10" ht="19.2" customHeight="1" x14ac:dyDescent="0.3">
      <c r="A8" s="580"/>
      <c r="B8" s="569"/>
      <c r="C8" s="571"/>
      <c r="D8" s="601"/>
      <c r="E8" s="596"/>
      <c r="F8" s="14">
        <v>315</v>
      </c>
      <c r="G8" s="12" t="s">
        <v>175</v>
      </c>
      <c r="H8" s="173">
        <v>45853</v>
      </c>
      <c r="I8" s="12"/>
      <c r="J8" s="14">
        <v>0</v>
      </c>
    </row>
    <row r="9" spans="1:10" x14ac:dyDescent="0.3">
      <c r="A9" s="22">
        <v>18240</v>
      </c>
      <c r="B9" s="563" t="s">
        <v>162</v>
      </c>
      <c r="C9" s="570" t="s">
        <v>26</v>
      </c>
      <c r="D9" s="599"/>
      <c r="E9" s="14"/>
      <c r="F9" s="14">
        <v>1442.24</v>
      </c>
      <c r="G9" s="12" t="s">
        <v>176</v>
      </c>
      <c r="H9" s="173">
        <v>45838</v>
      </c>
      <c r="I9" s="12"/>
      <c r="J9" s="14">
        <v>0</v>
      </c>
    </row>
    <row r="10" spans="1:10" x14ac:dyDescent="0.3">
      <c r="A10" s="575"/>
      <c r="B10" s="564"/>
      <c r="C10" s="570"/>
      <c r="D10" s="597"/>
      <c r="E10" s="14"/>
      <c r="F10" s="14">
        <v>1442</v>
      </c>
      <c r="G10" s="12" t="s">
        <v>177</v>
      </c>
      <c r="H10" s="173">
        <v>45847</v>
      </c>
      <c r="I10" s="12"/>
      <c r="J10" s="14">
        <v>0</v>
      </c>
    </row>
    <row r="11" spans="1:10" x14ac:dyDescent="0.3">
      <c r="A11" s="576"/>
      <c r="B11" s="35"/>
      <c r="C11" s="571"/>
      <c r="D11" s="598"/>
      <c r="E11" s="14"/>
      <c r="F11" s="14">
        <v>1442</v>
      </c>
      <c r="G11" s="12" t="s">
        <v>178</v>
      </c>
      <c r="H11" s="173">
        <v>45854</v>
      </c>
      <c r="I11" s="12"/>
      <c r="J11" s="14">
        <v>0</v>
      </c>
    </row>
    <row r="12" spans="1:10" x14ac:dyDescent="0.3">
      <c r="A12" s="22">
        <v>18289</v>
      </c>
      <c r="B12" s="563" t="s">
        <v>179</v>
      </c>
      <c r="C12" s="570" t="s">
        <v>26</v>
      </c>
      <c r="D12" s="599"/>
      <c r="E12" s="14"/>
      <c r="F12" s="14">
        <v>671.08</v>
      </c>
      <c r="G12" s="12" t="s">
        <v>180</v>
      </c>
      <c r="H12" s="173">
        <v>45838</v>
      </c>
      <c r="I12" s="12"/>
      <c r="J12" s="14">
        <v>0</v>
      </c>
    </row>
    <row r="13" spans="1:10" x14ac:dyDescent="0.3">
      <c r="A13" s="575"/>
      <c r="B13" s="564"/>
      <c r="C13" s="570"/>
      <c r="D13" s="597"/>
      <c r="E13" s="14"/>
      <c r="F13" s="14">
        <v>671</v>
      </c>
      <c r="G13" s="12" t="s">
        <v>181</v>
      </c>
      <c r="H13" s="173">
        <v>45847</v>
      </c>
      <c r="I13" s="12"/>
      <c r="J13" s="14">
        <v>0</v>
      </c>
    </row>
    <row r="14" spans="1:10" x14ac:dyDescent="0.3">
      <c r="A14" s="576"/>
      <c r="B14" s="35"/>
      <c r="C14" s="571"/>
      <c r="D14" s="598"/>
      <c r="E14" s="14"/>
      <c r="F14" s="14">
        <v>671</v>
      </c>
      <c r="G14" s="12" t="s">
        <v>182</v>
      </c>
      <c r="H14" s="173">
        <v>45855</v>
      </c>
      <c r="I14" s="12"/>
      <c r="J14" s="14">
        <v>0</v>
      </c>
    </row>
    <row r="15" spans="1:10" x14ac:dyDescent="0.3">
      <c r="A15" s="22">
        <v>18340</v>
      </c>
      <c r="B15" s="563" t="s">
        <v>160</v>
      </c>
      <c r="C15" s="563" t="s">
        <v>26</v>
      </c>
      <c r="D15" s="599"/>
      <c r="E15" s="594"/>
      <c r="F15" s="14">
        <v>453.85</v>
      </c>
      <c r="G15" s="12" t="s">
        <v>174</v>
      </c>
      <c r="H15" s="173">
        <v>45845</v>
      </c>
      <c r="I15" s="12"/>
      <c r="J15" s="14">
        <v>0</v>
      </c>
    </row>
    <row r="16" spans="1:10" ht="16.8" customHeight="1" x14ac:dyDescent="0.3">
      <c r="A16" s="575"/>
      <c r="B16" s="564"/>
      <c r="C16" s="564"/>
      <c r="D16" s="597"/>
      <c r="E16" s="595"/>
      <c r="F16" s="14">
        <v>451</v>
      </c>
      <c r="G16" s="12" t="s">
        <v>175</v>
      </c>
      <c r="H16" s="173">
        <v>45853</v>
      </c>
      <c r="I16" s="12"/>
      <c r="J16" s="14">
        <v>0</v>
      </c>
    </row>
    <row r="17" spans="1:10" x14ac:dyDescent="0.3">
      <c r="A17" s="576"/>
      <c r="B17" s="35"/>
      <c r="C17" s="35"/>
      <c r="D17" s="598"/>
      <c r="E17" s="596"/>
      <c r="F17" s="14">
        <v>451</v>
      </c>
      <c r="G17" s="12" t="s">
        <v>183</v>
      </c>
      <c r="H17" s="173">
        <v>45860</v>
      </c>
      <c r="I17" s="12"/>
      <c r="J17" s="14">
        <v>0</v>
      </c>
    </row>
    <row r="18" spans="1:10" x14ac:dyDescent="0.3">
      <c r="A18" s="32">
        <v>18341</v>
      </c>
      <c r="B18" s="40" t="s">
        <v>160</v>
      </c>
      <c r="C18" s="40" t="s">
        <v>26</v>
      </c>
      <c r="D18" s="40"/>
      <c r="E18" s="14"/>
      <c r="F18" s="14">
        <v>131.1</v>
      </c>
      <c r="G18" s="12" t="s">
        <v>174</v>
      </c>
      <c r="H18" s="173">
        <v>45845</v>
      </c>
      <c r="I18" s="12"/>
      <c r="J18" s="14">
        <v>0</v>
      </c>
    </row>
    <row r="19" spans="1:10" x14ac:dyDescent="0.3">
      <c r="A19" s="31">
        <v>18342</v>
      </c>
      <c r="B19" s="40" t="s">
        <v>160</v>
      </c>
      <c r="C19" s="40" t="s">
        <v>26</v>
      </c>
      <c r="D19" s="9"/>
      <c r="E19" s="10"/>
      <c r="F19" s="10">
        <v>263.93</v>
      </c>
      <c r="G19" s="9" t="s">
        <v>174</v>
      </c>
      <c r="H19" s="173">
        <v>45845</v>
      </c>
      <c r="I19" s="12"/>
      <c r="J19" s="14">
        <v>0</v>
      </c>
    </row>
    <row r="20" spans="1:10" x14ac:dyDescent="0.3">
      <c r="A20" s="22">
        <v>18343</v>
      </c>
      <c r="B20" s="563" t="s">
        <v>160</v>
      </c>
      <c r="C20" s="563" t="s">
        <v>184</v>
      </c>
      <c r="D20" s="22"/>
      <c r="E20" s="10"/>
      <c r="F20" s="10">
        <v>1158.8599999999999</v>
      </c>
      <c r="G20" s="9" t="s">
        <v>174</v>
      </c>
      <c r="H20" s="173">
        <v>45846</v>
      </c>
      <c r="I20" s="12"/>
      <c r="J20" s="14">
        <v>0</v>
      </c>
    </row>
    <row r="21" spans="1:10" x14ac:dyDescent="0.3">
      <c r="A21" s="575"/>
      <c r="B21" s="564"/>
      <c r="C21" s="564"/>
      <c r="D21" s="22"/>
      <c r="E21" s="10"/>
      <c r="F21" s="10">
        <v>1158</v>
      </c>
      <c r="G21" s="9" t="s">
        <v>175</v>
      </c>
      <c r="H21" s="173">
        <v>45853</v>
      </c>
      <c r="I21" s="12"/>
      <c r="J21" s="14">
        <v>0</v>
      </c>
    </row>
    <row r="22" spans="1:10" x14ac:dyDescent="0.3">
      <c r="A22" s="576"/>
      <c r="B22" s="35"/>
      <c r="C22" s="35"/>
      <c r="D22" s="22"/>
      <c r="E22" s="10"/>
      <c r="F22" s="10">
        <v>1158</v>
      </c>
      <c r="G22" s="9" t="s">
        <v>183</v>
      </c>
      <c r="H22" s="173">
        <v>45860</v>
      </c>
      <c r="I22" s="12"/>
      <c r="J22" s="14">
        <v>0</v>
      </c>
    </row>
    <row r="23" spans="1:10" x14ac:dyDescent="0.3">
      <c r="A23" s="22">
        <v>18348</v>
      </c>
      <c r="B23" s="563" t="s">
        <v>160</v>
      </c>
      <c r="C23" s="563" t="s">
        <v>26</v>
      </c>
      <c r="D23" s="22"/>
      <c r="E23" s="10"/>
      <c r="F23" s="10">
        <v>538.6</v>
      </c>
      <c r="G23" s="9" t="s">
        <v>174</v>
      </c>
      <c r="H23" s="173">
        <v>45845</v>
      </c>
      <c r="I23" s="12"/>
      <c r="J23" s="14">
        <v>0</v>
      </c>
    </row>
    <row r="24" spans="1:10" x14ac:dyDescent="0.3">
      <c r="A24" s="575"/>
      <c r="B24" s="564"/>
      <c r="C24" s="564"/>
      <c r="D24" s="40"/>
      <c r="E24" s="14"/>
      <c r="F24" s="14">
        <v>538</v>
      </c>
      <c r="G24" s="12" t="s">
        <v>175</v>
      </c>
      <c r="H24" s="173">
        <v>45853</v>
      </c>
      <c r="I24" s="12"/>
      <c r="J24" s="14">
        <v>0</v>
      </c>
    </row>
    <row r="25" spans="1:10" x14ac:dyDescent="0.3">
      <c r="A25" s="576"/>
      <c r="B25" s="35"/>
      <c r="C25" s="35"/>
      <c r="D25" s="40"/>
      <c r="E25" s="14"/>
      <c r="F25" s="14">
        <v>538</v>
      </c>
      <c r="G25" s="12" t="s">
        <v>183</v>
      </c>
      <c r="H25" s="173">
        <v>45860</v>
      </c>
      <c r="I25" s="12"/>
      <c r="J25" s="14">
        <v>0</v>
      </c>
    </row>
    <row r="26" spans="1:10" ht="12.6" customHeight="1" x14ac:dyDescent="0.3">
      <c r="A26" s="44">
        <v>18349</v>
      </c>
      <c r="B26" s="43" t="s">
        <v>160</v>
      </c>
      <c r="C26" s="40" t="s">
        <v>26</v>
      </c>
      <c r="D26" s="40"/>
      <c r="E26" s="14"/>
      <c r="F26" s="14">
        <v>683.1</v>
      </c>
      <c r="G26" s="12" t="s">
        <v>174</v>
      </c>
      <c r="H26" s="173">
        <v>45846</v>
      </c>
      <c r="I26" s="12"/>
      <c r="J26" s="14">
        <v>0</v>
      </c>
    </row>
    <row r="27" spans="1:10" s="48" customFormat="1" x14ac:dyDescent="0.3">
      <c r="A27" s="39">
        <v>18354</v>
      </c>
      <c r="B27" s="571" t="s">
        <v>163</v>
      </c>
      <c r="C27" s="571" t="s">
        <v>26</v>
      </c>
      <c r="D27" s="46"/>
      <c r="E27" s="14"/>
      <c r="F27" s="14">
        <v>1134.27</v>
      </c>
      <c r="G27" s="12" t="s">
        <v>177</v>
      </c>
      <c r="H27" s="173">
        <v>45847</v>
      </c>
      <c r="I27" s="12"/>
      <c r="J27" s="14">
        <v>0</v>
      </c>
    </row>
    <row r="28" spans="1:10" s="48" customFormat="1" x14ac:dyDescent="0.3">
      <c r="A28" s="577"/>
      <c r="B28" s="34"/>
      <c r="C28" s="34"/>
      <c r="D28" s="46"/>
      <c r="E28" s="14"/>
      <c r="F28" s="14">
        <v>1132</v>
      </c>
      <c r="G28" s="12" t="s">
        <v>178</v>
      </c>
      <c r="H28" s="173">
        <v>45854</v>
      </c>
      <c r="I28" s="12"/>
      <c r="J28" s="14">
        <v>0</v>
      </c>
    </row>
    <row r="29" spans="1:10" s="48" customFormat="1" x14ac:dyDescent="0.3">
      <c r="A29" s="578"/>
      <c r="B29" s="572"/>
      <c r="C29" s="572"/>
      <c r="D29" s="46"/>
      <c r="E29" s="14"/>
      <c r="F29" s="14">
        <v>1132</v>
      </c>
      <c r="G29" s="12" t="s">
        <v>185</v>
      </c>
      <c r="H29" s="173">
        <v>45861</v>
      </c>
      <c r="I29" s="12"/>
      <c r="J29" s="14">
        <v>0</v>
      </c>
    </row>
    <row r="30" spans="1:10" s="48" customFormat="1" x14ac:dyDescent="0.3">
      <c r="A30" s="50">
        <v>18356</v>
      </c>
      <c r="B30" s="45" t="s">
        <v>163</v>
      </c>
      <c r="C30" s="46" t="s">
        <v>26</v>
      </c>
      <c r="D30" s="46"/>
      <c r="E30" s="14"/>
      <c r="F30" s="14">
        <v>400.2</v>
      </c>
      <c r="G30" s="12" t="s">
        <v>177</v>
      </c>
      <c r="H30" s="173">
        <v>45847</v>
      </c>
      <c r="I30" s="12"/>
      <c r="J30" s="14">
        <v>0</v>
      </c>
    </row>
    <row r="31" spans="1:10" s="48" customFormat="1" x14ac:dyDescent="0.3">
      <c r="A31" s="50">
        <v>18357</v>
      </c>
      <c r="B31" s="45" t="s">
        <v>163</v>
      </c>
      <c r="C31" s="46" t="s">
        <v>26</v>
      </c>
      <c r="D31" s="46"/>
      <c r="E31" s="14"/>
      <c r="F31" s="14">
        <v>403.65</v>
      </c>
      <c r="G31" s="12" t="s">
        <v>177</v>
      </c>
      <c r="H31" s="173">
        <v>45847</v>
      </c>
      <c r="I31" s="12"/>
      <c r="J31" s="14">
        <v>0</v>
      </c>
    </row>
    <row r="32" spans="1:10" s="48" customFormat="1" x14ac:dyDescent="0.3">
      <c r="A32" s="49">
        <v>18358</v>
      </c>
      <c r="B32" s="45" t="s">
        <v>163</v>
      </c>
      <c r="C32" s="46" t="s">
        <v>26</v>
      </c>
      <c r="D32" s="46"/>
      <c r="E32" s="14"/>
      <c r="F32" s="14">
        <v>134.55000000000001</v>
      </c>
      <c r="G32" s="12" t="s">
        <v>177</v>
      </c>
      <c r="H32" s="173">
        <v>45847</v>
      </c>
      <c r="I32" s="12"/>
      <c r="J32" s="14">
        <v>0</v>
      </c>
    </row>
    <row r="33" spans="1:10" s="48" customFormat="1" x14ac:dyDescent="0.3">
      <c r="A33" s="47">
        <v>18371</v>
      </c>
      <c r="B33" s="46" t="s">
        <v>163</v>
      </c>
      <c r="C33" s="46" t="s">
        <v>26</v>
      </c>
      <c r="D33" s="46"/>
      <c r="E33" s="14"/>
      <c r="F33" s="14">
        <v>414</v>
      </c>
      <c r="G33" s="12" t="s">
        <v>177</v>
      </c>
      <c r="H33" s="173">
        <v>45847</v>
      </c>
      <c r="I33" s="12"/>
      <c r="J33" s="14">
        <v>0</v>
      </c>
    </row>
    <row r="34" spans="1:10" x14ac:dyDescent="0.3">
      <c r="A34" s="22">
        <v>18475</v>
      </c>
      <c r="B34" s="563" t="s">
        <v>164</v>
      </c>
      <c r="C34" s="563" t="s">
        <v>26</v>
      </c>
      <c r="D34" s="40"/>
      <c r="E34" s="14"/>
      <c r="F34" s="14">
        <v>323.45</v>
      </c>
      <c r="G34" s="12" t="s">
        <v>178</v>
      </c>
      <c r="H34" s="173">
        <v>45854</v>
      </c>
      <c r="I34" s="12"/>
      <c r="J34" s="14">
        <v>0</v>
      </c>
    </row>
    <row r="35" spans="1:10" x14ac:dyDescent="0.3">
      <c r="A35" s="575"/>
      <c r="B35" s="564"/>
      <c r="C35" s="564"/>
      <c r="D35" s="40"/>
      <c r="E35" s="14"/>
      <c r="F35" s="14">
        <v>323</v>
      </c>
      <c r="G35" s="12" t="s">
        <v>185</v>
      </c>
      <c r="H35" s="173">
        <v>45861</v>
      </c>
      <c r="I35" s="12"/>
      <c r="J35" s="14">
        <v>0</v>
      </c>
    </row>
    <row r="36" spans="1:10" x14ac:dyDescent="0.3">
      <c r="A36" s="576"/>
      <c r="B36" s="35"/>
      <c r="C36" s="35"/>
      <c r="D36" s="40"/>
      <c r="E36" s="14"/>
      <c r="F36" s="14">
        <v>323</v>
      </c>
      <c r="G36" s="12" t="s">
        <v>186</v>
      </c>
      <c r="H36" s="173">
        <v>45868</v>
      </c>
      <c r="I36" s="12"/>
      <c r="J36" s="14">
        <v>0</v>
      </c>
    </row>
    <row r="37" spans="1:10" x14ac:dyDescent="0.3">
      <c r="A37" s="22">
        <v>18489</v>
      </c>
      <c r="B37" s="563" t="s">
        <v>187</v>
      </c>
      <c r="C37" s="563" t="s">
        <v>26</v>
      </c>
      <c r="D37" s="40"/>
      <c r="E37" s="14"/>
      <c r="F37" s="14">
        <v>1451.91</v>
      </c>
      <c r="G37" s="12" t="s">
        <v>188</v>
      </c>
      <c r="H37" s="173">
        <v>45855</v>
      </c>
      <c r="I37" s="12"/>
      <c r="J37" s="14">
        <v>0</v>
      </c>
    </row>
    <row r="38" spans="1:10" x14ac:dyDescent="0.3">
      <c r="A38" s="575"/>
      <c r="B38" s="564"/>
      <c r="C38" s="564"/>
      <c r="D38" s="40"/>
      <c r="E38" s="14"/>
      <c r="F38" s="14">
        <v>1451</v>
      </c>
      <c r="G38" s="12" t="s">
        <v>189</v>
      </c>
      <c r="H38" s="173">
        <v>45862</v>
      </c>
      <c r="I38" s="12"/>
      <c r="J38" s="14">
        <v>0</v>
      </c>
    </row>
    <row r="39" spans="1:10" x14ac:dyDescent="0.3">
      <c r="A39" s="576"/>
      <c r="B39" s="35"/>
      <c r="C39" s="35"/>
      <c r="D39" s="40"/>
      <c r="E39" s="14"/>
      <c r="F39" s="14">
        <v>1451</v>
      </c>
      <c r="G39" s="12" t="s">
        <v>190</v>
      </c>
      <c r="H39" s="173">
        <v>45869</v>
      </c>
      <c r="I39" s="12"/>
      <c r="J39" s="14">
        <v>0</v>
      </c>
    </row>
    <row r="40" spans="1:10" x14ac:dyDescent="0.3">
      <c r="A40" s="22">
        <v>18541</v>
      </c>
      <c r="B40" s="22" t="s">
        <v>191</v>
      </c>
      <c r="C40" s="22" t="s">
        <v>26</v>
      </c>
      <c r="D40" s="40"/>
      <c r="E40" s="14"/>
      <c r="F40" s="14">
        <v>412.56</v>
      </c>
      <c r="G40" s="12" t="s">
        <v>192</v>
      </c>
      <c r="H40" s="173">
        <v>45861</v>
      </c>
      <c r="I40" s="12"/>
      <c r="J40" s="14">
        <v>0</v>
      </c>
    </row>
    <row r="41" spans="1:10" x14ac:dyDescent="0.3">
      <c r="A41" s="576"/>
      <c r="B41" s="576"/>
      <c r="C41" s="576"/>
      <c r="D41" s="40"/>
      <c r="E41" s="14"/>
      <c r="F41" s="14">
        <v>412</v>
      </c>
      <c r="G41" s="12" t="s">
        <v>186</v>
      </c>
      <c r="H41" s="173">
        <v>45868</v>
      </c>
      <c r="I41" s="12"/>
      <c r="J41" s="14">
        <v>0</v>
      </c>
    </row>
    <row r="42" spans="1:10" x14ac:dyDescent="0.3">
      <c r="A42" s="22">
        <v>18542</v>
      </c>
      <c r="B42" s="22" t="s">
        <v>191</v>
      </c>
      <c r="C42" s="563" t="s">
        <v>26</v>
      </c>
      <c r="D42" s="40"/>
      <c r="E42" s="14"/>
      <c r="F42" s="14">
        <v>927.02</v>
      </c>
      <c r="G42" s="12" t="s">
        <v>185</v>
      </c>
      <c r="H42" s="173">
        <v>45861</v>
      </c>
      <c r="I42" s="12"/>
      <c r="J42" s="14">
        <v>0</v>
      </c>
    </row>
    <row r="43" spans="1:10" x14ac:dyDescent="0.3">
      <c r="A43" s="575"/>
      <c r="B43" s="575"/>
      <c r="C43" s="564"/>
      <c r="D43" s="40"/>
      <c r="E43" s="14"/>
      <c r="F43" s="14">
        <v>927</v>
      </c>
      <c r="G43" s="12" t="s">
        <v>186</v>
      </c>
      <c r="H43" s="173">
        <v>45868</v>
      </c>
      <c r="I43" s="12"/>
      <c r="J43" s="14">
        <v>0</v>
      </c>
    </row>
    <row r="44" spans="1:10" x14ac:dyDescent="0.3">
      <c r="A44" s="576"/>
      <c r="B44" s="576"/>
      <c r="C44" s="35"/>
      <c r="D44" s="40"/>
      <c r="E44" s="14"/>
      <c r="F44" s="14">
        <v>927</v>
      </c>
      <c r="G44" s="12" t="s">
        <v>193</v>
      </c>
      <c r="H44" s="173">
        <v>45874</v>
      </c>
      <c r="I44" s="12"/>
      <c r="J44" s="14">
        <v>0</v>
      </c>
    </row>
    <row r="45" spans="1:10" x14ac:dyDescent="0.3">
      <c r="A45" s="31">
        <v>18543</v>
      </c>
      <c r="B45" s="13" t="s">
        <v>191</v>
      </c>
      <c r="C45" s="40" t="s">
        <v>26</v>
      </c>
      <c r="D45" s="40"/>
      <c r="E45" s="14"/>
      <c r="F45" s="14">
        <v>545.45000000000005</v>
      </c>
      <c r="G45" s="12" t="s">
        <v>185</v>
      </c>
      <c r="H45" s="173">
        <v>45861</v>
      </c>
      <c r="I45" s="12"/>
      <c r="J45" s="14">
        <v>0</v>
      </c>
    </row>
    <row r="46" spans="1:10" x14ac:dyDescent="0.3">
      <c r="A46" s="22">
        <v>18557</v>
      </c>
      <c r="B46" s="563" t="s">
        <v>194</v>
      </c>
      <c r="C46" s="563" t="s">
        <v>26</v>
      </c>
      <c r="D46" s="40"/>
      <c r="E46" s="14"/>
      <c r="F46" s="14">
        <v>591.32000000000005</v>
      </c>
      <c r="G46" s="12" t="s">
        <v>195</v>
      </c>
      <c r="H46" s="173">
        <v>45862</v>
      </c>
      <c r="I46" s="12"/>
      <c r="J46" s="14">
        <v>0</v>
      </c>
    </row>
    <row r="47" spans="1:10" x14ac:dyDescent="0.3">
      <c r="A47" s="575"/>
      <c r="B47" s="564"/>
      <c r="C47" s="564"/>
      <c r="D47" s="40"/>
      <c r="E47" s="14"/>
      <c r="F47" s="14">
        <v>591</v>
      </c>
      <c r="G47" s="12" t="s">
        <v>196</v>
      </c>
      <c r="H47" s="173">
        <v>45869</v>
      </c>
      <c r="I47" s="12"/>
      <c r="J47" s="14">
        <v>0</v>
      </c>
    </row>
    <row r="48" spans="1:10" x14ac:dyDescent="0.3">
      <c r="A48" s="575"/>
      <c r="B48" s="564"/>
      <c r="C48" s="564"/>
      <c r="D48" s="40"/>
      <c r="E48" s="38"/>
      <c r="F48" s="38">
        <v>591</v>
      </c>
      <c r="G48" s="39" t="s">
        <v>197</v>
      </c>
      <c r="H48" s="181">
        <v>45874</v>
      </c>
      <c r="I48" s="39"/>
      <c r="J48" s="38">
        <v>0</v>
      </c>
    </row>
    <row r="49" spans="1:10" x14ac:dyDescent="0.3">
      <c r="A49" s="31">
        <v>18579</v>
      </c>
      <c r="B49" s="13" t="s">
        <v>198</v>
      </c>
      <c r="C49" s="40" t="s">
        <v>26</v>
      </c>
      <c r="D49" s="13"/>
      <c r="E49" s="14"/>
      <c r="F49" s="14">
        <v>546.83000000000004</v>
      </c>
      <c r="G49" s="12" t="s">
        <v>189</v>
      </c>
      <c r="H49" s="173">
        <v>45862</v>
      </c>
      <c r="I49" s="12"/>
      <c r="J49" s="38">
        <v>0</v>
      </c>
    </row>
    <row r="50" spans="1:10" ht="17.399999999999999" thickBot="1" x14ac:dyDescent="0.35">
      <c r="A50" s="590" t="s">
        <v>10</v>
      </c>
      <c r="B50" s="590"/>
      <c r="C50" s="591"/>
      <c r="D50" s="17"/>
      <c r="E50" s="2">
        <f>SUM(E2:E48)</f>
        <v>0</v>
      </c>
      <c r="F50" s="18">
        <f>SUM(F2:F49)</f>
        <v>32986.860000000008</v>
      </c>
      <c r="G50" s="3"/>
    </row>
    <row r="51" spans="1:10" ht="17.399999999999999" thickBot="1" x14ac:dyDescent="0.35">
      <c r="A51" s="590" t="s">
        <v>11</v>
      </c>
      <c r="B51" s="590"/>
      <c r="C51" s="591"/>
      <c r="D51" s="4"/>
      <c r="E51" s="5"/>
      <c r="F51" s="19"/>
      <c r="G51" s="6"/>
    </row>
    <row r="52" spans="1:10" ht="16.8" x14ac:dyDescent="0.3">
      <c r="A52" s="586"/>
      <c r="B52" s="586"/>
      <c r="C52" s="587"/>
      <c r="D52" s="588">
        <v>0</v>
      </c>
      <c r="E52" s="7"/>
      <c r="G52" s="8"/>
    </row>
    <row r="53" spans="1:10" x14ac:dyDescent="0.3">
      <c r="A53" s="586"/>
      <c r="B53" s="586"/>
      <c r="C53" s="587"/>
      <c r="D53" s="589"/>
      <c r="G53" s="8"/>
    </row>
    <row r="55" spans="1:10" x14ac:dyDescent="0.3">
      <c r="A55" t="s">
        <v>12</v>
      </c>
      <c r="B55" t="s">
        <v>28</v>
      </c>
      <c r="C55" t="s">
        <v>29</v>
      </c>
      <c r="D55" t="s">
        <v>30</v>
      </c>
      <c r="E55" t="s">
        <v>31</v>
      </c>
      <c r="F55" t="s">
        <v>34</v>
      </c>
    </row>
    <row r="56" spans="1:10" x14ac:dyDescent="0.3">
      <c r="A56" s="9" t="s">
        <v>13</v>
      </c>
      <c r="B56" s="10">
        <v>19219.28</v>
      </c>
      <c r="C56" s="10">
        <v>109492.58</v>
      </c>
      <c r="D56" s="10">
        <v>126073.37</v>
      </c>
      <c r="E56" s="10">
        <v>270562.52999999997</v>
      </c>
      <c r="F56" s="36">
        <f>'Janeiro '!F79</f>
        <v>49887.659999999996</v>
      </c>
    </row>
    <row r="57" spans="1:10" x14ac:dyDescent="0.3">
      <c r="A57" s="9" t="s">
        <v>14</v>
      </c>
      <c r="B57" s="10">
        <v>18377.75</v>
      </c>
      <c r="C57" s="10">
        <v>151228.71</v>
      </c>
      <c r="D57" s="10">
        <v>166235.96</v>
      </c>
      <c r="E57" s="10">
        <v>324984.97000000015</v>
      </c>
      <c r="F57" s="36">
        <v>15513.83</v>
      </c>
    </row>
    <row r="58" spans="1:10" x14ac:dyDescent="0.3">
      <c r="A58" s="9" t="s">
        <v>15</v>
      </c>
      <c r="B58" s="10">
        <v>25009.87</v>
      </c>
      <c r="C58" s="10">
        <v>119148.49</v>
      </c>
      <c r="D58" s="10">
        <v>119814.85</v>
      </c>
      <c r="E58" s="10">
        <v>256001.56999999998</v>
      </c>
      <c r="F58" s="36">
        <v>32410.22</v>
      </c>
    </row>
    <row r="59" spans="1:10" x14ac:dyDescent="0.3">
      <c r="A59" s="9" t="s">
        <v>16</v>
      </c>
      <c r="B59" s="10">
        <v>34211.96</v>
      </c>
      <c r="C59" s="10">
        <v>238129.97</v>
      </c>
      <c r="D59" s="10">
        <v>112668.22</v>
      </c>
      <c r="E59" s="10">
        <v>136419.94</v>
      </c>
      <c r="F59" s="41">
        <v>23117.53</v>
      </c>
    </row>
    <row r="60" spans="1:10" x14ac:dyDescent="0.3">
      <c r="A60" s="9" t="s">
        <v>17</v>
      </c>
      <c r="B60" s="10">
        <v>130599.69</v>
      </c>
      <c r="C60" s="10">
        <v>150026.72</v>
      </c>
      <c r="D60" s="10">
        <v>39597.94</v>
      </c>
      <c r="E60" s="10">
        <v>57014.400000000009</v>
      </c>
      <c r="F60" s="36">
        <v>11710.4</v>
      </c>
    </row>
    <row r="61" spans="1:10" x14ac:dyDescent="0.3">
      <c r="A61" s="9" t="s">
        <v>18</v>
      </c>
      <c r="B61" s="10">
        <v>97973.1</v>
      </c>
      <c r="C61" s="10">
        <v>208724.8</v>
      </c>
      <c r="D61" s="10">
        <v>77419.240000000005</v>
      </c>
      <c r="E61" s="10">
        <v>259261.9199999999</v>
      </c>
      <c r="F61" s="36">
        <f>F50</f>
        <v>32986.860000000008</v>
      </c>
    </row>
    <row r="62" spans="1:10" x14ac:dyDescent="0.3">
      <c r="A62" s="9" t="s">
        <v>19</v>
      </c>
      <c r="B62" s="10">
        <v>309004.57</v>
      </c>
      <c r="C62" s="10">
        <v>130036.72</v>
      </c>
      <c r="D62" s="10">
        <v>74963.62</v>
      </c>
      <c r="E62" s="10">
        <v>191964.91000000006</v>
      </c>
      <c r="F62" s="31"/>
    </row>
    <row r="63" spans="1:10" x14ac:dyDescent="0.3">
      <c r="A63" s="9" t="s">
        <v>20</v>
      </c>
      <c r="B63" s="10">
        <v>436765.8</v>
      </c>
      <c r="C63" s="10">
        <v>211762.02</v>
      </c>
      <c r="D63" s="10">
        <v>152485.66</v>
      </c>
      <c r="E63" s="10">
        <v>273158.85000000009</v>
      </c>
      <c r="F63" s="31"/>
    </row>
    <row r="64" spans="1:10" x14ac:dyDescent="0.3">
      <c r="A64" s="9" t="s">
        <v>21</v>
      </c>
      <c r="B64" s="10">
        <v>355927.94</v>
      </c>
      <c r="C64" s="10">
        <v>534003.5</v>
      </c>
      <c r="D64" s="10">
        <v>171282.48</v>
      </c>
      <c r="E64" s="10">
        <v>63159.509999999995</v>
      </c>
      <c r="F64" s="31"/>
    </row>
    <row r="65" spans="1:6" x14ac:dyDescent="0.3">
      <c r="A65" s="9" t="s">
        <v>22</v>
      </c>
      <c r="B65" s="10">
        <v>540038.64</v>
      </c>
      <c r="C65" s="10">
        <v>96571.01</v>
      </c>
      <c r="D65" s="10">
        <v>168433.06</v>
      </c>
      <c r="E65" s="10">
        <v>53077.380000000012</v>
      </c>
      <c r="F65" s="31"/>
    </row>
    <row r="66" spans="1:6" x14ac:dyDescent="0.3">
      <c r="A66" s="9" t="s">
        <v>23</v>
      </c>
      <c r="B66" s="10">
        <v>248566.76</v>
      </c>
      <c r="C66" s="10">
        <v>33008.07</v>
      </c>
      <c r="D66" s="10">
        <v>155757.68</v>
      </c>
      <c r="E66" s="10">
        <v>15517.440000000002</v>
      </c>
      <c r="F66" s="31"/>
    </row>
    <row r="67" spans="1:6" ht="15" thickBot="1" x14ac:dyDescent="0.35">
      <c r="A67" s="22" t="s">
        <v>24</v>
      </c>
      <c r="B67" s="23">
        <v>0</v>
      </c>
      <c r="C67" s="23">
        <v>18714.12</v>
      </c>
      <c r="D67" s="23">
        <v>163379.07999999999</v>
      </c>
      <c r="E67" s="24">
        <v>9580.01</v>
      </c>
      <c r="F67" s="32"/>
    </row>
    <row r="68" spans="1:6" ht="15" thickBot="1" x14ac:dyDescent="0.35">
      <c r="A68" s="25" t="s">
        <v>25</v>
      </c>
      <c r="B68" s="26">
        <v>2215695.3600000003</v>
      </c>
      <c r="C68" s="26">
        <v>2000846.7100000002</v>
      </c>
      <c r="D68" s="26">
        <v>1528111.16</v>
      </c>
      <c r="E68" s="27">
        <f>SUM(E56:E67)</f>
        <v>1910703.4300000002</v>
      </c>
      <c r="F68" s="33"/>
    </row>
  </sheetData>
  <autoFilter ref="A1:J53" xr:uid="{B50DED34-A98E-463A-AEE1-0647B490F44E}"/>
  <mergeCells count="12">
    <mergeCell ref="D9:D11"/>
    <mergeCell ref="D12:D14"/>
    <mergeCell ref="D6:D8"/>
    <mergeCell ref="E6:E8"/>
    <mergeCell ref="D2:D4"/>
    <mergeCell ref="E2:E4"/>
    <mergeCell ref="E15:E17"/>
    <mergeCell ref="A52:C53"/>
    <mergeCell ref="D52:D53"/>
    <mergeCell ref="A50:C50"/>
    <mergeCell ref="A51:C51"/>
    <mergeCell ref="D15:D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E3F5-5805-4439-9ED4-A5CB4F8FAA2F}">
  <dimension ref="A1:J38"/>
  <sheetViews>
    <sheetView workbookViewId="0">
      <selection activeCell="F2" sqref="F2:H17"/>
    </sheetView>
  </sheetViews>
  <sheetFormatPr defaultRowHeight="14.4" x14ac:dyDescent="0.3"/>
  <cols>
    <col min="1" max="1" width="18" customWidth="1"/>
    <col min="2" max="2" width="15.33203125" customWidth="1"/>
    <col min="3" max="3" width="16.109375" customWidth="1"/>
    <col min="4" max="5" width="15.77734375" customWidth="1"/>
    <col min="6" max="6" width="19" customWidth="1"/>
    <col min="7" max="7" width="15.44140625" customWidth="1"/>
    <col min="8" max="8" width="10.6640625" style="175" customWidth="1"/>
    <col min="10" max="10" width="14.109375" customWidth="1"/>
  </cols>
  <sheetData>
    <row r="1" spans="1:10" x14ac:dyDescent="0.3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5" t="s">
        <v>6</v>
      </c>
      <c r="H1" s="172" t="s">
        <v>7</v>
      </c>
      <c r="I1" s="15" t="s">
        <v>8</v>
      </c>
      <c r="J1" s="16" t="s">
        <v>9</v>
      </c>
    </row>
    <row r="2" spans="1:10" x14ac:dyDescent="0.3">
      <c r="A2" s="22">
        <v>18656</v>
      </c>
      <c r="B2" s="563" t="s">
        <v>180</v>
      </c>
      <c r="C2" s="563" t="s">
        <v>26</v>
      </c>
      <c r="D2" s="599"/>
      <c r="E2" s="594"/>
      <c r="F2" s="14">
        <v>591.85</v>
      </c>
      <c r="G2" s="12" t="s">
        <v>196</v>
      </c>
      <c r="H2" s="173">
        <v>45869</v>
      </c>
      <c r="I2" s="12"/>
      <c r="J2" s="14">
        <v>0</v>
      </c>
    </row>
    <row r="3" spans="1:10" x14ac:dyDescent="0.3">
      <c r="A3" s="575"/>
      <c r="B3" s="564"/>
      <c r="C3" s="564"/>
      <c r="D3" s="597"/>
      <c r="E3" s="595"/>
      <c r="F3" s="14">
        <v>589</v>
      </c>
      <c r="G3" s="12" t="s">
        <v>197</v>
      </c>
      <c r="H3" s="173">
        <v>45874</v>
      </c>
      <c r="I3" s="12"/>
      <c r="J3" s="14">
        <v>0</v>
      </c>
    </row>
    <row r="4" spans="1:10" x14ac:dyDescent="0.3">
      <c r="A4" s="576"/>
      <c r="B4" s="35"/>
      <c r="C4" s="35"/>
      <c r="D4" s="598"/>
      <c r="E4" s="596"/>
      <c r="F4" s="14">
        <v>589</v>
      </c>
      <c r="G4" s="12" t="s">
        <v>199</v>
      </c>
      <c r="H4" s="173">
        <v>45880</v>
      </c>
      <c r="I4" s="12"/>
      <c r="J4" s="14">
        <v>0</v>
      </c>
    </row>
    <row r="5" spans="1:10" x14ac:dyDescent="0.3">
      <c r="A5" s="579">
        <v>18666</v>
      </c>
      <c r="B5" s="568" t="s">
        <v>168</v>
      </c>
      <c r="C5" s="563" t="s">
        <v>26</v>
      </c>
      <c r="D5" s="600"/>
      <c r="E5" s="594"/>
      <c r="F5" s="14">
        <v>429.4</v>
      </c>
      <c r="G5" s="12" t="s">
        <v>200</v>
      </c>
      <c r="H5" s="173">
        <v>45874</v>
      </c>
      <c r="I5" s="12"/>
      <c r="J5" s="14">
        <v>0</v>
      </c>
    </row>
    <row r="6" spans="1:10" x14ac:dyDescent="0.3">
      <c r="A6" s="580"/>
      <c r="B6" s="569"/>
      <c r="C6" s="564"/>
      <c r="D6" s="601"/>
      <c r="E6" s="595"/>
      <c r="F6" s="14">
        <v>427</v>
      </c>
      <c r="G6" s="12" t="s">
        <v>201</v>
      </c>
      <c r="H6" s="173">
        <v>45880</v>
      </c>
      <c r="I6" s="12"/>
      <c r="J6" s="14">
        <v>0</v>
      </c>
    </row>
    <row r="7" spans="1:10" x14ac:dyDescent="0.3">
      <c r="A7" s="580"/>
      <c r="B7" s="569"/>
      <c r="C7" s="564"/>
      <c r="D7" s="601"/>
      <c r="E7" s="595"/>
      <c r="F7" s="14">
        <v>427</v>
      </c>
      <c r="G7" s="12" t="s">
        <v>202</v>
      </c>
      <c r="H7" s="173">
        <v>45888</v>
      </c>
      <c r="I7" s="12"/>
      <c r="J7" s="14">
        <v>0</v>
      </c>
    </row>
    <row r="8" spans="1:10" x14ac:dyDescent="0.3">
      <c r="A8" s="31">
        <v>18720</v>
      </c>
      <c r="B8" s="13" t="s">
        <v>177</v>
      </c>
      <c r="C8" s="45" t="s">
        <v>26</v>
      </c>
      <c r="D8" s="13"/>
      <c r="E8" s="14"/>
      <c r="F8" s="14">
        <v>396.75</v>
      </c>
      <c r="G8" s="12" t="s">
        <v>193</v>
      </c>
      <c r="H8" s="173">
        <v>45874</v>
      </c>
      <c r="I8" s="12"/>
      <c r="J8" s="14">
        <v>0</v>
      </c>
    </row>
    <row r="9" spans="1:10" x14ac:dyDescent="0.3">
      <c r="A9" s="52">
        <v>18765</v>
      </c>
      <c r="B9" s="11" t="s">
        <v>203</v>
      </c>
      <c r="C9" s="45" t="s">
        <v>26</v>
      </c>
      <c r="D9" s="11"/>
      <c r="E9" s="51"/>
      <c r="F9" s="14">
        <v>127.65</v>
      </c>
      <c r="G9" s="12" t="s">
        <v>204</v>
      </c>
      <c r="H9" s="173">
        <v>45874</v>
      </c>
      <c r="I9" s="12"/>
      <c r="J9" s="14">
        <v>0</v>
      </c>
    </row>
    <row r="10" spans="1:10" x14ac:dyDescent="0.3">
      <c r="A10" s="32">
        <v>18838</v>
      </c>
      <c r="B10" s="40" t="s">
        <v>182</v>
      </c>
      <c r="C10" s="40" t="s">
        <v>26</v>
      </c>
      <c r="D10" s="40"/>
      <c r="E10" s="14"/>
      <c r="F10" s="14">
        <v>343.55</v>
      </c>
      <c r="G10" s="12" t="s">
        <v>199</v>
      </c>
      <c r="H10" s="173">
        <v>45901</v>
      </c>
      <c r="I10" s="12"/>
      <c r="J10" s="14">
        <v>0</v>
      </c>
    </row>
    <row r="11" spans="1:10" x14ac:dyDescent="0.3">
      <c r="A11" s="9"/>
      <c r="B11" s="40"/>
      <c r="C11" s="40"/>
      <c r="D11" s="9"/>
      <c r="E11" s="10"/>
      <c r="F11" s="14">
        <v>343</v>
      </c>
      <c r="G11" s="9" t="s">
        <v>205</v>
      </c>
      <c r="H11" s="173">
        <v>45908</v>
      </c>
      <c r="I11" s="12"/>
      <c r="J11" s="14">
        <v>0</v>
      </c>
    </row>
    <row r="12" spans="1:10" x14ac:dyDescent="0.3">
      <c r="A12" s="22">
        <v>18944</v>
      </c>
      <c r="B12" s="563" t="s">
        <v>195</v>
      </c>
      <c r="C12" s="563" t="s">
        <v>26</v>
      </c>
      <c r="D12" s="22"/>
      <c r="E12" s="10"/>
      <c r="F12" s="14">
        <v>411.1</v>
      </c>
      <c r="G12" s="9" t="s">
        <v>205</v>
      </c>
      <c r="H12" s="173">
        <v>45888</v>
      </c>
      <c r="I12" s="12"/>
      <c r="J12" s="14">
        <v>0</v>
      </c>
    </row>
    <row r="13" spans="1:10" x14ac:dyDescent="0.3">
      <c r="A13" s="575"/>
      <c r="B13" s="564"/>
      <c r="C13" s="564"/>
      <c r="D13" s="22"/>
      <c r="E13" s="10"/>
      <c r="F13" s="14">
        <v>410</v>
      </c>
      <c r="G13" s="9" t="s">
        <v>206</v>
      </c>
      <c r="H13" s="173">
        <v>45898</v>
      </c>
      <c r="I13" s="12"/>
      <c r="J13" s="14">
        <v>0</v>
      </c>
    </row>
    <row r="14" spans="1:10" x14ac:dyDescent="0.3">
      <c r="A14" s="40">
        <v>18969</v>
      </c>
      <c r="B14" s="40" t="s">
        <v>189</v>
      </c>
      <c r="C14" s="40" t="s">
        <v>26</v>
      </c>
      <c r="D14" s="22"/>
      <c r="E14" s="10"/>
      <c r="F14" s="14">
        <v>408.83</v>
      </c>
      <c r="G14" s="9" t="s">
        <v>246</v>
      </c>
      <c r="H14" s="173">
        <v>45922</v>
      </c>
      <c r="I14" s="12"/>
      <c r="J14" s="14">
        <v>0</v>
      </c>
    </row>
    <row r="15" spans="1:10" x14ac:dyDescent="0.3">
      <c r="A15" s="563">
        <v>19052</v>
      </c>
      <c r="B15" s="563" t="s">
        <v>196</v>
      </c>
      <c r="C15" s="563" t="s">
        <v>26</v>
      </c>
      <c r="D15" s="40"/>
      <c r="E15" s="14"/>
      <c r="F15" s="14">
        <v>864.68</v>
      </c>
      <c r="G15" s="12" t="s">
        <v>206</v>
      </c>
      <c r="H15" s="173">
        <v>45898</v>
      </c>
      <c r="I15" s="12"/>
      <c r="J15" s="14">
        <v>0</v>
      </c>
    </row>
    <row r="16" spans="1:10" x14ac:dyDescent="0.3">
      <c r="A16" s="564"/>
      <c r="B16" s="564"/>
      <c r="C16" s="564"/>
      <c r="D16" s="40"/>
      <c r="E16" s="14"/>
      <c r="F16" s="14">
        <v>864</v>
      </c>
      <c r="G16" s="12" t="s">
        <v>207</v>
      </c>
      <c r="H16" s="173">
        <v>45901</v>
      </c>
      <c r="I16" s="12"/>
      <c r="J16" s="14">
        <v>0</v>
      </c>
    </row>
    <row r="17" spans="1:10" x14ac:dyDescent="0.3">
      <c r="A17" s="35"/>
      <c r="B17" s="35"/>
      <c r="C17" s="35"/>
      <c r="D17" s="40"/>
      <c r="E17" s="14"/>
      <c r="F17" s="14">
        <v>864</v>
      </c>
      <c r="G17" s="12" t="s">
        <v>208</v>
      </c>
      <c r="H17" s="173">
        <v>45908</v>
      </c>
      <c r="I17" s="12"/>
      <c r="J17" s="14">
        <v>0</v>
      </c>
    </row>
    <row r="18" spans="1:10" x14ac:dyDescent="0.3">
      <c r="A18" s="31"/>
      <c r="B18" s="13"/>
      <c r="C18" s="40"/>
      <c r="D18" s="40"/>
      <c r="E18" s="14"/>
      <c r="F18" s="14">
        <v>0</v>
      </c>
      <c r="G18" s="12"/>
      <c r="H18" s="173"/>
      <c r="I18" s="12"/>
      <c r="J18" s="14">
        <v>0</v>
      </c>
    </row>
    <row r="19" spans="1:10" x14ac:dyDescent="0.3">
      <c r="A19" s="31"/>
      <c r="B19" s="13"/>
      <c r="C19" s="40"/>
      <c r="D19" s="13"/>
      <c r="E19" s="14"/>
      <c r="F19" s="14">
        <v>0</v>
      </c>
      <c r="G19" s="12"/>
      <c r="H19" s="173"/>
      <c r="I19" s="12"/>
      <c r="J19" s="38">
        <v>0</v>
      </c>
    </row>
    <row r="20" spans="1:10" ht="17.399999999999999" thickBot="1" x14ac:dyDescent="0.35">
      <c r="A20" s="590" t="s">
        <v>10</v>
      </c>
      <c r="B20" s="590"/>
      <c r="C20" s="591"/>
      <c r="D20" s="17"/>
      <c r="E20" s="2">
        <f>SUM(E2:E18)</f>
        <v>0</v>
      </c>
      <c r="F20" s="18">
        <f>SUM(F2:F19)</f>
        <v>8086.8100000000013</v>
      </c>
      <c r="G20" s="3"/>
    </row>
    <row r="21" spans="1:10" ht="17.399999999999999" thickBot="1" x14ac:dyDescent="0.35">
      <c r="A21" s="590" t="s">
        <v>11</v>
      </c>
      <c r="B21" s="590"/>
      <c r="C21" s="591"/>
      <c r="D21" s="4"/>
      <c r="E21" s="5"/>
      <c r="F21" s="19"/>
      <c r="G21" s="6"/>
    </row>
    <row r="22" spans="1:10" ht="16.8" x14ac:dyDescent="0.3">
      <c r="A22" s="586"/>
      <c r="B22" s="586"/>
      <c r="C22" s="587"/>
      <c r="D22" s="588">
        <v>0</v>
      </c>
      <c r="E22" s="7"/>
      <c r="G22" s="8"/>
    </row>
    <row r="23" spans="1:10" x14ac:dyDescent="0.3">
      <c r="A23" s="586"/>
      <c r="B23" s="586"/>
      <c r="C23" s="587"/>
      <c r="D23" s="589"/>
      <c r="G23" s="8"/>
    </row>
    <row r="25" spans="1:10" x14ac:dyDescent="0.3">
      <c r="A25" t="s">
        <v>12</v>
      </c>
      <c r="B25" t="s">
        <v>28</v>
      </c>
      <c r="C25" t="s">
        <v>29</v>
      </c>
      <c r="D25" t="s">
        <v>30</v>
      </c>
      <c r="E25" t="s">
        <v>31</v>
      </c>
      <c r="F25" t="s">
        <v>34</v>
      </c>
    </row>
    <row r="26" spans="1:10" x14ac:dyDescent="0.3">
      <c r="A26" s="9" t="s">
        <v>13</v>
      </c>
      <c r="B26" s="10">
        <v>19219.28</v>
      </c>
      <c r="C26" s="10">
        <v>109492.58</v>
      </c>
      <c r="D26" s="10">
        <v>126073.37</v>
      </c>
      <c r="E26" s="10">
        <v>270562.52999999997</v>
      </c>
      <c r="F26" s="36">
        <f>'Janeiro '!F79</f>
        <v>49887.659999999996</v>
      </c>
    </row>
    <row r="27" spans="1:10" x14ac:dyDescent="0.3">
      <c r="A27" s="9" t="s">
        <v>14</v>
      </c>
      <c r="B27" s="10">
        <v>18377.75</v>
      </c>
      <c r="C27" s="10">
        <v>151228.71</v>
      </c>
      <c r="D27" s="10">
        <v>166235.96</v>
      </c>
      <c r="E27" s="10">
        <v>324984.97000000015</v>
      </c>
      <c r="F27" s="36">
        <v>15513.83</v>
      </c>
    </row>
    <row r="28" spans="1:10" x14ac:dyDescent="0.3">
      <c r="A28" s="9" t="s">
        <v>15</v>
      </c>
      <c r="B28" s="10">
        <v>25009.87</v>
      </c>
      <c r="C28" s="10">
        <v>119148.49</v>
      </c>
      <c r="D28" s="10">
        <v>119814.85</v>
      </c>
      <c r="E28" s="10">
        <v>256001.56999999998</v>
      </c>
      <c r="F28" s="36">
        <v>32410.22</v>
      </c>
    </row>
    <row r="29" spans="1:10" x14ac:dyDescent="0.3">
      <c r="A29" s="9" t="s">
        <v>16</v>
      </c>
      <c r="B29" s="10">
        <v>34211.96</v>
      </c>
      <c r="C29" s="10">
        <v>238129.97</v>
      </c>
      <c r="D29" s="10">
        <v>112668.22</v>
      </c>
      <c r="E29" s="10">
        <v>136419.94</v>
      </c>
      <c r="F29" s="41">
        <v>23117.53</v>
      </c>
    </row>
    <row r="30" spans="1:10" x14ac:dyDescent="0.3">
      <c r="A30" s="9" t="s">
        <v>17</v>
      </c>
      <c r="B30" s="10">
        <v>130599.69</v>
      </c>
      <c r="C30" s="10">
        <v>150026.72</v>
      </c>
      <c r="D30" s="10">
        <v>39597.94</v>
      </c>
      <c r="E30" s="10">
        <v>57014.400000000009</v>
      </c>
      <c r="F30" s="36">
        <v>11710.4</v>
      </c>
    </row>
    <row r="31" spans="1:10" x14ac:dyDescent="0.3">
      <c r="A31" s="9" t="s">
        <v>18</v>
      </c>
      <c r="B31" s="10">
        <v>97973.1</v>
      </c>
      <c r="C31" s="10">
        <v>208724.8</v>
      </c>
      <c r="D31" s="10">
        <v>77419.240000000005</v>
      </c>
      <c r="E31" s="10">
        <v>259261.9199999999</v>
      </c>
      <c r="F31" s="36">
        <v>32986.86</v>
      </c>
    </row>
    <row r="32" spans="1:10" x14ac:dyDescent="0.3">
      <c r="A32" s="9" t="s">
        <v>19</v>
      </c>
      <c r="B32" s="10">
        <v>309004.57</v>
      </c>
      <c r="C32" s="10">
        <v>130036.72</v>
      </c>
      <c r="D32" s="10">
        <v>74963.62</v>
      </c>
      <c r="E32" s="10">
        <v>191964.91000000006</v>
      </c>
      <c r="F32" s="36">
        <f>F20</f>
        <v>8086.8100000000013</v>
      </c>
    </row>
    <row r="33" spans="1:6" x14ac:dyDescent="0.3">
      <c r="A33" s="9" t="s">
        <v>20</v>
      </c>
      <c r="B33" s="10">
        <v>436765.8</v>
      </c>
      <c r="C33" s="10">
        <v>211762.02</v>
      </c>
      <c r="D33" s="10">
        <v>152485.66</v>
      </c>
      <c r="E33" s="10">
        <v>273158.85000000009</v>
      </c>
      <c r="F33" s="31"/>
    </row>
    <row r="34" spans="1:6" x14ac:dyDescent="0.3">
      <c r="A34" s="9" t="s">
        <v>21</v>
      </c>
      <c r="B34" s="10">
        <v>355927.94</v>
      </c>
      <c r="C34" s="10">
        <v>534003.5</v>
      </c>
      <c r="D34" s="10">
        <v>171282.48</v>
      </c>
      <c r="E34" s="10">
        <v>63159.509999999995</v>
      </c>
      <c r="F34" s="31"/>
    </row>
    <row r="35" spans="1:6" x14ac:dyDescent="0.3">
      <c r="A35" s="9" t="s">
        <v>22</v>
      </c>
      <c r="B35" s="10">
        <v>540038.64</v>
      </c>
      <c r="C35" s="10">
        <v>96571.01</v>
      </c>
      <c r="D35" s="10">
        <v>168433.06</v>
      </c>
      <c r="E35" s="10">
        <v>53077.380000000012</v>
      </c>
      <c r="F35" s="31"/>
    </row>
    <row r="36" spans="1:6" x14ac:dyDescent="0.3">
      <c r="A36" s="9" t="s">
        <v>23</v>
      </c>
      <c r="B36" s="10">
        <v>248566.76</v>
      </c>
      <c r="C36" s="10">
        <v>33008.07</v>
      </c>
      <c r="D36" s="10">
        <v>155757.68</v>
      </c>
      <c r="E36" s="10">
        <v>15517.440000000002</v>
      </c>
      <c r="F36" s="31"/>
    </row>
    <row r="37" spans="1:6" ht="15" thickBot="1" x14ac:dyDescent="0.35">
      <c r="A37" s="22" t="s">
        <v>24</v>
      </c>
      <c r="B37" s="23">
        <v>0</v>
      </c>
      <c r="C37" s="23">
        <v>18714.12</v>
      </c>
      <c r="D37" s="23">
        <v>163379.07999999999</v>
      </c>
      <c r="E37" s="24">
        <v>9580.01</v>
      </c>
      <c r="F37" s="32"/>
    </row>
    <row r="38" spans="1:6" ht="15" thickBot="1" x14ac:dyDescent="0.35">
      <c r="A38" s="25" t="s">
        <v>25</v>
      </c>
      <c r="B38" s="26">
        <v>2215695.3600000003</v>
      </c>
      <c r="C38" s="26">
        <v>2000846.7100000002</v>
      </c>
      <c r="D38" s="26">
        <v>1528111.16</v>
      </c>
      <c r="E38" s="27">
        <f>SUM(E26:E37)</f>
        <v>1910703.4300000002</v>
      </c>
      <c r="F38" s="33"/>
    </row>
  </sheetData>
  <mergeCells count="8">
    <mergeCell ref="A20:C20"/>
    <mergeCell ref="A21:C21"/>
    <mergeCell ref="A22:C23"/>
    <mergeCell ref="D2:D4"/>
    <mergeCell ref="E2:E4"/>
    <mergeCell ref="D5:D7"/>
    <mergeCell ref="E5:E7"/>
    <mergeCell ref="D22:D2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4D8E-BB4E-4B0C-B33E-446326253F50}">
  <dimension ref="A1:T45"/>
  <sheetViews>
    <sheetView showGridLines="0" topLeftCell="A30" zoomScale="110" zoomScaleNormal="110" workbookViewId="0">
      <selection activeCell="G20" sqref="G20:J42"/>
    </sheetView>
  </sheetViews>
  <sheetFormatPr defaultColWidth="15.77734375" defaultRowHeight="14.4" x14ac:dyDescent="0.3"/>
  <cols>
    <col min="1" max="1" width="4.77734375" customWidth="1"/>
    <col min="2" max="2" width="14.88671875" customWidth="1"/>
    <col min="3" max="4" width="14.77734375" customWidth="1"/>
    <col min="5" max="5" width="16.6640625" customWidth="1"/>
    <col min="6" max="6" width="15.88671875" customWidth="1"/>
    <col min="7" max="13" width="14.77734375" customWidth="1"/>
  </cols>
  <sheetData>
    <row r="1" spans="1:20" ht="16.8" customHeight="1" thickBot="1" x14ac:dyDescent="0.35"/>
    <row r="2" spans="1:20" ht="14.4" customHeight="1" x14ac:dyDescent="0.5">
      <c r="A2" s="54"/>
      <c r="B2" s="622" t="s">
        <v>239</v>
      </c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4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25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627"/>
      <c r="N3" s="53"/>
      <c r="O3" s="53"/>
      <c r="P3" s="53"/>
      <c r="Q3" s="53"/>
      <c r="R3" s="53"/>
      <c r="S3" s="53"/>
      <c r="T3" s="53"/>
    </row>
    <row r="4" spans="1:20" ht="12.6" customHeight="1" x14ac:dyDescent="0.3">
      <c r="A4" s="54"/>
      <c r="B4" s="608" t="s">
        <v>209</v>
      </c>
      <c r="C4" s="604"/>
      <c r="D4" s="608">
        <v>2021</v>
      </c>
      <c r="E4" s="605"/>
      <c r="F4" s="608">
        <v>2022</v>
      </c>
      <c r="G4" s="605"/>
      <c r="H4" s="608">
        <v>2023</v>
      </c>
      <c r="I4" s="605"/>
      <c r="J4" s="608">
        <v>2024</v>
      </c>
      <c r="K4" s="605"/>
      <c r="L4" s="604">
        <v>2025</v>
      </c>
      <c r="M4" s="605"/>
    </row>
    <row r="5" spans="1:20" ht="12" customHeight="1" x14ac:dyDescent="0.3">
      <c r="A5" s="54"/>
      <c r="B5" s="606" t="s">
        <v>215</v>
      </c>
      <c r="C5" s="607"/>
      <c r="D5" s="609">
        <v>19219.28</v>
      </c>
      <c r="E5" s="610"/>
      <c r="F5" s="609">
        <v>109492.58</v>
      </c>
      <c r="G5" s="610"/>
      <c r="H5" s="609">
        <v>126073.37</v>
      </c>
      <c r="I5" s="610"/>
      <c r="J5" s="609">
        <v>270562.53000000003</v>
      </c>
      <c r="K5" s="610"/>
      <c r="L5" s="628">
        <v>49887.66</v>
      </c>
      <c r="M5" s="629"/>
    </row>
    <row r="6" spans="1:20" ht="12" customHeight="1" x14ac:dyDescent="0.3">
      <c r="A6" s="54"/>
      <c r="B6" s="613" t="s">
        <v>210</v>
      </c>
      <c r="C6" s="614"/>
      <c r="D6" s="616">
        <v>18377.75</v>
      </c>
      <c r="E6" s="617"/>
      <c r="F6" s="616">
        <v>151228.71</v>
      </c>
      <c r="G6" s="617"/>
      <c r="H6" s="616">
        <v>166235.96</v>
      </c>
      <c r="I6" s="617"/>
      <c r="J6" s="616">
        <v>324984.96999999997</v>
      </c>
      <c r="K6" s="617"/>
      <c r="L6" s="630">
        <v>15513.83</v>
      </c>
      <c r="M6" s="617"/>
    </row>
    <row r="7" spans="1:20" ht="12" customHeight="1" x14ac:dyDescent="0.3">
      <c r="A7" s="54"/>
      <c r="B7" s="606" t="s">
        <v>216</v>
      </c>
      <c r="C7" s="607"/>
      <c r="D7" s="609">
        <v>25009.87</v>
      </c>
      <c r="E7" s="610"/>
      <c r="F7" s="609">
        <v>119148.49</v>
      </c>
      <c r="G7" s="610"/>
      <c r="H7" s="609">
        <v>119814.85</v>
      </c>
      <c r="I7" s="610"/>
      <c r="J7" s="609">
        <v>256001.57</v>
      </c>
      <c r="K7" s="610"/>
      <c r="L7" s="632">
        <v>32410.22</v>
      </c>
      <c r="M7" s="610"/>
    </row>
    <row r="8" spans="1:20" ht="12" customHeight="1" x14ac:dyDescent="0.3">
      <c r="A8" s="54"/>
      <c r="B8" s="613" t="s">
        <v>217</v>
      </c>
      <c r="C8" s="614"/>
      <c r="D8" s="616">
        <v>34211.96</v>
      </c>
      <c r="E8" s="617"/>
      <c r="F8" s="616">
        <v>238129.97</v>
      </c>
      <c r="G8" s="617"/>
      <c r="H8" s="616">
        <v>112668.22</v>
      </c>
      <c r="I8" s="617"/>
      <c r="J8" s="616">
        <v>136419.94</v>
      </c>
      <c r="K8" s="617"/>
      <c r="L8" s="630">
        <v>23117.53</v>
      </c>
      <c r="M8" s="617"/>
    </row>
    <row r="9" spans="1:20" ht="12" customHeight="1" x14ac:dyDescent="0.3">
      <c r="A9" s="54"/>
      <c r="B9" s="606" t="s">
        <v>218</v>
      </c>
      <c r="C9" s="607"/>
      <c r="D9" s="609">
        <v>130599.69</v>
      </c>
      <c r="E9" s="610"/>
      <c r="F9" s="609">
        <v>150026.72</v>
      </c>
      <c r="G9" s="610"/>
      <c r="H9" s="609">
        <v>39597.94</v>
      </c>
      <c r="I9" s="610"/>
      <c r="J9" s="609">
        <v>57014.400000000001</v>
      </c>
      <c r="K9" s="610"/>
      <c r="L9" s="632">
        <v>11710.4</v>
      </c>
      <c r="M9" s="610"/>
    </row>
    <row r="10" spans="1:20" ht="12" customHeight="1" x14ac:dyDescent="0.3">
      <c r="A10" s="54"/>
      <c r="B10" s="613" t="s">
        <v>219</v>
      </c>
      <c r="C10" s="614"/>
      <c r="D10" s="616">
        <v>97973.1</v>
      </c>
      <c r="E10" s="617"/>
      <c r="F10" s="616">
        <v>208724.8</v>
      </c>
      <c r="G10" s="617"/>
      <c r="H10" s="616">
        <v>77419.240000000005</v>
      </c>
      <c r="I10" s="617"/>
      <c r="J10" s="616">
        <v>259261.92</v>
      </c>
      <c r="K10" s="617"/>
      <c r="L10" s="630">
        <v>32986.86</v>
      </c>
      <c r="M10" s="617"/>
    </row>
    <row r="11" spans="1:20" ht="12" customHeight="1" x14ac:dyDescent="0.3">
      <c r="A11" s="54"/>
      <c r="B11" s="606" t="s">
        <v>220</v>
      </c>
      <c r="C11" s="607"/>
      <c r="D11" s="609">
        <v>309004.57</v>
      </c>
      <c r="E11" s="610"/>
      <c r="F11" s="609">
        <v>130036.72</v>
      </c>
      <c r="G11" s="610"/>
      <c r="H11" s="609">
        <v>74963.62</v>
      </c>
      <c r="I11" s="610"/>
      <c r="J11" s="609">
        <v>191964.91</v>
      </c>
      <c r="K11" s="610"/>
      <c r="L11" s="632">
        <v>8086.81</v>
      </c>
      <c r="M11" s="610"/>
    </row>
    <row r="12" spans="1:20" ht="12" customHeight="1" x14ac:dyDescent="0.3">
      <c r="A12" s="54"/>
      <c r="B12" s="613" t="s">
        <v>221</v>
      </c>
      <c r="C12" s="614"/>
      <c r="D12" s="616">
        <v>436765.8</v>
      </c>
      <c r="E12" s="617"/>
      <c r="F12" s="616">
        <v>211762.02</v>
      </c>
      <c r="G12" s="617"/>
      <c r="H12" s="616">
        <v>152485.66</v>
      </c>
      <c r="I12" s="617"/>
      <c r="J12" s="616">
        <v>273158.84999999998</v>
      </c>
      <c r="K12" s="617"/>
      <c r="L12" s="630">
        <f>D45</f>
        <v>23203.360000000001</v>
      </c>
      <c r="M12" s="617"/>
    </row>
    <row r="13" spans="1:20" ht="12" customHeight="1" x14ac:dyDescent="0.3">
      <c r="A13" s="54"/>
      <c r="B13" s="606" t="s">
        <v>211</v>
      </c>
      <c r="C13" s="607"/>
      <c r="D13" s="609">
        <v>355927.94</v>
      </c>
      <c r="E13" s="610"/>
      <c r="F13" s="609">
        <v>534003.5</v>
      </c>
      <c r="G13" s="610"/>
      <c r="H13" s="609">
        <v>171282.48</v>
      </c>
      <c r="I13" s="610"/>
      <c r="J13" s="609">
        <v>63159.51</v>
      </c>
      <c r="K13" s="610"/>
      <c r="L13" s="632"/>
      <c r="M13" s="610"/>
    </row>
    <row r="14" spans="1:20" ht="12" customHeight="1" x14ac:dyDescent="0.3">
      <c r="A14" s="54"/>
      <c r="B14" s="613" t="s">
        <v>222</v>
      </c>
      <c r="C14" s="614"/>
      <c r="D14" s="616">
        <v>540038.64</v>
      </c>
      <c r="E14" s="617"/>
      <c r="F14" s="616">
        <v>96571.01</v>
      </c>
      <c r="G14" s="617"/>
      <c r="H14" s="616">
        <v>168433.06</v>
      </c>
      <c r="I14" s="617"/>
      <c r="J14" s="616">
        <v>53077.38</v>
      </c>
      <c r="K14" s="617"/>
      <c r="L14" s="630"/>
      <c r="M14" s="617"/>
    </row>
    <row r="15" spans="1:20" ht="12" customHeight="1" x14ac:dyDescent="0.3">
      <c r="A15" s="54"/>
      <c r="B15" s="606" t="s">
        <v>212</v>
      </c>
      <c r="C15" s="607"/>
      <c r="D15" s="609">
        <v>248566.76</v>
      </c>
      <c r="E15" s="610"/>
      <c r="F15" s="609">
        <v>33008.07</v>
      </c>
      <c r="G15" s="610"/>
      <c r="H15" s="609">
        <v>155757.68</v>
      </c>
      <c r="I15" s="610"/>
      <c r="J15" s="609">
        <v>15517.44</v>
      </c>
      <c r="K15" s="610"/>
      <c r="L15" s="632"/>
      <c r="M15" s="610"/>
    </row>
    <row r="16" spans="1:20" ht="12" customHeight="1" thickBot="1" x14ac:dyDescent="0.35">
      <c r="A16" s="54"/>
      <c r="B16" s="613" t="s">
        <v>213</v>
      </c>
      <c r="C16" s="614"/>
      <c r="D16" s="618">
        <v>0</v>
      </c>
      <c r="E16" s="619"/>
      <c r="F16" s="618">
        <v>18714.12</v>
      </c>
      <c r="G16" s="619"/>
      <c r="H16" s="618">
        <v>163379.07999999999</v>
      </c>
      <c r="I16" s="619"/>
      <c r="J16" s="618">
        <v>9580.01</v>
      </c>
      <c r="K16" s="619"/>
      <c r="L16" s="618"/>
      <c r="M16" s="619"/>
    </row>
    <row r="17" spans="1:13" ht="12" customHeight="1" thickBot="1" x14ac:dyDescent="0.35">
      <c r="A17" s="54"/>
      <c r="B17" s="611" t="s">
        <v>214</v>
      </c>
      <c r="C17" s="612"/>
      <c r="D17" s="615">
        <f>SUM(D5:D16)</f>
        <v>2215695.3600000003</v>
      </c>
      <c r="E17" s="605"/>
      <c r="F17" s="620">
        <f>SUM(F5:F16)</f>
        <v>2000846.7100000002</v>
      </c>
      <c r="G17" s="621"/>
      <c r="H17" s="620">
        <f>SUM(H5:H16)</f>
        <v>1528111.16</v>
      </c>
      <c r="I17" s="621"/>
      <c r="J17" s="637">
        <f>SUM(J5:J16)</f>
        <v>1910703.4299999997</v>
      </c>
      <c r="K17" s="638"/>
      <c r="L17" s="631">
        <f>SUM(L5:L16)</f>
        <v>196916.66999999998</v>
      </c>
      <c r="M17" s="621"/>
    </row>
    <row r="18" spans="1:13" ht="12" customHeight="1" thickBot="1" x14ac:dyDescent="0.35">
      <c r="B18" s="56"/>
      <c r="C18" s="57"/>
      <c r="D18" s="58"/>
      <c r="E18" s="58"/>
      <c r="F18" s="58"/>
      <c r="G18" s="58"/>
      <c r="H18" s="58"/>
      <c r="I18" s="58"/>
      <c r="J18" s="58"/>
      <c r="K18" s="58"/>
      <c r="L18" s="58"/>
      <c r="M18" s="59"/>
    </row>
    <row r="19" spans="1:13" ht="27.6" customHeight="1" x14ac:dyDescent="0.3">
      <c r="B19" s="68" t="s">
        <v>223</v>
      </c>
      <c r="C19" s="69" t="s">
        <v>232</v>
      </c>
      <c r="D19" s="70" t="s">
        <v>224</v>
      </c>
      <c r="E19" s="71" t="s">
        <v>225</v>
      </c>
      <c r="F19" s="71" t="s">
        <v>268</v>
      </c>
      <c r="G19" s="71" t="s">
        <v>226</v>
      </c>
      <c r="H19" s="71" t="s">
        <v>227</v>
      </c>
      <c r="I19" s="71" t="s">
        <v>228</v>
      </c>
      <c r="J19" s="72" t="s">
        <v>229</v>
      </c>
      <c r="K19" s="71" t="s">
        <v>231</v>
      </c>
      <c r="L19" s="72" t="s">
        <v>230</v>
      </c>
      <c r="M19" s="60" t="s">
        <v>233</v>
      </c>
    </row>
    <row r="20" spans="1:13" ht="15.6" x14ac:dyDescent="0.3">
      <c r="B20" s="75">
        <v>19183</v>
      </c>
      <c r="C20" s="8">
        <v>1734</v>
      </c>
      <c r="D20" s="78">
        <v>45880</v>
      </c>
      <c r="E20" s="85" t="s">
        <v>236</v>
      </c>
      <c r="F20" t="s">
        <v>267</v>
      </c>
      <c r="G20" s="55">
        <v>0</v>
      </c>
      <c r="H20" s="76">
        <v>364.21</v>
      </c>
      <c r="I20" s="80">
        <v>45908</v>
      </c>
      <c r="J20" s="182">
        <v>45908</v>
      </c>
      <c r="K20" s="8"/>
      <c r="L20" s="8"/>
      <c r="M20" s="60"/>
    </row>
    <row r="21" spans="1:13" x14ac:dyDescent="0.3">
      <c r="B21" s="92"/>
      <c r="C21" s="8"/>
      <c r="E21" s="85" t="s">
        <v>236</v>
      </c>
      <c r="F21" t="s">
        <v>267</v>
      </c>
      <c r="G21" s="55">
        <v>0</v>
      </c>
      <c r="H21" s="76">
        <v>363</v>
      </c>
      <c r="I21" s="80">
        <v>45915</v>
      </c>
      <c r="J21" s="182">
        <v>45915</v>
      </c>
      <c r="K21" s="8"/>
      <c r="L21" s="8"/>
      <c r="M21" s="60"/>
    </row>
    <row r="22" spans="1:13" ht="15" thickBot="1" x14ac:dyDescent="0.35">
      <c r="B22" s="92"/>
      <c r="C22" s="82"/>
      <c r="D22" s="79"/>
      <c r="E22" s="88" t="s">
        <v>236</v>
      </c>
      <c r="F22" s="79" t="s">
        <v>267</v>
      </c>
      <c r="G22" s="73">
        <v>0</v>
      </c>
      <c r="H22" s="77">
        <v>363</v>
      </c>
      <c r="I22" s="81">
        <v>45922</v>
      </c>
      <c r="J22" s="183">
        <v>45922</v>
      </c>
      <c r="K22" s="82"/>
      <c r="L22" s="82"/>
      <c r="M22" s="83"/>
    </row>
    <row r="23" spans="1:13" x14ac:dyDescent="0.3">
      <c r="B23" s="93">
        <v>19226</v>
      </c>
      <c r="C23" s="8">
        <v>1734</v>
      </c>
      <c r="D23" s="84">
        <v>45883</v>
      </c>
      <c r="E23" s="85" t="s">
        <v>236</v>
      </c>
      <c r="F23" t="s">
        <v>267</v>
      </c>
      <c r="G23" s="55">
        <v>0</v>
      </c>
      <c r="H23" s="76">
        <v>1248.98</v>
      </c>
      <c r="I23" s="80">
        <v>45911</v>
      </c>
      <c r="J23" s="182">
        <v>45908</v>
      </c>
      <c r="K23" s="8"/>
      <c r="L23" s="8"/>
      <c r="M23" s="60"/>
    </row>
    <row r="24" spans="1:13" x14ac:dyDescent="0.3">
      <c r="B24" s="92"/>
      <c r="E24" s="85" t="s">
        <v>236</v>
      </c>
      <c r="F24" t="s">
        <v>267</v>
      </c>
      <c r="G24" s="55">
        <v>0</v>
      </c>
      <c r="H24" s="76">
        <v>1248</v>
      </c>
      <c r="I24" s="80">
        <v>45918</v>
      </c>
      <c r="J24" s="182">
        <v>45915</v>
      </c>
      <c r="K24" s="8"/>
      <c r="L24" s="8"/>
      <c r="M24" s="60"/>
    </row>
    <row r="25" spans="1:13" ht="15" thickBot="1" x14ac:dyDescent="0.35">
      <c r="B25" s="94"/>
      <c r="C25" s="79"/>
      <c r="D25" s="79"/>
      <c r="E25" s="88" t="s">
        <v>236</v>
      </c>
      <c r="F25" s="79" t="s">
        <v>267</v>
      </c>
      <c r="G25" s="73">
        <v>0</v>
      </c>
      <c r="H25" s="77">
        <v>1248</v>
      </c>
      <c r="I25" s="81">
        <v>45925</v>
      </c>
      <c r="J25" s="183">
        <v>45926</v>
      </c>
      <c r="K25" s="82"/>
      <c r="L25" s="82"/>
      <c r="M25" s="83"/>
    </row>
    <row r="26" spans="1:13" x14ac:dyDescent="0.3">
      <c r="B26" s="93">
        <v>19272</v>
      </c>
      <c r="C26" s="8">
        <v>1796</v>
      </c>
      <c r="D26" s="78">
        <v>45887</v>
      </c>
      <c r="E26" s="85" t="s">
        <v>236</v>
      </c>
      <c r="F26" t="s">
        <v>267</v>
      </c>
      <c r="G26" s="55">
        <v>0</v>
      </c>
      <c r="H26" s="76">
        <v>633.51</v>
      </c>
      <c r="I26" s="80">
        <v>45915</v>
      </c>
      <c r="J26" s="182">
        <v>45915</v>
      </c>
      <c r="K26" s="8"/>
      <c r="L26" s="8"/>
      <c r="M26" s="60"/>
    </row>
    <row r="27" spans="1:13" x14ac:dyDescent="0.3">
      <c r="B27" s="91"/>
      <c r="E27" s="85" t="s">
        <v>236</v>
      </c>
      <c r="F27" t="s">
        <v>267</v>
      </c>
      <c r="G27" s="55">
        <v>0</v>
      </c>
      <c r="H27" s="76">
        <v>632</v>
      </c>
      <c r="I27" s="80">
        <v>45922</v>
      </c>
      <c r="J27" s="182">
        <v>45922</v>
      </c>
      <c r="K27" s="8"/>
      <c r="L27" s="8"/>
      <c r="M27" s="60"/>
    </row>
    <row r="28" spans="1:13" ht="15" thickBot="1" x14ac:dyDescent="0.35">
      <c r="B28" s="90"/>
      <c r="C28" s="79"/>
      <c r="D28" s="79"/>
      <c r="E28" s="88" t="s">
        <v>236</v>
      </c>
      <c r="F28" s="79" t="s">
        <v>267</v>
      </c>
      <c r="G28" s="73">
        <v>0</v>
      </c>
      <c r="H28" s="77">
        <v>632</v>
      </c>
      <c r="I28" s="81">
        <v>45929</v>
      </c>
      <c r="J28" s="183">
        <v>45929</v>
      </c>
      <c r="K28" s="82"/>
      <c r="L28" s="82"/>
      <c r="M28" s="83"/>
    </row>
    <row r="29" spans="1:13" x14ac:dyDescent="0.3">
      <c r="B29" s="74">
        <v>19289</v>
      </c>
      <c r="C29" s="8">
        <v>1819</v>
      </c>
      <c r="D29" s="78">
        <v>45888</v>
      </c>
      <c r="E29" s="95" t="s">
        <v>237</v>
      </c>
      <c r="F29" t="s">
        <v>267</v>
      </c>
      <c r="G29" s="55">
        <v>0</v>
      </c>
      <c r="H29" s="76">
        <v>3841.53</v>
      </c>
      <c r="I29" s="80"/>
      <c r="J29" s="182">
        <v>45923</v>
      </c>
      <c r="K29" s="8"/>
      <c r="L29" s="8"/>
      <c r="M29" s="60"/>
    </row>
    <row r="30" spans="1:13" x14ac:dyDescent="0.3">
      <c r="B30" s="89"/>
      <c r="E30" s="95" t="s">
        <v>237</v>
      </c>
      <c r="F30" t="s">
        <v>267</v>
      </c>
      <c r="G30" s="55">
        <v>0</v>
      </c>
      <c r="H30" s="76">
        <v>0</v>
      </c>
      <c r="I30" s="86"/>
      <c r="J30" s="182"/>
      <c r="K30" s="8"/>
      <c r="L30" s="8"/>
      <c r="M30" s="60"/>
    </row>
    <row r="31" spans="1:13" ht="15" thickBot="1" x14ac:dyDescent="0.35">
      <c r="B31" s="90"/>
      <c r="C31" s="79"/>
      <c r="D31" s="79"/>
      <c r="E31" s="315" t="s">
        <v>237</v>
      </c>
      <c r="F31" s="79" t="s">
        <v>267</v>
      </c>
      <c r="G31" s="73">
        <v>0</v>
      </c>
      <c r="H31" s="77">
        <v>0</v>
      </c>
      <c r="I31" s="87"/>
      <c r="J31" s="183"/>
      <c r="K31" s="82"/>
      <c r="L31" s="82"/>
      <c r="M31" s="83"/>
    </row>
    <row r="32" spans="1:13" x14ac:dyDescent="0.3">
      <c r="B32" s="74">
        <v>19331</v>
      </c>
      <c r="C32" s="8">
        <v>1847</v>
      </c>
      <c r="D32" s="78">
        <v>45891</v>
      </c>
      <c r="E32" s="85" t="s">
        <v>236</v>
      </c>
      <c r="F32" t="s">
        <v>267</v>
      </c>
      <c r="G32" s="55">
        <v>0</v>
      </c>
      <c r="H32" s="76">
        <v>1665.88</v>
      </c>
      <c r="I32" s="80">
        <v>45919</v>
      </c>
      <c r="J32" s="182">
        <v>45915</v>
      </c>
      <c r="K32" s="8"/>
      <c r="L32" s="8"/>
      <c r="M32" s="60"/>
    </row>
    <row r="33" spans="2:13" x14ac:dyDescent="0.3">
      <c r="B33" s="89"/>
      <c r="E33" s="85" t="s">
        <v>236</v>
      </c>
      <c r="F33" t="s">
        <v>267</v>
      </c>
      <c r="G33" s="55">
        <v>0</v>
      </c>
      <c r="H33" s="76">
        <v>1664</v>
      </c>
      <c r="I33" s="80">
        <v>45926</v>
      </c>
      <c r="J33" s="182">
        <v>45926</v>
      </c>
      <c r="K33" s="8"/>
      <c r="L33" s="8"/>
      <c r="M33" s="60"/>
    </row>
    <row r="34" spans="2:13" ht="15" thickBot="1" x14ac:dyDescent="0.35">
      <c r="B34" s="90"/>
      <c r="C34" s="79"/>
      <c r="D34" s="79"/>
      <c r="E34" s="88" t="s">
        <v>236</v>
      </c>
      <c r="F34" s="79" t="s">
        <v>267</v>
      </c>
      <c r="G34" s="73">
        <v>0</v>
      </c>
      <c r="H34" s="77">
        <v>1664</v>
      </c>
      <c r="I34" s="81">
        <v>45933</v>
      </c>
      <c r="J34" s="183">
        <v>45933</v>
      </c>
      <c r="K34" s="82"/>
      <c r="L34" s="82"/>
      <c r="M34" s="83"/>
    </row>
    <row r="35" spans="2:13" x14ac:dyDescent="0.3">
      <c r="B35" s="74">
        <v>19353</v>
      </c>
      <c r="C35" s="8">
        <v>1849</v>
      </c>
      <c r="D35" s="78">
        <v>45894</v>
      </c>
      <c r="E35" s="85" t="s">
        <v>236</v>
      </c>
      <c r="F35" t="s">
        <v>267</v>
      </c>
      <c r="G35" s="55">
        <v>0</v>
      </c>
      <c r="H35" s="76">
        <v>578.92999999999995</v>
      </c>
      <c r="I35" s="80">
        <v>45922</v>
      </c>
      <c r="J35" s="182">
        <v>45951</v>
      </c>
      <c r="K35" s="8"/>
      <c r="L35" s="8"/>
      <c r="M35" s="60"/>
    </row>
    <row r="36" spans="2:13" x14ac:dyDescent="0.3">
      <c r="B36" s="89"/>
      <c r="E36" s="85" t="s">
        <v>236</v>
      </c>
      <c r="F36" t="s">
        <v>267</v>
      </c>
      <c r="G36" s="55">
        <v>0</v>
      </c>
      <c r="H36" s="76">
        <v>0</v>
      </c>
      <c r="I36" s="86"/>
      <c r="J36" s="182"/>
      <c r="K36" s="8"/>
      <c r="L36" s="8"/>
      <c r="M36" s="60"/>
    </row>
    <row r="37" spans="2:13" ht="15" thickBot="1" x14ac:dyDescent="0.35">
      <c r="B37" s="90"/>
      <c r="C37" s="79"/>
      <c r="D37" s="79"/>
      <c r="E37" s="88" t="s">
        <v>236</v>
      </c>
      <c r="F37" s="79" t="s">
        <v>267</v>
      </c>
      <c r="G37" s="73">
        <v>0</v>
      </c>
      <c r="H37" s="77">
        <v>0</v>
      </c>
      <c r="I37" s="87"/>
      <c r="J37" s="183"/>
      <c r="K37" s="82"/>
      <c r="L37" s="82"/>
      <c r="M37" s="83"/>
    </row>
    <row r="38" spans="2:13" ht="15" thickBot="1" x14ac:dyDescent="0.35">
      <c r="B38" s="274">
        <v>19441</v>
      </c>
      <c r="C38" s="275">
        <v>1934</v>
      </c>
      <c r="D38" s="276">
        <v>45897</v>
      </c>
      <c r="E38" s="277" t="s">
        <v>238</v>
      </c>
      <c r="F38" s="290" t="s">
        <v>266</v>
      </c>
      <c r="G38" s="278">
        <v>1496.1</v>
      </c>
      <c r="H38" s="278">
        <v>0</v>
      </c>
      <c r="I38" s="279">
        <v>45897</v>
      </c>
      <c r="J38" s="280">
        <v>45897</v>
      </c>
      <c r="K38" s="275"/>
      <c r="L38" s="275"/>
      <c r="M38" s="281"/>
    </row>
    <row r="39" spans="2:13" ht="15" thickBot="1" x14ac:dyDescent="0.35">
      <c r="B39" s="282">
        <v>19463</v>
      </c>
      <c r="C39" s="283">
        <v>1936</v>
      </c>
      <c r="D39" s="284">
        <v>45898</v>
      </c>
      <c r="E39" s="285" t="s">
        <v>238</v>
      </c>
      <c r="F39" s="306" t="s">
        <v>266</v>
      </c>
      <c r="G39" s="286">
        <v>1227</v>
      </c>
      <c r="H39" s="286">
        <v>0</v>
      </c>
      <c r="I39" s="287">
        <v>45898</v>
      </c>
      <c r="J39" s="288">
        <v>45898</v>
      </c>
      <c r="K39" s="283"/>
      <c r="L39" s="283"/>
      <c r="M39" s="289"/>
    </row>
    <row r="40" spans="2:13" x14ac:dyDescent="0.3">
      <c r="B40" s="74">
        <v>19462</v>
      </c>
      <c r="C40" s="8">
        <v>1922</v>
      </c>
      <c r="D40" s="78">
        <v>45898</v>
      </c>
      <c r="E40" s="85" t="s">
        <v>236</v>
      </c>
      <c r="F40" t="s">
        <v>267</v>
      </c>
      <c r="G40" s="55">
        <v>0</v>
      </c>
      <c r="H40" s="76">
        <v>1445.22</v>
      </c>
      <c r="I40" s="80">
        <v>45926</v>
      </c>
      <c r="J40" s="182">
        <v>45926</v>
      </c>
      <c r="K40" s="8"/>
      <c r="L40" s="8"/>
      <c r="M40" s="60"/>
    </row>
    <row r="41" spans="2:13" x14ac:dyDescent="0.3">
      <c r="B41" s="89"/>
      <c r="E41" s="85" t="s">
        <v>236</v>
      </c>
      <c r="F41" t="s">
        <v>267</v>
      </c>
      <c r="G41" s="55">
        <v>0</v>
      </c>
      <c r="H41" s="76">
        <v>1444</v>
      </c>
      <c r="I41" s="80">
        <v>45933</v>
      </c>
      <c r="J41" s="182">
        <v>45929</v>
      </c>
      <c r="K41" s="8"/>
      <c r="L41" s="8"/>
      <c r="M41" s="60"/>
    </row>
    <row r="42" spans="2:13" ht="15" thickBot="1" x14ac:dyDescent="0.35">
      <c r="B42" s="90"/>
      <c r="C42" s="79"/>
      <c r="D42" s="79"/>
      <c r="E42" s="88" t="s">
        <v>236</v>
      </c>
      <c r="F42" s="79" t="s">
        <v>267</v>
      </c>
      <c r="G42" s="73">
        <v>0</v>
      </c>
      <c r="H42" s="77">
        <v>1444</v>
      </c>
      <c r="I42" s="81">
        <v>45940</v>
      </c>
      <c r="J42" s="183">
        <v>45939</v>
      </c>
      <c r="K42" s="82"/>
      <c r="L42" s="82"/>
      <c r="M42" s="83"/>
    </row>
    <row r="43" spans="2:13" ht="18.600000000000001" thickBot="1" x14ac:dyDescent="0.4">
      <c r="B43" s="633" t="s">
        <v>235</v>
      </c>
      <c r="C43" s="634"/>
      <c r="D43" s="634"/>
      <c r="E43" s="64"/>
      <c r="F43" s="64"/>
      <c r="G43" s="66">
        <f>SUM(G20:G42)</f>
        <v>2723.1</v>
      </c>
      <c r="H43" s="64"/>
      <c r="I43" s="64"/>
      <c r="J43" s="64"/>
      <c r="K43" s="64"/>
      <c r="L43" s="64"/>
      <c r="M43" s="65"/>
    </row>
    <row r="44" spans="2:13" ht="18.600000000000001" thickBot="1" x14ac:dyDescent="0.4">
      <c r="B44" s="635" t="s">
        <v>234</v>
      </c>
      <c r="C44" s="636"/>
      <c r="D44" s="636"/>
      <c r="E44" s="61"/>
      <c r="F44" s="61"/>
      <c r="G44" s="62"/>
      <c r="H44" s="67">
        <f>SUM(H20:H43)</f>
        <v>20480.260000000002</v>
      </c>
      <c r="I44" s="61"/>
      <c r="J44" s="61"/>
      <c r="K44" s="61"/>
      <c r="L44" s="61"/>
      <c r="M44" s="63"/>
    </row>
    <row r="45" spans="2:13" ht="19.8" customHeight="1" x14ac:dyDescent="0.4">
      <c r="B45" s="602" t="s">
        <v>214</v>
      </c>
      <c r="C45" s="602"/>
      <c r="D45" s="603">
        <f>SUM(G43+H44)</f>
        <v>23203.360000000001</v>
      </c>
      <c r="E45" s="603"/>
      <c r="F45" s="603"/>
      <c r="G45" s="603"/>
      <c r="H45" s="603"/>
      <c r="I45" s="603"/>
      <c r="J45" s="603"/>
      <c r="K45" s="603"/>
      <c r="L45" s="603"/>
      <c r="M45" s="603"/>
    </row>
  </sheetData>
  <mergeCells count="89">
    <mergeCell ref="B43:D43"/>
    <mergeCell ref="B44:D44"/>
    <mergeCell ref="L11:M11"/>
    <mergeCell ref="L12:M12"/>
    <mergeCell ref="L13:M13"/>
    <mergeCell ref="L14:M14"/>
    <mergeCell ref="L15:M15"/>
    <mergeCell ref="L16:M16"/>
    <mergeCell ref="J14:K14"/>
    <mergeCell ref="J15:K15"/>
    <mergeCell ref="J16:K16"/>
    <mergeCell ref="J17:K17"/>
    <mergeCell ref="H13:I13"/>
    <mergeCell ref="H14:I14"/>
    <mergeCell ref="H15:I15"/>
    <mergeCell ref="H16:I16"/>
    <mergeCell ref="B2:M3"/>
    <mergeCell ref="L5:M5"/>
    <mergeCell ref="L6:M6"/>
    <mergeCell ref="L10:M10"/>
    <mergeCell ref="L17:M17"/>
    <mergeCell ref="J6:K6"/>
    <mergeCell ref="J7:K7"/>
    <mergeCell ref="J8:K8"/>
    <mergeCell ref="J9:K9"/>
    <mergeCell ref="L7:M7"/>
    <mergeCell ref="L8:M8"/>
    <mergeCell ref="L9:M9"/>
    <mergeCell ref="J10:K10"/>
    <mergeCell ref="J11:K11"/>
    <mergeCell ref="J12:K12"/>
    <mergeCell ref="J13:K13"/>
    <mergeCell ref="F14:G14"/>
    <mergeCell ref="F15:G15"/>
    <mergeCell ref="F16:G16"/>
    <mergeCell ref="F17:G17"/>
    <mergeCell ref="H5:I5"/>
    <mergeCell ref="H6:I6"/>
    <mergeCell ref="H7:I7"/>
    <mergeCell ref="H8:I8"/>
    <mergeCell ref="H9:I9"/>
    <mergeCell ref="H10:I10"/>
    <mergeCell ref="F11:G11"/>
    <mergeCell ref="F12:G12"/>
    <mergeCell ref="F13:G13"/>
    <mergeCell ref="H17:I17"/>
    <mergeCell ref="H11:I11"/>
    <mergeCell ref="H12:I12"/>
    <mergeCell ref="D10:E10"/>
    <mergeCell ref="D11:E11"/>
    <mergeCell ref="D12:E12"/>
    <mergeCell ref="D13:E13"/>
    <mergeCell ref="F6:G6"/>
    <mergeCell ref="F7:G7"/>
    <mergeCell ref="F8:G8"/>
    <mergeCell ref="F9:G9"/>
    <mergeCell ref="F10:G10"/>
    <mergeCell ref="D6:E6"/>
    <mergeCell ref="D7:E7"/>
    <mergeCell ref="D8:E8"/>
    <mergeCell ref="D9:E9"/>
    <mergeCell ref="B14:C14"/>
    <mergeCell ref="B15:C15"/>
    <mergeCell ref="B16:C16"/>
    <mergeCell ref="D17:E17"/>
    <mergeCell ref="D14:E14"/>
    <mergeCell ref="D15:E15"/>
    <mergeCell ref="D16:E16"/>
    <mergeCell ref="B9:C9"/>
    <mergeCell ref="B10:C10"/>
    <mergeCell ref="B11:C11"/>
    <mergeCell ref="B12:C12"/>
    <mergeCell ref="B13:C13"/>
    <mergeCell ref="B45:C45"/>
    <mergeCell ref="D45:M45"/>
    <mergeCell ref="L4:M4"/>
    <mergeCell ref="B5:C5"/>
    <mergeCell ref="B4:C4"/>
    <mergeCell ref="D4:E4"/>
    <mergeCell ref="F4:G4"/>
    <mergeCell ref="H4:I4"/>
    <mergeCell ref="J4:K4"/>
    <mergeCell ref="D5:E5"/>
    <mergeCell ref="F5:G5"/>
    <mergeCell ref="J5:K5"/>
    <mergeCell ref="B17:C17"/>
    <mergeCell ref="B6:C6"/>
    <mergeCell ref="B7:C7"/>
    <mergeCell ref="B8:C8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3D9E-BC4B-4A9F-BD73-BEB80C44E514}">
  <dimension ref="A1:T46"/>
  <sheetViews>
    <sheetView showGridLines="0" topLeftCell="A23" zoomScale="110" zoomScaleNormal="110" workbookViewId="0">
      <selection activeCell="H20" sqref="H20:J42"/>
    </sheetView>
  </sheetViews>
  <sheetFormatPr defaultColWidth="15.77734375" defaultRowHeight="14.4" x14ac:dyDescent="0.3"/>
  <cols>
    <col min="1" max="1" width="4.77734375" customWidth="1"/>
    <col min="2" max="2" width="14.88671875" customWidth="1"/>
    <col min="3" max="5" width="14.77734375" customWidth="1"/>
    <col min="6" max="6" width="15.88671875" customWidth="1"/>
    <col min="7" max="13" width="14.77734375" customWidth="1"/>
  </cols>
  <sheetData>
    <row r="1" spans="1:20" ht="16.8" customHeight="1" thickBot="1" x14ac:dyDescent="0.35"/>
    <row r="2" spans="1:20" ht="14.4" customHeight="1" x14ac:dyDescent="0.5">
      <c r="A2" s="54"/>
      <c r="B2" s="622" t="s">
        <v>239</v>
      </c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4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25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627"/>
      <c r="N3" s="53"/>
      <c r="O3" s="53"/>
      <c r="P3" s="53"/>
      <c r="Q3" s="53"/>
      <c r="R3" s="53"/>
      <c r="S3" s="53"/>
      <c r="T3" s="53"/>
    </row>
    <row r="4" spans="1:20" ht="12.6" customHeight="1" x14ac:dyDescent="0.3">
      <c r="A4" s="54"/>
      <c r="B4" s="608" t="s">
        <v>209</v>
      </c>
      <c r="C4" s="604"/>
      <c r="D4" s="608">
        <v>2021</v>
      </c>
      <c r="E4" s="605"/>
      <c r="F4" s="608">
        <v>2022</v>
      </c>
      <c r="G4" s="605"/>
      <c r="H4" s="608">
        <v>2023</v>
      </c>
      <c r="I4" s="605"/>
      <c r="J4" s="608">
        <v>2024</v>
      </c>
      <c r="K4" s="605"/>
      <c r="L4" s="604">
        <v>2025</v>
      </c>
      <c r="M4" s="605"/>
    </row>
    <row r="5" spans="1:20" ht="12" customHeight="1" x14ac:dyDescent="0.3">
      <c r="A5" s="54"/>
      <c r="B5" s="606" t="s">
        <v>215</v>
      </c>
      <c r="C5" s="607"/>
      <c r="D5" s="609">
        <v>19219.28</v>
      </c>
      <c r="E5" s="610"/>
      <c r="F5" s="609">
        <v>109492.58</v>
      </c>
      <c r="G5" s="610"/>
      <c r="H5" s="609">
        <v>126073.37</v>
      </c>
      <c r="I5" s="610"/>
      <c r="J5" s="609">
        <v>270562.53000000003</v>
      </c>
      <c r="K5" s="610"/>
      <c r="L5" s="628">
        <v>49887.66</v>
      </c>
      <c r="M5" s="629"/>
    </row>
    <row r="6" spans="1:20" ht="12" customHeight="1" x14ac:dyDescent="0.3">
      <c r="A6" s="54"/>
      <c r="B6" s="613" t="s">
        <v>210</v>
      </c>
      <c r="C6" s="614"/>
      <c r="D6" s="616">
        <v>18377.75</v>
      </c>
      <c r="E6" s="617"/>
      <c r="F6" s="616">
        <v>151228.71</v>
      </c>
      <c r="G6" s="617"/>
      <c r="H6" s="616">
        <v>166235.96</v>
      </c>
      <c r="I6" s="617"/>
      <c r="J6" s="616">
        <v>324984.96999999997</v>
      </c>
      <c r="K6" s="617"/>
      <c r="L6" s="630">
        <v>15513.83</v>
      </c>
      <c r="M6" s="617"/>
    </row>
    <row r="7" spans="1:20" ht="12" customHeight="1" x14ac:dyDescent="0.3">
      <c r="A7" s="54"/>
      <c r="B7" s="606" t="s">
        <v>216</v>
      </c>
      <c r="C7" s="607"/>
      <c r="D7" s="609">
        <v>25009.87</v>
      </c>
      <c r="E7" s="610"/>
      <c r="F7" s="609">
        <v>119148.49</v>
      </c>
      <c r="G7" s="610"/>
      <c r="H7" s="609">
        <v>119814.85</v>
      </c>
      <c r="I7" s="610"/>
      <c r="J7" s="609">
        <v>256001.57</v>
      </c>
      <c r="K7" s="610"/>
      <c r="L7" s="632">
        <v>32410.22</v>
      </c>
      <c r="M7" s="610"/>
    </row>
    <row r="8" spans="1:20" ht="12" customHeight="1" x14ac:dyDescent="0.3">
      <c r="A8" s="54"/>
      <c r="B8" s="613" t="s">
        <v>217</v>
      </c>
      <c r="C8" s="614"/>
      <c r="D8" s="616">
        <v>34211.96</v>
      </c>
      <c r="E8" s="617"/>
      <c r="F8" s="616">
        <v>238129.97</v>
      </c>
      <c r="G8" s="617"/>
      <c r="H8" s="616">
        <v>112668.22</v>
      </c>
      <c r="I8" s="617"/>
      <c r="J8" s="616">
        <v>136419.94</v>
      </c>
      <c r="K8" s="617"/>
      <c r="L8" s="630">
        <v>23117.53</v>
      </c>
      <c r="M8" s="617"/>
    </row>
    <row r="9" spans="1:20" ht="12" customHeight="1" x14ac:dyDescent="0.3">
      <c r="A9" s="54"/>
      <c r="B9" s="606" t="s">
        <v>218</v>
      </c>
      <c r="C9" s="607"/>
      <c r="D9" s="609">
        <v>130599.69</v>
      </c>
      <c r="E9" s="610"/>
      <c r="F9" s="609">
        <v>150026.72</v>
      </c>
      <c r="G9" s="610"/>
      <c r="H9" s="609">
        <v>39597.94</v>
      </c>
      <c r="I9" s="610"/>
      <c r="J9" s="609">
        <v>57014.400000000001</v>
      </c>
      <c r="K9" s="610"/>
      <c r="L9" s="632">
        <v>11710.4</v>
      </c>
      <c r="M9" s="610"/>
    </row>
    <row r="10" spans="1:20" ht="12" customHeight="1" x14ac:dyDescent="0.3">
      <c r="A10" s="54"/>
      <c r="B10" s="613" t="s">
        <v>219</v>
      </c>
      <c r="C10" s="614"/>
      <c r="D10" s="616">
        <v>97973.1</v>
      </c>
      <c r="E10" s="617"/>
      <c r="F10" s="616">
        <v>208724.8</v>
      </c>
      <c r="G10" s="617"/>
      <c r="H10" s="616">
        <v>77419.240000000005</v>
      </c>
      <c r="I10" s="617"/>
      <c r="J10" s="616">
        <v>259261.92</v>
      </c>
      <c r="K10" s="617"/>
      <c r="L10" s="630">
        <v>32986.86</v>
      </c>
      <c r="M10" s="617"/>
    </row>
    <row r="11" spans="1:20" ht="12" customHeight="1" x14ac:dyDescent="0.3">
      <c r="A11" s="54"/>
      <c r="B11" s="606" t="s">
        <v>220</v>
      </c>
      <c r="C11" s="607"/>
      <c r="D11" s="609">
        <v>309004.57</v>
      </c>
      <c r="E11" s="610"/>
      <c r="F11" s="609">
        <v>130036.72</v>
      </c>
      <c r="G11" s="610"/>
      <c r="H11" s="609">
        <v>74963.62</v>
      </c>
      <c r="I11" s="610"/>
      <c r="J11" s="609">
        <v>191964.91</v>
      </c>
      <c r="K11" s="610"/>
      <c r="L11" s="632">
        <v>8086.81</v>
      </c>
      <c r="M11" s="610"/>
    </row>
    <row r="12" spans="1:20" ht="12" customHeight="1" x14ac:dyDescent="0.3">
      <c r="A12" s="54"/>
      <c r="B12" s="613" t="s">
        <v>221</v>
      </c>
      <c r="C12" s="614"/>
      <c r="D12" s="616">
        <v>436765.8</v>
      </c>
      <c r="E12" s="617"/>
      <c r="F12" s="616">
        <v>211762.02</v>
      </c>
      <c r="G12" s="617"/>
      <c r="H12" s="616">
        <v>152485.66</v>
      </c>
      <c r="I12" s="617"/>
      <c r="J12" s="616">
        <v>273158.84999999998</v>
      </c>
      <c r="K12" s="617"/>
      <c r="L12" s="630">
        <v>22122.22</v>
      </c>
      <c r="M12" s="617"/>
    </row>
    <row r="13" spans="1:20" ht="12" customHeight="1" x14ac:dyDescent="0.3">
      <c r="A13" s="54"/>
      <c r="B13" s="606" t="s">
        <v>211</v>
      </c>
      <c r="C13" s="607"/>
      <c r="D13" s="609">
        <v>355927.94</v>
      </c>
      <c r="E13" s="610"/>
      <c r="F13" s="609">
        <v>534003.5</v>
      </c>
      <c r="G13" s="610"/>
      <c r="H13" s="609">
        <v>171282.48</v>
      </c>
      <c r="I13" s="610"/>
      <c r="J13" s="609">
        <v>63159.51</v>
      </c>
      <c r="K13" s="610"/>
      <c r="L13" s="632">
        <f>D46</f>
        <v>36466.42</v>
      </c>
      <c r="M13" s="610"/>
    </row>
    <row r="14" spans="1:20" ht="12" customHeight="1" x14ac:dyDescent="0.3">
      <c r="A14" s="54"/>
      <c r="B14" s="613" t="s">
        <v>222</v>
      </c>
      <c r="C14" s="614"/>
      <c r="D14" s="616">
        <v>540038.64</v>
      </c>
      <c r="E14" s="617"/>
      <c r="F14" s="616">
        <v>96571.01</v>
      </c>
      <c r="G14" s="617"/>
      <c r="H14" s="616">
        <v>168433.06</v>
      </c>
      <c r="I14" s="617"/>
      <c r="J14" s="616">
        <v>53077.38</v>
      </c>
      <c r="K14" s="617"/>
      <c r="L14" s="630">
        <v>0</v>
      </c>
      <c r="M14" s="617"/>
    </row>
    <row r="15" spans="1:20" ht="12" customHeight="1" x14ac:dyDescent="0.3">
      <c r="A15" s="54"/>
      <c r="B15" s="606" t="s">
        <v>212</v>
      </c>
      <c r="C15" s="607"/>
      <c r="D15" s="609">
        <v>248566.76</v>
      </c>
      <c r="E15" s="610"/>
      <c r="F15" s="609">
        <v>33008.07</v>
      </c>
      <c r="G15" s="610"/>
      <c r="H15" s="609">
        <v>155757.68</v>
      </c>
      <c r="I15" s="610"/>
      <c r="J15" s="609">
        <v>15517.44</v>
      </c>
      <c r="K15" s="610"/>
      <c r="L15" s="632">
        <v>0</v>
      </c>
      <c r="M15" s="610"/>
    </row>
    <row r="16" spans="1:20" ht="12" customHeight="1" thickBot="1" x14ac:dyDescent="0.35">
      <c r="A16" s="54"/>
      <c r="B16" s="613" t="s">
        <v>213</v>
      </c>
      <c r="C16" s="614"/>
      <c r="D16" s="618">
        <v>0</v>
      </c>
      <c r="E16" s="619"/>
      <c r="F16" s="618">
        <v>18714.12</v>
      </c>
      <c r="G16" s="619"/>
      <c r="H16" s="618">
        <v>163379.07999999999</v>
      </c>
      <c r="I16" s="619"/>
      <c r="J16" s="618">
        <v>9580.01</v>
      </c>
      <c r="K16" s="619"/>
      <c r="L16" s="618">
        <v>0</v>
      </c>
      <c r="M16" s="619"/>
    </row>
    <row r="17" spans="1:13" ht="12" customHeight="1" thickBot="1" x14ac:dyDescent="0.35">
      <c r="A17" s="54"/>
      <c r="B17" s="611" t="s">
        <v>214</v>
      </c>
      <c r="C17" s="612"/>
      <c r="D17" s="615">
        <f>SUM(D5:D16)</f>
        <v>2215695.3600000003</v>
      </c>
      <c r="E17" s="605"/>
      <c r="F17" s="620">
        <f>SUM(F5:F16)</f>
        <v>2000846.7100000002</v>
      </c>
      <c r="G17" s="621"/>
      <c r="H17" s="620">
        <f>SUM(H5:H16)</f>
        <v>1528111.16</v>
      </c>
      <c r="I17" s="621"/>
      <c r="J17" s="637">
        <f>SUM(J5:J16)</f>
        <v>1910703.4299999997</v>
      </c>
      <c r="K17" s="638"/>
      <c r="L17" s="631">
        <f>SUM(L5:L16)</f>
        <v>232301.95</v>
      </c>
      <c r="M17" s="621"/>
    </row>
    <row r="18" spans="1:13" ht="12" customHeight="1" thickBot="1" x14ac:dyDescent="0.35">
      <c r="B18" s="56"/>
      <c r="C18" s="57"/>
      <c r="D18" s="58"/>
      <c r="E18" s="58"/>
      <c r="F18" s="58"/>
      <c r="G18" s="58"/>
      <c r="H18" s="58"/>
      <c r="I18" s="58"/>
      <c r="J18" s="58"/>
      <c r="K18" s="58"/>
      <c r="L18" s="58"/>
      <c r="M18" s="59"/>
    </row>
    <row r="19" spans="1:13" ht="27.6" customHeight="1" x14ac:dyDescent="0.3">
      <c r="B19" s="68" t="s">
        <v>223</v>
      </c>
      <c r="C19" s="69" t="s">
        <v>232</v>
      </c>
      <c r="D19" s="70" t="s">
        <v>224</v>
      </c>
      <c r="E19" s="71" t="s">
        <v>225</v>
      </c>
      <c r="F19" s="71" t="s">
        <v>269</v>
      </c>
      <c r="G19" s="71" t="s">
        <v>226</v>
      </c>
      <c r="H19" s="71" t="s">
        <v>227</v>
      </c>
      <c r="I19" s="71" t="s">
        <v>228</v>
      </c>
      <c r="J19" s="72" t="s">
        <v>229</v>
      </c>
      <c r="K19" s="71" t="s">
        <v>231</v>
      </c>
      <c r="L19" s="72" t="s">
        <v>230</v>
      </c>
      <c r="M19" s="60" t="s">
        <v>233</v>
      </c>
    </row>
    <row r="20" spans="1:13" ht="15" thickBot="1" x14ac:dyDescent="0.35">
      <c r="A20" s="106"/>
      <c r="B20" s="108">
        <v>19488</v>
      </c>
      <c r="C20" s="103">
        <v>1922</v>
      </c>
      <c r="D20" s="109">
        <v>45902</v>
      </c>
      <c r="E20" s="110" t="s">
        <v>236</v>
      </c>
      <c r="F20" s="99" t="s">
        <v>270</v>
      </c>
      <c r="G20" s="100">
        <v>0</v>
      </c>
      <c r="H20" s="101">
        <v>365.03</v>
      </c>
      <c r="I20" s="102">
        <v>45930</v>
      </c>
      <c r="J20" s="184">
        <v>45929</v>
      </c>
      <c r="K20" s="103"/>
      <c r="L20" s="103"/>
      <c r="M20" s="105"/>
    </row>
    <row r="21" spans="1:13" ht="15.6" x14ac:dyDescent="0.3">
      <c r="A21" s="106"/>
      <c r="B21" s="75">
        <v>19547</v>
      </c>
      <c r="C21" s="8" t="s">
        <v>240</v>
      </c>
      <c r="D21" s="78">
        <v>45905</v>
      </c>
      <c r="E21" s="85" t="s">
        <v>236</v>
      </c>
      <c r="F21" t="s">
        <v>270</v>
      </c>
      <c r="G21" s="55">
        <v>0</v>
      </c>
      <c r="H21" s="76">
        <v>2571.04</v>
      </c>
      <c r="I21" s="80">
        <v>45933</v>
      </c>
      <c r="J21" s="182">
        <v>45933</v>
      </c>
      <c r="K21" s="8"/>
      <c r="L21" s="8"/>
      <c r="M21" s="60"/>
    </row>
    <row r="22" spans="1:13" x14ac:dyDescent="0.3">
      <c r="A22" s="106"/>
      <c r="B22" s="92"/>
      <c r="C22" s="8"/>
      <c r="E22" s="85" t="s">
        <v>236</v>
      </c>
      <c r="F22" t="s">
        <v>270</v>
      </c>
      <c r="G22" s="55">
        <v>0</v>
      </c>
      <c r="H22" s="76">
        <v>2569</v>
      </c>
      <c r="I22" s="80">
        <v>45940</v>
      </c>
      <c r="J22" s="182">
        <v>45939</v>
      </c>
      <c r="K22" s="8"/>
      <c r="L22" s="8"/>
      <c r="M22" s="60"/>
    </row>
    <row r="23" spans="1:13" ht="15" thickBot="1" x14ac:dyDescent="0.35">
      <c r="A23" s="106"/>
      <c r="B23" s="92"/>
      <c r="C23" s="8"/>
      <c r="E23" s="85" t="s">
        <v>236</v>
      </c>
      <c r="F23" t="s">
        <v>270</v>
      </c>
      <c r="G23" s="55">
        <v>0</v>
      </c>
      <c r="H23" s="76">
        <v>2569</v>
      </c>
      <c r="I23" s="80">
        <v>45947</v>
      </c>
      <c r="J23" s="182">
        <v>45945</v>
      </c>
      <c r="K23" s="8"/>
      <c r="L23" s="8"/>
      <c r="M23" s="60"/>
    </row>
    <row r="24" spans="1:13" ht="15" thickBot="1" x14ac:dyDescent="0.35">
      <c r="B24" s="111">
        <v>19589</v>
      </c>
      <c r="C24" s="112">
        <v>2016</v>
      </c>
      <c r="D24" s="113">
        <v>45910</v>
      </c>
      <c r="E24" s="114" t="s">
        <v>236</v>
      </c>
      <c r="F24" s="115" t="s">
        <v>270</v>
      </c>
      <c r="G24" s="116">
        <v>0</v>
      </c>
      <c r="H24" s="117">
        <v>120.75</v>
      </c>
      <c r="I24" s="118">
        <v>45938</v>
      </c>
      <c r="J24" s="185">
        <v>45971</v>
      </c>
      <c r="K24" s="112"/>
      <c r="L24" s="112"/>
      <c r="M24" s="119"/>
    </row>
    <row r="25" spans="1:13" x14ac:dyDescent="0.3">
      <c r="A25" s="106"/>
      <c r="B25" s="86">
        <v>19590</v>
      </c>
      <c r="C25" s="8">
        <v>2000</v>
      </c>
      <c r="D25" s="78">
        <v>45910</v>
      </c>
      <c r="E25" s="85" t="s">
        <v>236</v>
      </c>
      <c r="F25" t="s">
        <v>270</v>
      </c>
      <c r="G25" s="97">
        <v>0</v>
      </c>
      <c r="H25" s="98">
        <v>348.75</v>
      </c>
      <c r="I25" s="80">
        <v>45938</v>
      </c>
      <c r="J25" s="182">
        <v>45939</v>
      </c>
      <c r="K25" s="8"/>
      <c r="L25" s="8"/>
      <c r="M25" s="104"/>
    </row>
    <row r="26" spans="1:13" x14ac:dyDescent="0.3">
      <c r="A26" s="106"/>
      <c r="E26" s="85" t="s">
        <v>236</v>
      </c>
      <c r="F26" t="s">
        <v>270</v>
      </c>
      <c r="G26" s="97">
        <v>0</v>
      </c>
      <c r="H26" s="98">
        <v>347</v>
      </c>
      <c r="I26" s="80">
        <v>45945</v>
      </c>
      <c r="J26" s="182">
        <v>45945</v>
      </c>
      <c r="K26" s="8"/>
      <c r="L26" s="8"/>
      <c r="M26" s="60"/>
    </row>
    <row r="27" spans="1:13" ht="15" thickBot="1" x14ac:dyDescent="0.35">
      <c r="A27" s="106"/>
      <c r="B27" s="99"/>
      <c r="C27" s="99"/>
      <c r="D27" s="99"/>
      <c r="E27" s="110" t="s">
        <v>236</v>
      </c>
      <c r="F27" s="99" t="s">
        <v>270</v>
      </c>
      <c r="G27" s="100">
        <v>0</v>
      </c>
      <c r="H27" s="101">
        <v>347</v>
      </c>
      <c r="I27" s="102">
        <v>45952</v>
      </c>
      <c r="J27" s="184">
        <v>45951</v>
      </c>
      <c r="K27" s="103"/>
      <c r="L27" s="103"/>
      <c r="M27" s="105"/>
    </row>
    <row r="28" spans="1:13" ht="15" thickBot="1" x14ac:dyDescent="0.35">
      <c r="B28" s="111">
        <v>19643</v>
      </c>
      <c r="C28" s="112">
        <v>2066</v>
      </c>
      <c r="D28" s="113">
        <v>45915</v>
      </c>
      <c r="E28" s="277" t="s">
        <v>237</v>
      </c>
      <c r="F28" s="120" t="s">
        <v>270</v>
      </c>
      <c r="G28" s="116">
        <v>0</v>
      </c>
      <c r="H28" s="117">
        <v>1400.67</v>
      </c>
      <c r="I28" s="118">
        <v>45950</v>
      </c>
      <c r="J28" s="185">
        <v>45950</v>
      </c>
      <c r="K28" s="112"/>
      <c r="L28" s="112"/>
      <c r="M28" s="119"/>
    </row>
    <row r="29" spans="1:13" ht="15" thickBot="1" x14ac:dyDescent="0.35">
      <c r="A29" s="106"/>
      <c r="B29" s="111">
        <v>19650</v>
      </c>
      <c r="C29" s="112">
        <v>2092</v>
      </c>
      <c r="D29" s="113">
        <v>45915</v>
      </c>
      <c r="E29" s="114" t="s">
        <v>236</v>
      </c>
      <c r="F29" s="115" t="s">
        <v>270</v>
      </c>
      <c r="G29" s="116">
        <v>0</v>
      </c>
      <c r="H29" s="117">
        <v>407.1</v>
      </c>
      <c r="I29" s="118">
        <v>45943</v>
      </c>
      <c r="J29" s="185">
        <v>45945</v>
      </c>
      <c r="K29" s="112"/>
      <c r="L29" s="112"/>
      <c r="M29" s="119"/>
    </row>
    <row r="30" spans="1:13" x14ac:dyDescent="0.3">
      <c r="A30" s="106"/>
      <c r="B30" s="93">
        <v>19703</v>
      </c>
      <c r="C30" s="8">
        <v>2092</v>
      </c>
      <c r="D30" s="78">
        <v>45917</v>
      </c>
      <c r="E30" s="85" t="s">
        <v>236</v>
      </c>
      <c r="F30" t="s">
        <v>270</v>
      </c>
      <c r="G30" s="97">
        <v>0</v>
      </c>
      <c r="H30" s="98">
        <v>917.93</v>
      </c>
      <c r="I30" s="80">
        <v>45945</v>
      </c>
      <c r="J30" s="186">
        <v>45945</v>
      </c>
      <c r="K30" s="8"/>
      <c r="L30" s="8"/>
      <c r="M30" s="59"/>
    </row>
    <row r="31" spans="1:13" x14ac:dyDescent="0.3">
      <c r="A31" s="106"/>
      <c r="E31" s="85" t="s">
        <v>236</v>
      </c>
      <c r="F31" t="s">
        <v>270</v>
      </c>
      <c r="G31" s="97">
        <v>0</v>
      </c>
      <c r="H31" s="98">
        <v>915</v>
      </c>
      <c r="I31" s="80">
        <v>45952</v>
      </c>
      <c r="J31" s="182">
        <v>45951</v>
      </c>
      <c r="K31" s="8"/>
      <c r="L31" s="8"/>
      <c r="M31" s="60"/>
    </row>
    <row r="32" spans="1:13" ht="15" thickBot="1" x14ac:dyDescent="0.35">
      <c r="A32" s="106"/>
      <c r="B32" s="107"/>
      <c r="C32" s="99"/>
      <c r="D32" s="99"/>
      <c r="E32" s="110" t="s">
        <v>236</v>
      </c>
      <c r="F32" s="99" t="s">
        <v>270</v>
      </c>
      <c r="G32" s="100">
        <v>0</v>
      </c>
      <c r="H32" s="101">
        <v>915</v>
      </c>
      <c r="I32" s="102">
        <v>45959</v>
      </c>
      <c r="J32" s="184">
        <v>45957</v>
      </c>
      <c r="K32" s="103"/>
      <c r="L32" s="103"/>
      <c r="M32" s="105"/>
    </row>
    <row r="33" spans="1:14" x14ac:dyDescent="0.3">
      <c r="A33" s="106"/>
      <c r="B33" s="86">
        <v>19747</v>
      </c>
      <c r="C33" s="8">
        <v>2126</v>
      </c>
      <c r="D33" s="78">
        <v>45919</v>
      </c>
      <c r="E33" s="85" t="s">
        <v>236</v>
      </c>
      <c r="F33" t="s">
        <v>270</v>
      </c>
      <c r="G33" s="97">
        <v>0</v>
      </c>
      <c r="H33" s="98">
        <v>408.75</v>
      </c>
      <c r="I33" s="80">
        <v>45947</v>
      </c>
      <c r="J33" s="182">
        <v>45945</v>
      </c>
      <c r="K33" s="8"/>
      <c r="L33" s="8"/>
      <c r="M33" s="8"/>
      <c r="N33" s="130"/>
    </row>
    <row r="34" spans="1:14" x14ac:dyDescent="0.3">
      <c r="A34" s="106"/>
      <c r="B34" s="89"/>
      <c r="E34" s="85" t="s">
        <v>236</v>
      </c>
      <c r="F34" t="s">
        <v>270</v>
      </c>
      <c r="G34" s="55">
        <v>0</v>
      </c>
      <c r="H34" s="76">
        <v>408</v>
      </c>
      <c r="I34" s="80">
        <v>45954</v>
      </c>
      <c r="J34" s="182">
        <v>45951</v>
      </c>
      <c r="K34" s="8"/>
      <c r="L34" s="8"/>
      <c r="M34" s="60"/>
    </row>
    <row r="35" spans="1:14" ht="15" thickBot="1" x14ac:dyDescent="0.35">
      <c r="A35" s="106"/>
      <c r="B35" s="90"/>
      <c r="C35" s="79"/>
      <c r="D35" s="79"/>
      <c r="E35" s="88" t="s">
        <v>236</v>
      </c>
      <c r="F35" s="79" t="s">
        <v>270</v>
      </c>
      <c r="G35" s="73">
        <v>0</v>
      </c>
      <c r="H35" s="77">
        <v>408</v>
      </c>
      <c r="I35" s="81">
        <v>45961</v>
      </c>
      <c r="J35" s="183">
        <v>45957</v>
      </c>
      <c r="K35" s="82"/>
      <c r="L35" s="82"/>
      <c r="M35" s="83"/>
    </row>
    <row r="36" spans="1:14" ht="15" thickBot="1" x14ac:dyDescent="0.35">
      <c r="B36" s="274">
        <v>19769</v>
      </c>
      <c r="C36" s="275">
        <v>2152</v>
      </c>
      <c r="D36" s="276">
        <v>45922</v>
      </c>
      <c r="E36" s="277" t="s">
        <v>237</v>
      </c>
      <c r="F36" s="290" t="s">
        <v>270</v>
      </c>
      <c r="G36" s="291">
        <v>0</v>
      </c>
      <c r="H36" s="278">
        <v>1357.29</v>
      </c>
      <c r="I36" s="279">
        <v>45957</v>
      </c>
      <c r="J36" s="280">
        <v>45957</v>
      </c>
      <c r="K36" s="275"/>
      <c r="L36" s="275"/>
      <c r="M36" s="60"/>
    </row>
    <row r="37" spans="1:14" x14ac:dyDescent="0.3">
      <c r="B37" s="152">
        <v>19770</v>
      </c>
      <c r="C37" s="8">
        <v>2183</v>
      </c>
      <c r="D37" s="78">
        <v>45922</v>
      </c>
      <c r="E37" s="85" t="s">
        <v>236</v>
      </c>
      <c r="F37" t="s">
        <v>270</v>
      </c>
      <c r="G37" s="97">
        <v>0</v>
      </c>
      <c r="H37" s="98">
        <v>1484.52</v>
      </c>
      <c r="I37" s="80">
        <v>45950</v>
      </c>
      <c r="J37" s="182">
        <v>45951</v>
      </c>
      <c r="K37" s="8"/>
      <c r="L37" s="8"/>
      <c r="M37" s="127"/>
    </row>
    <row r="38" spans="1:14" x14ac:dyDescent="0.3">
      <c r="A38" s="106"/>
      <c r="E38" s="85" t="s">
        <v>236</v>
      </c>
      <c r="F38" t="s">
        <v>270</v>
      </c>
      <c r="G38" s="97">
        <v>0</v>
      </c>
      <c r="H38" s="98">
        <v>1483</v>
      </c>
      <c r="I38" s="80">
        <v>45957</v>
      </c>
      <c r="J38" s="182">
        <v>45957</v>
      </c>
      <c r="K38" s="8"/>
      <c r="L38" s="8"/>
      <c r="M38" s="128"/>
    </row>
    <row r="39" spans="1:14" ht="15" thickBot="1" x14ac:dyDescent="0.35">
      <c r="A39" s="106"/>
      <c r="B39" s="121"/>
      <c r="C39" s="122"/>
      <c r="D39" s="122"/>
      <c r="E39" s="301" t="s">
        <v>236</v>
      </c>
      <c r="F39" s="122" t="s">
        <v>270</v>
      </c>
      <c r="G39" s="123">
        <v>0</v>
      </c>
      <c r="H39" s="124">
        <v>1483</v>
      </c>
      <c r="I39" s="125">
        <v>45964</v>
      </c>
      <c r="J39" s="187">
        <v>45965</v>
      </c>
      <c r="K39" s="126"/>
      <c r="L39" s="126"/>
      <c r="M39" s="129"/>
    </row>
    <row r="40" spans="1:14" x14ac:dyDescent="0.3">
      <c r="A40" s="54"/>
      <c r="B40" s="86">
        <v>19908</v>
      </c>
      <c r="C40" s="8">
        <v>2280</v>
      </c>
      <c r="D40" s="78">
        <v>45930</v>
      </c>
      <c r="E40" s="85" t="s">
        <v>236</v>
      </c>
      <c r="F40" t="s">
        <v>270</v>
      </c>
      <c r="G40" s="97">
        <v>0</v>
      </c>
      <c r="H40" s="98">
        <v>913.59</v>
      </c>
      <c r="I40" s="80">
        <v>45958</v>
      </c>
      <c r="J40" s="182">
        <v>45957</v>
      </c>
      <c r="K40" s="8"/>
      <c r="L40" s="8"/>
      <c r="M40" s="131"/>
    </row>
    <row r="41" spans="1:14" x14ac:dyDescent="0.3">
      <c r="A41" s="54"/>
      <c r="E41" s="85" t="s">
        <v>236</v>
      </c>
      <c r="F41" t="s">
        <v>270</v>
      </c>
      <c r="G41" s="97">
        <v>0</v>
      </c>
      <c r="H41" s="98">
        <v>912</v>
      </c>
      <c r="I41" s="80">
        <v>45965</v>
      </c>
      <c r="J41" s="182">
        <v>45966</v>
      </c>
      <c r="K41" s="8"/>
      <c r="L41" s="8"/>
      <c r="M41" s="128"/>
    </row>
    <row r="42" spans="1:14" ht="15" thickBot="1" x14ac:dyDescent="0.35">
      <c r="A42" s="54"/>
      <c r="B42" s="132"/>
      <c r="C42" s="122"/>
      <c r="D42" s="122"/>
      <c r="E42" s="301" t="s">
        <v>236</v>
      </c>
      <c r="F42" s="122" t="s">
        <v>270</v>
      </c>
      <c r="G42" s="123">
        <v>0</v>
      </c>
      <c r="H42" s="124">
        <v>912</v>
      </c>
      <c r="I42" s="125">
        <v>45972</v>
      </c>
      <c r="J42" s="187">
        <v>45973</v>
      </c>
      <c r="K42" s="126"/>
      <c r="L42" s="126"/>
      <c r="M42" s="129"/>
    </row>
    <row r="43" spans="1:14" ht="15" thickBot="1" x14ac:dyDescent="0.35">
      <c r="B43" s="74" t="s">
        <v>243</v>
      </c>
      <c r="D43" s="78">
        <v>45918</v>
      </c>
      <c r="E43" s="85" t="s">
        <v>241</v>
      </c>
      <c r="F43" s="85" t="s">
        <v>242</v>
      </c>
      <c r="G43" s="76">
        <v>12903</v>
      </c>
      <c r="H43" s="76">
        <v>0</v>
      </c>
      <c r="I43" s="86"/>
      <c r="J43" s="182"/>
      <c r="K43" s="8"/>
      <c r="L43" s="8"/>
      <c r="M43" s="60"/>
    </row>
    <row r="44" spans="1:14" ht="18.600000000000001" thickBot="1" x14ac:dyDescent="0.4">
      <c r="B44" s="633" t="s">
        <v>235</v>
      </c>
      <c r="C44" s="634"/>
      <c r="D44" s="634"/>
      <c r="E44" s="64"/>
      <c r="F44" s="64"/>
      <c r="G44" s="66">
        <f>SUM(G21:G43)</f>
        <v>12903</v>
      </c>
      <c r="H44" s="64"/>
      <c r="I44" s="64"/>
      <c r="J44" s="64"/>
      <c r="K44" s="64"/>
      <c r="L44" s="64"/>
      <c r="M44" s="65"/>
    </row>
    <row r="45" spans="1:14" ht="18.600000000000001" thickBot="1" x14ac:dyDescent="0.4">
      <c r="B45" s="635" t="s">
        <v>234</v>
      </c>
      <c r="C45" s="636"/>
      <c r="D45" s="636"/>
      <c r="E45" s="61"/>
      <c r="F45" s="61"/>
      <c r="G45" s="62"/>
      <c r="H45" s="67">
        <f>SUM(H20:H44)</f>
        <v>23563.420000000002</v>
      </c>
      <c r="I45" s="61"/>
      <c r="J45" s="61"/>
      <c r="K45" s="61"/>
      <c r="L45" s="61"/>
      <c r="M45" s="63"/>
    </row>
    <row r="46" spans="1:14" ht="19.8" customHeight="1" x14ac:dyDescent="0.4">
      <c r="B46" s="602" t="s">
        <v>214</v>
      </c>
      <c r="C46" s="602"/>
      <c r="D46" s="603">
        <f>SUM(G44+H45)</f>
        <v>36466.42</v>
      </c>
      <c r="E46" s="603"/>
      <c r="F46" s="603"/>
      <c r="G46" s="603"/>
      <c r="H46" s="603"/>
      <c r="I46" s="603"/>
      <c r="J46" s="603"/>
      <c r="K46" s="603"/>
      <c r="L46" s="603"/>
      <c r="M46" s="603"/>
    </row>
  </sheetData>
  <mergeCells count="89">
    <mergeCell ref="B44:D44"/>
    <mergeCell ref="B45:D45"/>
    <mergeCell ref="B46:C46"/>
    <mergeCell ref="D46:M46"/>
    <mergeCell ref="B17:C17"/>
    <mergeCell ref="D17:E17"/>
    <mergeCell ref="F17:G17"/>
    <mergeCell ref="H17:I17"/>
    <mergeCell ref="J17:K17"/>
    <mergeCell ref="L17:M17"/>
    <mergeCell ref="L16:M16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4:M14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2:M12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0:M10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8:M8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3"/>
    <mergeCell ref="B4:C4"/>
    <mergeCell ref="D4:E4"/>
    <mergeCell ref="F4:G4"/>
    <mergeCell ref="H4:I4"/>
    <mergeCell ref="J4:K4"/>
    <mergeCell ref="L4:M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5DC2-C5C8-43FC-87BE-864DCD529782}">
  <dimension ref="A1:T67"/>
  <sheetViews>
    <sheetView showGridLines="0" topLeftCell="E1" zoomScale="110" zoomScaleNormal="110" workbookViewId="0">
      <selection activeCell="L20" sqref="L20:L64"/>
    </sheetView>
  </sheetViews>
  <sheetFormatPr defaultColWidth="15.77734375" defaultRowHeight="14.4" x14ac:dyDescent="0.3"/>
  <cols>
    <col min="1" max="1" width="4.77734375" customWidth="1"/>
    <col min="2" max="2" width="14.88671875" customWidth="1"/>
    <col min="3" max="4" width="14.77734375" customWidth="1"/>
    <col min="5" max="6" width="15.88671875" customWidth="1"/>
    <col min="7" max="13" width="14.77734375" customWidth="1"/>
  </cols>
  <sheetData>
    <row r="1" spans="1:20" ht="16.8" customHeight="1" thickBot="1" x14ac:dyDescent="0.35"/>
    <row r="2" spans="1:20" ht="14.4" customHeight="1" x14ac:dyDescent="0.5">
      <c r="A2" s="54"/>
      <c r="B2" s="622" t="s">
        <v>239</v>
      </c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4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25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627"/>
      <c r="N3" s="53"/>
      <c r="O3" s="53"/>
      <c r="P3" s="53"/>
      <c r="Q3" s="53"/>
      <c r="R3" s="53"/>
      <c r="S3" s="53"/>
      <c r="T3" s="53"/>
    </row>
    <row r="4" spans="1:20" ht="12.6" customHeight="1" x14ac:dyDescent="0.3">
      <c r="A4" s="54"/>
      <c r="B4" s="608" t="s">
        <v>209</v>
      </c>
      <c r="C4" s="604"/>
      <c r="D4" s="608">
        <v>2021</v>
      </c>
      <c r="E4" s="605"/>
      <c r="F4" s="608">
        <v>2022</v>
      </c>
      <c r="G4" s="605"/>
      <c r="H4" s="608">
        <v>2023</v>
      </c>
      <c r="I4" s="605"/>
      <c r="J4" s="608">
        <v>2024</v>
      </c>
      <c r="K4" s="605"/>
      <c r="L4" s="604">
        <v>2025</v>
      </c>
      <c r="M4" s="605"/>
    </row>
    <row r="5" spans="1:20" ht="12" customHeight="1" x14ac:dyDescent="0.3">
      <c r="A5" s="54"/>
      <c r="B5" s="606" t="s">
        <v>215</v>
      </c>
      <c r="C5" s="607"/>
      <c r="D5" s="609">
        <v>19219.28</v>
      </c>
      <c r="E5" s="610"/>
      <c r="F5" s="609">
        <v>109492.58</v>
      </c>
      <c r="G5" s="610"/>
      <c r="H5" s="609">
        <v>126073.37</v>
      </c>
      <c r="I5" s="610"/>
      <c r="J5" s="609">
        <v>270562.53000000003</v>
      </c>
      <c r="K5" s="610"/>
      <c r="L5" s="628">
        <v>49887.66</v>
      </c>
      <c r="M5" s="629"/>
    </row>
    <row r="6" spans="1:20" ht="12" customHeight="1" x14ac:dyDescent="0.3">
      <c r="A6" s="54"/>
      <c r="B6" s="613" t="s">
        <v>210</v>
      </c>
      <c r="C6" s="614"/>
      <c r="D6" s="616">
        <v>18377.75</v>
      </c>
      <c r="E6" s="617"/>
      <c r="F6" s="616">
        <v>151228.71</v>
      </c>
      <c r="G6" s="617"/>
      <c r="H6" s="616">
        <v>166235.96</v>
      </c>
      <c r="I6" s="617"/>
      <c r="J6" s="616">
        <v>324984.96999999997</v>
      </c>
      <c r="K6" s="617"/>
      <c r="L6" s="630">
        <v>15513.83</v>
      </c>
      <c r="M6" s="617"/>
    </row>
    <row r="7" spans="1:20" ht="12" customHeight="1" x14ac:dyDescent="0.3">
      <c r="A7" s="54"/>
      <c r="B7" s="606" t="s">
        <v>216</v>
      </c>
      <c r="C7" s="607"/>
      <c r="D7" s="609">
        <v>25009.87</v>
      </c>
      <c r="E7" s="610"/>
      <c r="F7" s="609">
        <v>119148.49</v>
      </c>
      <c r="G7" s="610"/>
      <c r="H7" s="609">
        <v>119814.85</v>
      </c>
      <c r="I7" s="610"/>
      <c r="J7" s="609">
        <v>256001.57</v>
      </c>
      <c r="K7" s="610"/>
      <c r="L7" s="632">
        <v>32410.22</v>
      </c>
      <c r="M7" s="610"/>
    </row>
    <row r="8" spans="1:20" ht="12" customHeight="1" x14ac:dyDescent="0.3">
      <c r="A8" s="54"/>
      <c r="B8" s="613" t="s">
        <v>217</v>
      </c>
      <c r="C8" s="614"/>
      <c r="D8" s="616">
        <v>34211.96</v>
      </c>
      <c r="E8" s="617"/>
      <c r="F8" s="616">
        <v>238129.97</v>
      </c>
      <c r="G8" s="617"/>
      <c r="H8" s="616">
        <v>112668.22</v>
      </c>
      <c r="I8" s="617"/>
      <c r="J8" s="616">
        <v>136419.94</v>
      </c>
      <c r="K8" s="617"/>
      <c r="L8" s="630">
        <v>23117.53</v>
      </c>
      <c r="M8" s="617"/>
    </row>
    <row r="9" spans="1:20" ht="12" customHeight="1" x14ac:dyDescent="0.3">
      <c r="A9" s="54"/>
      <c r="B9" s="606" t="s">
        <v>218</v>
      </c>
      <c r="C9" s="607"/>
      <c r="D9" s="609">
        <v>130599.69</v>
      </c>
      <c r="E9" s="610"/>
      <c r="F9" s="609">
        <v>150026.72</v>
      </c>
      <c r="G9" s="610"/>
      <c r="H9" s="609">
        <v>39597.94</v>
      </c>
      <c r="I9" s="610"/>
      <c r="J9" s="609">
        <v>57014.400000000001</v>
      </c>
      <c r="K9" s="610"/>
      <c r="L9" s="632">
        <v>11710.4</v>
      </c>
      <c r="M9" s="610"/>
    </row>
    <row r="10" spans="1:20" ht="12" customHeight="1" x14ac:dyDescent="0.3">
      <c r="A10" s="54"/>
      <c r="B10" s="613" t="s">
        <v>219</v>
      </c>
      <c r="C10" s="614"/>
      <c r="D10" s="616">
        <v>97973.1</v>
      </c>
      <c r="E10" s="617"/>
      <c r="F10" s="616">
        <v>208724.8</v>
      </c>
      <c r="G10" s="617"/>
      <c r="H10" s="616">
        <v>77419.240000000005</v>
      </c>
      <c r="I10" s="617"/>
      <c r="J10" s="616">
        <v>259261.92</v>
      </c>
      <c r="K10" s="617"/>
      <c r="L10" s="630">
        <v>32986.86</v>
      </c>
      <c r="M10" s="617"/>
    </row>
    <row r="11" spans="1:20" ht="12" customHeight="1" x14ac:dyDescent="0.3">
      <c r="A11" s="54"/>
      <c r="B11" s="606" t="s">
        <v>220</v>
      </c>
      <c r="C11" s="607"/>
      <c r="D11" s="609">
        <v>309004.57</v>
      </c>
      <c r="E11" s="610"/>
      <c r="F11" s="609">
        <v>130036.72</v>
      </c>
      <c r="G11" s="610"/>
      <c r="H11" s="609">
        <v>74963.62</v>
      </c>
      <c r="I11" s="610"/>
      <c r="J11" s="609">
        <v>191964.91</v>
      </c>
      <c r="K11" s="610"/>
      <c r="L11" s="632">
        <v>8086.81</v>
      </c>
      <c r="M11" s="610"/>
    </row>
    <row r="12" spans="1:20" ht="12" customHeight="1" x14ac:dyDescent="0.3">
      <c r="A12" s="54"/>
      <c r="B12" s="613" t="s">
        <v>221</v>
      </c>
      <c r="C12" s="614"/>
      <c r="D12" s="616">
        <v>436765.8</v>
      </c>
      <c r="E12" s="617"/>
      <c r="F12" s="616">
        <v>211762.02</v>
      </c>
      <c r="G12" s="617"/>
      <c r="H12" s="616">
        <v>152485.66</v>
      </c>
      <c r="I12" s="617"/>
      <c r="J12" s="616">
        <v>273158.84999999998</v>
      </c>
      <c r="K12" s="617"/>
      <c r="L12" s="630">
        <v>22122.22</v>
      </c>
      <c r="M12" s="617"/>
    </row>
    <row r="13" spans="1:20" ht="12" customHeight="1" x14ac:dyDescent="0.3">
      <c r="A13" s="54"/>
      <c r="B13" s="606" t="s">
        <v>211</v>
      </c>
      <c r="C13" s="607"/>
      <c r="D13" s="609">
        <v>355927.94</v>
      </c>
      <c r="E13" s="610"/>
      <c r="F13" s="609">
        <v>534003.5</v>
      </c>
      <c r="G13" s="610"/>
      <c r="H13" s="609">
        <v>171282.48</v>
      </c>
      <c r="I13" s="610"/>
      <c r="J13" s="609">
        <v>63159.51</v>
      </c>
      <c r="K13" s="610"/>
      <c r="L13" s="632">
        <v>36466.42</v>
      </c>
      <c r="M13" s="610"/>
    </row>
    <row r="14" spans="1:20" ht="12" customHeight="1" x14ac:dyDescent="0.3">
      <c r="A14" s="54"/>
      <c r="B14" s="613" t="s">
        <v>222</v>
      </c>
      <c r="C14" s="614"/>
      <c r="D14" s="616">
        <v>540038.64</v>
      </c>
      <c r="E14" s="617"/>
      <c r="F14" s="616">
        <v>96571.01</v>
      </c>
      <c r="G14" s="617"/>
      <c r="H14" s="616">
        <v>168433.06</v>
      </c>
      <c r="I14" s="617"/>
      <c r="J14" s="616">
        <v>53077.38</v>
      </c>
      <c r="K14" s="617"/>
      <c r="L14" s="630">
        <f>D67</f>
        <v>101839.16999999998</v>
      </c>
      <c r="M14" s="617"/>
    </row>
    <row r="15" spans="1:20" ht="12" customHeight="1" x14ac:dyDescent="0.3">
      <c r="A15" s="54"/>
      <c r="B15" s="606" t="s">
        <v>212</v>
      </c>
      <c r="C15" s="607"/>
      <c r="D15" s="609">
        <v>248566.76</v>
      </c>
      <c r="E15" s="610"/>
      <c r="F15" s="609">
        <v>33008.07</v>
      </c>
      <c r="G15" s="610"/>
      <c r="H15" s="609">
        <v>155757.68</v>
      </c>
      <c r="I15" s="610"/>
      <c r="J15" s="609">
        <v>15517.44</v>
      </c>
      <c r="K15" s="610"/>
      <c r="L15" s="609">
        <v>0</v>
      </c>
      <c r="M15" s="610"/>
    </row>
    <row r="16" spans="1:20" ht="12" customHeight="1" thickBot="1" x14ac:dyDescent="0.35">
      <c r="A16" s="54"/>
      <c r="B16" s="613" t="s">
        <v>213</v>
      </c>
      <c r="C16" s="614"/>
      <c r="D16" s="618">
        <v>0</v>
      </c>
      <c r="E16" s="619"/>
      <c r="F16" s="618">
        <v>18714.12</v>
      </c>
      <c r="G16" s="619"/>
      <c r="H16" s="618">
        <v>163379.07999999999</v>
      </c>
      <c r="I16" s="619"/>
      <c r="J16" s="618">
        <v>9580.01</v>
      </c>
      <c r="K16" s="619"/>
      <c r="L16" s="618">
        <v>0</v>
      </c>
      <c r="M16" s="619"/>
    </row>
    <row r="17" spans="1:14" ht="12" customHeight="1" thickBot="1" x14ac:dyDescent="0.35">
      <c r="A17" s="54"/>
      <c r="B17" s="611" t="s">
        <v>214</v>
      </c>
      <c r="C17" s="612"/>
      <c r="D17" s="615">
        <f>SUM(D5:D16)</f>
        <v>2215695.3600000003</v>
      </c>
      <c r="E17" s="605"/>
      <c r="F17" s="620">
        <f>SUM(F5:F16)</f>
        <v>2000846.7100000002</v>
      </c>
      <c r="G17" s="621"/>
      <c r="H17" s="620">
        <f>SUM(H5:H16)</f>
        <v>1528111.16</v>
      </c>
      <c r="I17" s="621"/>
      <c r="J17" s="637">
        <f>SUM(J5:J16)</f>
        <v>1910703.4299999997</v>
      </c>
      <c r="K17" s="638"/>
      <c r="L17" s="631">
        <f>SUM(L5:L16)</f>
        <v>334141.12</v>
      </c>
      <c r="M17" s="621"/>
    </row>
    <row r="18" spans="1:14" ht="12" customHeight="1" thickBot="1" x14ac:dyDescent="0.35">
      <c r="B18" s="56"/>
      <c r="C18" s="57"/>
      <c r="D18" s="58"/>
      <c r="E18" s="58"/>
      <c r="F18" s="58"/>
      <c r="G18" s="58"/>
      <c r="H18" s="58"/>
      <c r="I18" s="58"/>
      <c r="J18" s="58"/>
      <c r="K18" s="58"/>
      <c r="L18" s="58"/>
      <c r="M18" s="59"/>
    </row>
    <row r="19" spans="1:14" ht="27.6" customHeight="1" x14ac:dyDescent="0.3">
      <c r="B19" s="68" t="s">
        <v>223</v>
      </c>
      <c r="C19" s="69" t="s">
        <v>232</v>
      </c>
      <c r="D19" s="70" t="s">
        <v>224</v>
      </c>
      <c r="E19" s="71" t="s">
        <v>225</v>
      </c>
      <c r="F19" s="71" t="s">
        <v>268</v>
      </c>
      <c r="G19" s="71" t="s">
        <v>226</v>
      </c>
      <c r="H19" s="71" t="s">
        <v>227</v>
      </c>
      <c r="I19" s="71" t="s">
        <v>228</v>
      </c>
      <c r="J19" s="72" t="s">
        <v>229</v>
      </c>
      <c r="K19" s="71" t="s">
        <v>231</v>
      </c>
      <c r="L19" s="72" t="s">
        <v>230</v>
      </c>
      <c r="M19" s="299" t="s">
        <v>252</v>
      </c>
    </row>
    <row r="20" spans="1:14" x14ac:dyDescent="0.3">
      <c r="A20" s="106"/>
      <c r="B20" s="134">
        <v>19970</v>
      </c>
      <c r="C20" s="133">
        <v>2280</v>
      </c>
      <c r="D20" s="135">
        <v>45933</v>
      </c>
      <c r="E20" s="136" t="s">
        <v>236</v>
      </c>
      <c r="F20" s="137" t="s">
        <v>270</v>
      </c>
      <c r="G20" s="138">
        <v>0</v>
      </c>
      <c r="H20" s="139">
        <v>400.89</v>
      </c>
      <c r="I20" s="140">
        <v>45961</v>
      </c>
      <c r="J20" s="188">
        <v>45957</v>
      </c>
      <c r="K20" s="133"/>
      <c r="L20" s="298">
        <f>Tabela224[[#This Row],[VENDA]]+Tabela224[[#This Row],[MÃO DE OBRA]]-M20</f>
        <v>400.89</v>
      </c>
      <c r="M20" s="141"/>
    </row>
    <row r="21" spans="1:14" ht="15.6" x14ac:dyDescent="0.3">
      <c r="A21" s="106"/>
      <c r="B21" s="75"/>
      <c r="C21" s="8"/>
      <c r="D21" s="78"/>
      <c r="E21" s="85" t="s">
        <v>236</v>
      </c>
      <c r="F21" t="s">
        <v>270</v>
      </c>
      <c r="G21" s="55">
        <v>0</v>
      </c>
      <c r="H21" s="76">
        <v>399</v>
      </c>
      <c r="I21" s="80">
        <v>45968</v>
      </c>
      <c r="J21" s="189">
        <v>45966</v>
      </c>
      <c r="K21" s="8"/>
      <c r="L21" s="298">
        <f>Tabela224[[#This Row],[VENDA]]+Tabela224[[#This Row],[MÃO DE OBRA]]-M21</f>
        <v>399</v>
      </c>
      <c r="M21" s="60"/>
    </row>
    <row r="22" spans="1:14" ht="15" thickBot="1" x14ac:dyDescent="0.35">
      <c r="A22" s="106"/>
      <c r="B22" s="154"/>
      <c r="C22" s="103"/>
      <c r="D22" s="99"/>
      <c r="E22" s="110" t="s">
        <v>236</v>
      </c>
      <c r="F22" s="99" t="s">
        <v>270</v>
      </c>
      <c r="G22" s="100">
        <v>0</v>
      </c>
      <c r="H22" s="101">
        <v>399</v>
      </c>
      <c r="I22" s="102">
        <v>45975</v>
      </c>
      <c r="J22" s="190">
        <v>45973</v>
      </c>
      <c r="K22" s="103"/>
      <c r="L22" s="298">
        <f>Tabela224[[#This Row],[VENDA]]+Tabela224[[#This Row],[MÃO DE OBRA]]-M22</f>
        <v>399</v>
      </c>
      <c r="M22" s="105"/>
    </row>
    <row r="23" spans="1:14" ht="15" thickBot="1" x14ac:dyDescent="0.35">
      <c r="A23" s="106"/>
      <c r="B23" s="111">
        <v>19997</v>
      </c>
      <c r="C23" s="112">
        <v>2404</v>
      </c>
      <c r="D23" s="113">
        <v>45935</v>
      </c>
      <c r="E23" s="114" t="s">
        <v>262</v>
      </c>
      <c r="F23" s="115" t="s">
        <v>272</v>
      </c>
      <c r="G23" s="101">
        <v>1554</v>
      </c>
      <c r="H23" s="117">
        <v>0</v>
      </c>
      <c r="I23" s="118">
        <v>45939</v>
      </c>
      <c r="J23" s="193">
        <v>45939</v>
      </c>
      <c r="K23" s="112"/>
      <c r="L23" s="298">
        <f>Tabela224[[#This Row],[VENDA]]+Tabela224[[#This Row],[MÃO DE OBRA]]-M23</f>
        <v>1554</v>
      </c>
      <c r="M23" s="119"/>
    </row>
    <row r="24" spans="1:14" x14ac:dyDescent="0.3">
      <c r="A24" s="106"/>
      <c r="B24" s="134">
        <v>19999</v>
      </c>
      <c r="C24" s="133">
        <v>2349</v>
      </c>
      <c r="D24" s="135">
        <v>45936</v>
      </c>
      <c r="E24" s="136" t="s">
        <v>236</v>
      </c>
      <c r="F24" s="137" t="s">
        <v>270</v>
      </c>
      <c r="G24" s="138">
        <v>0</v>
      </c>
      <c r="H24" s="139">
        <v>2241.37</v>
      </c>
      <c r="I24" s="140">
        <v>45964</v>
      </c>
      <c r="J24" s="188">
        <v>45965</v>
      </c>
      <c r="K24" s="133"/>
      <c r="L24" s="298">
        <f>Tabela224[[#This Row],[VENDA]]+Tabela224[[#This Row],[MÃO DE OBRA]]-M24</f>
        <v>2241.37</v>
      </c>
      <c r="M24" s="141"/>
    </row>
    <row r="25" spans="1:14" x14ac:dyDescent="0.3">
      <c r="B25" s="142"/>
      <c r="C25" s="143"/>
      <c r="D25" s="144"/>
      <c r="E25" s="145" t="s">
        <v>236</v>
      </c>
      <c r="F25" s="146" t="s">
        <v>270</v>
      </c>
      <c r="G25" s="147">
        <v>0</v>
      </c>
      <c r="H25" s="148">
        <v>2241</v>
      </c>
      <c r="I25" s="149">
        <v>45971</v>
      </c>
      <c r="J25" s="191">
        <v>45971</v>
      </c>
      <c r="K25" s="143"/>
      <c r="L25" s="298">
        <f>Tabela224[[#This Row],[VENDA]]+Tabela224[[#This Row],[MÃO DE OBRA]]-M25</f>
        <v>2241</v>
      </c>
      <c r="M25" s="150"/>
    </row>
    <row r="26" spans="1:14" ht="15" thickBot="1" x14ac:dyDescent="0.35">
      <c r="A26" s="106"/>
      <c r="B26" s="155"/>
      <c r="C26" s="156"/>
      <c r="D26" s="157"/>
      <c r="E26" s="158" t="s">
        <v>236</v>
      </c>
      <c r="F26" s="159" t="s">
        <v>270</v>
      </c>
      <c r="G26" s="160">
        <v>0</v>
      </c>
      <c r="H26" s="161">
        <v>2241</v>
      </c>
      <c r="I26" s="162">
        <v>45978</v>
      </c>
      <c r="J26" s="293">
        <v>45978</v>
      </c>
      <c r="K26" s="8"/>
      <c r="L26" s="298">
        <f>Tabela224[[#This Row],[VENDA]]+Tabela224[[#This Row],[MÃO DE OBRA]]-M26</f>
        <v>-0.11000000000012733</v>
      </c>
      <c r="M26" s="156">
        <v>2241.11</v>
      </c>
    </row>
    <row r="27" spans="1:14" x14ac:dyDescent="0.3">
      <c r="A27" s="106"/>
      <c r="B27" s="86">
        <v>20001</v>
      </c>
      <c r="C27" s="8">
        <v>2349</v>
      </c>
      <c r="D27" s="78">
        <v>45936</v>
      </c>
      <c r="E27" s="85" t="s">
        <v>236</v>
      </c>
      <c r="F27" t="s">
        <v>270</v>
      </c>
      <c r="G27" s="97">
        <v>0</v>
      </c>
      <c r="H27" s="98">
        <v>576.73</v>
      </c>
      <c r="I27" s="80">
        <v>45964</v>
      </c>
      <c r="J27" s="189">
        <v>45965</v>
      </c>
      <c r="K27" s="8"/>
      <c r="L27" s="298">
        <f>Tabela224[[#This Row],[VENDA]]+Tabela224[[#This Row],[MÃO DE OBRA]]-M27</f>
        <v>576.73</v>
      </c>
      <c r="M27" s="60"/>
    </row>
    <row r="28" spans="1:14" x14ac:dyDescent="0.3">
      <c r="A28" s="106"/>
      <c r="E28" s="85" t="s">
        <v>236</v>
      </c>
      <c r="F28" t="s">
        <v>270</v>
      </c>
      <c r="G28" s="55">
        <v>0</v>
      </c>
      <c r="H28" s="76">
        <v>576</v>
      </c>
      <c r="I28" s="80">
        <v>45971</v>
      </c>
      <c r="J28" s="189">
        <v>45971</v>
      </c>
      <c r="K28" s="8"/>
      <c r="L28" s="298">
        <f>Tabela224[[#This Row],[VENDA]]+Tabela224[[#This Row],[MÃO DE OBRA]]-M28</f>
        <v>576</v>
      </c>
      <c r="M28" s="60"/>
    </row>
    <row r="29" spans="1:14" ht="15" thickBot="1" x14ac:dyDescent="0.35">
      <c r="A29" s="106"/>
      <c r="B29" s="155"/>
      <c r="C29" s="156"/>
      <c r="D29" s="157"/>
      <c r="E29" s="165" t="s">
        <v>236</v>
      </c>
      <c r="F29" s="166" t="s">
        <v>270</v>
      </c>
      <c r="G29" s="160">
        <v>0</v>
      </c>
      <c r="H29" s="161">
        <v>576</v>
      </c>
      <c r="I29" s="162">
        <v>45978</v>
      </c>
      <c r="J29" s="293">
        <v>45978</v>
      </c>
      <c r="K29" s="156"/>
      <c r="L29" s="298">
        <f>Tabela224[[#This Row],[VENDA]]+Tabela224[[#This Row],[MÃO DE OBRA]]-M29</f>
        <v>-0.24000000000000909</v>
      </c>
      <c r="M29" s="163">
        <v>576.24</v>
      </c>
    </row>
    <row r="30" spans="1:14" x14ac:dyDescent="0.3">
      <c r="A30" s="106"/>
      <c r="B30" s="164">
        <v>20019</v>
      </c>
      <c r="C30" s="133">
        <v>2349</v>
      </c>
      <c r="D30" s="135">
        <v>45937</v>
      </c>
      <c r="E30" s="136" t="s">
        <v>236</v>
      </c>
      <c r="F30" s="137" t="s">
        <v>270</v>
      </c>
      <c r="G30" s="138">
        <v>0</v>
      </c>
      <c r="H30" s="139">
        <v>487.79</v>
      </c>
      <c r="I30" s="140">
        <v>45965</v>
      </c>
      <c r="J30" s="188">
        <v>45966</v>
      </c>
      <c r="K30" s="133"/>
      <c r="L30" s="298">
        <f>Tabela224[[#This Row],[VENDA]]+Tabela224[[#This Row],[MÃO DE OBRA]]-M30</f>
        <v>487.79</v>
      </c>
      <c r="M30" s="141"/>
    </row>
    <row r="31" spans="1:14" x14ac:dyDescent="0.3">
      <c r="A31" s="106"/>
      <c r="B31" s="74"/>
      <c r="C31" s="8"/>
      <c r="D31" s="78"/>
      <c r="E31" s="85" t="s">
        <v>236</v>
      </c>
      <c r="F31" t="s">
        <v>270</v>
      </c>
      <c r="G31" s="97">
        <v>0</v>
      </c>
      <c r="H31" s="98">
        <v>485</v>
      </c>
      <c r="I31" s="80">
        <v>45972</v>
      </c>
      <c r="J31" s="189">
        <v>45973</v>
      </c>
      <c r="K31" s="8"/>
      <c r="L31" s="298">
        <f>Tabela224[[#This Row],[VENDA]]+Tabela224[[#This Row],[MÃO DE OBRA]]-M31</f>
        <v>485</v>
      </c>
      <c r="M31" s="60"/>
    </row>
    <row r="32" spans="1:14" ht="15" thickBot="1" x14ac:dyDescent="0.35">
      <c r="A32" s="106"/>
      <c r="B32" s="107"/>
      <c r="C32" s="99"/>
      <c r="D32" s="99"/>
      <c r="E32" s="110" t="s">
        <v>236</v>
      </c>
      <c r="F32" s="99" t="s">
        <v>270</v>
      </c>
      <c r="G32" s="100">
        <v>0</v>
      </c>
      <c r="H32" s="101">
        <v>485</v>
      </c>
      <c r="I32" s="102">
        <v>45979</v>
      </c>
      <c r="J32" s="294">
        <v>45980</v>
      </c>
      <c r="K32" s="103"/>
      <c r="L32" s="298">
        <f>Tabela224[[#This Row],[VENDA]]+Tabela224[[#This Row],[MÃO DE OBRA]]-M32</f>
        <v>-0.92000000000001592</v>
      </c>
      <c r="M32" s="105">
        <v>485.92</v>
      </c>
      <c r="N32" s="153"/>
    </row>
    <row r="33" spans="1:13" x14ac:dyDescent="0.3">
      <c r="A33" s="106"/>
      <c r="B33" s="134">
        <v>20103</v>
      </c>
      <c r="C33" s="133">
        <v>2412</v>
      </c>
      <c r="D33" s="135">
        <v>45940</v>
      </c>
      <c r="E33" s="136" t="s">
        <v>236</v>
      </c>
      <c r="F33" s="137" t="s">
        <v>270</v>
      </c>
      <c r="G33" s="138">
        <v>0</v>
      </c>
      <c r="H33" s="139">
        <v>404.31</v>
      </c>
      <c r="I33" s="140">
        <v>45968</v>
      </c>
      <c r="J33" s="188">
        <v>45966</v>
      </c>
      <c r="K33" s="133"/>
      <c r="L33" s="298">
        <f>Tabela224[[#This Row],[VENDA]]+Tabela224[[#This Row],[MÃO DE OBRA]]-M33</f>
        <v>404.31</v>
      </c>
      <c r="M33" s="141"/>
    </row>
    <row r="34" spans="1:13" ht="15" thickBot="1" x14ac:dyDescent="0.35">
      <c r="A34" s="106"/>
      <c r="B34" s="155"/>
      <c r="C34" s="156"/>
      <c r="D34" s="157"/>
      <c r="E34" s="158" t="s">
        <v>236</v>
      </c>
      <c r="F34" s="159" t="s">
        <v>270</v>
      </c>
      <c r="G34" s="160">
        <v>0</v>
      </c>
      <c r="H34" s="161">
        <v>403</v>
      </c>
      <c r="I34" s="162">
        <v>45975</v>
      </c>
      <c r="J34" s="192">
        <v>45973</v>
      </c>
      <c r="K34" s="156"/>
      <c r="L34" s="298">
        <f>Tabela224[[#This Row],[VENDA]]+Tabela224[[#This Row],[MÃO DE OBRA]]-M34</f>
        <v>403</v>
      </c>
      <c r="M34" s="163"/>
    </row>
    <row r="35" spans="1:13" ht="15" thickBot="1" x14ac:dyDescent="0.35">
      <c r="A35" s="106"/>
      <c r="B35" s="111">
        <v>20104</v>
      </c>
      <c r="C35" s="112">
        <v>2435</v>
      </c>
      <c r="D35" s="113">
        <v>45940</v>
      </c>
      <c r="E35" s="114" t="s">
        <v>236</v>
      </c>
      <c r="F35" s="115" t="s">
        <v>270</v>
      </c>
      <c r="G35" s="116">
        <v>0</v>
      </c>
      <c r="H35" s="117">
        <v>132.83000000000001</v>
      </c>
      <c r="I35" s="118">
        <v>45968</v>
      </c>
      <c r="J35" s="193">
        <v>45971</v>
      </c>
      <c r="K35" s="112"/>
      <c r="L35" s="298">
        <f>Tabela224[[#This Row],[VENDA]]+Tabela224[[#This Row],[MÃO DE OBRA]]-M35</f>
        <v>132.83000000000001</v>
      </c>
      <c r="M35" s="119"/>
    </row>
    <row r="36" spans="1:13" ht="15" thickBot="1" x14ac:dyDescent="0.35">
      <c r="B36" s="111">
        <v>20105</v>
      </c>
      <c r="C36" s="112">
        <v>2435</v>
      </c>
      <c r="D36" s="113">
        <v>45940</v>
      </c>
      <c r="E36" s="114" t="s">
        <v>236</v>
      </c>
      <c r="F36" s="115" t="s">
        <v>270</v>
      </c>
      <c r="G36" s="116">
        <v>0</v>
      </c>
      <c r="H36" s="117">
        <v>270.83</v>
      </c>
      <c r="I36" s="118">
        <v>45968</v>
      </c>
      <c r="J36" s="193">
        <v>45971</v>
      </c>
      <c r="K36" s="112"/>
      <c r="L36" s="298">
        <f>Tabela224[[#This Row],[VENDA]]+Tabela224[[#This Row],[MÃO DE OBRA]]-M36</f>
        <v>270.83</v>
      </c>
      <c r="M36" s="119"/>
    </row>
    <row r="37" spans="1:13" ht="15" thickBot="1" x14ac:dyDescent="0.35">
      <c r="B37" s="111">
        <v>20122</v>
      </c>
      <c r="C37" s="112">
        <v>2428</v>
      </c>
      <c r="D37" s="113">
        <v>45943</v>
      </c>
      <c r="E37" s="114" t="s">
        <v>236</v>
      </c>
      <c r="F37" s="115" t="s">
        <v>270</v>
      </c>
      <c r="G37" s="116">
        <v>0</v>
      </c>
      <c r="H37" s="117">
        <v>369.68</v>
      </c>
      <c r="I37" s="118">
        <v>45971</v>
      </c>
      <c r="J37" s="193">
        <v>45973</v>
      </c>
      <c r="K37" s="112"/>
      <c r="L37" s="298">
        <f>Tabela224[[#This Row],[VENDA]]+Tabela224[[#This Row],[MÃO DE OBRA]]-M37</f>
        <v>369.68</v>
      </c>
      <c r="M37" s="119"/>
    </row>
    <row r="38" spans="1:13" ht="15" thickBot="1" x14ac:dyDescent="0.35">
      <c r="A38" s="106"/>
      <c r="B38" s="111">
        <v>378</v>
      </c>
      <c r="C38" s="112">
        <v>338</v>
      </c>
      <c r="D38" s="113">
        <v>45943</v>
      </c>
      <c r="E38" s="114" t="s">
        <v>262</v>
      </c>
      <c r="F38" s="115" t="s">
        <v>272</v>
      </c>
      <c r="G38" s="117">
        <v>518</v>
      </c>
      <c r="H38" s="117">
        <v>0</v>
      </c>
      <c r="I38" s="118">
        <v>45940</v>
      </c>
      <c r="J38" s="292">
        <v>45940</v>
      </c>
      <c r="K38" s="115"/>
      <c r="L38" s="298">
        <f>Tabela224[[#This Row],[VENDA]]+Tabela224[[#This Row],[MÃO DE OBRA]]-M38</f>
        <v>518</v>
      </c>
      <c r="M38" s="168"/>
    </row>
    <row r="39" spans="1:13" x14ac:dyDescent="0.3">
      <c r="A39" s="106"/>
      <c r="B39" s="86">
        <v>20164</v>
      </c>
      <c r="C39" s="8">
        <v>2428</v>
      </c>
      <c r="D39" s="78">
        <v>45945</v>
      </c>
      <c r="E39" s="85" t="s">
        <v>236</v>
      </c>
      <c r="F39" t="s">
        <v>270</v>
      </c>
      <c r="G39" s="55">
        <v>0</v>
      </c>
      <c r="H39" s="76">
        <v>679.23</v>
      </c>
      <c r="I39" s="80">
        <v>45973</v>
      </c>
      <c r="J39" s="189">
        <v>45973</v>
      </c>
      <c r="K39" s="8"/>
      <c r="L39" s="298">
        <f>Tabela224[[#This Row],[VENDA]]+Tabela224[[#This Row],[MÃO DE OBRA]]-M39</f>
        <v>679.23</v>
      </c>
      <c r="M39" s="60"/>
    </row>
    <row r="40" spans="1:13" x14ac:dyDescent="0.3">
      <c r="A40" s="106"/>
      <c r="B40" s="137"/>
      <c r="C40" s="137"/>
      <c r="D40" s="137"/>
      <c r="E40" s="136" t="s">
        <v>236</v>
      </c>
      <c r="F40" s="137" t="s">
        <v>270</v>
      </c>
      <c r="G40" s="138">
        <v>0</v>
      </c>
      <c r="H40" s="139">
        <v>679</v>
      </c>
      <c r="I40" s="140">
        <v>45980</v>
      </c>
      <c r="J40" s="296">
        <v>45980</v>
      </c>
      <c r="K40" s="133"/>
      <c r="L40" s="298">
        <f>Tabela224[[#This Row],[VENDA]]+Tabela224[[#This Row],[MÃO DE OBRA]]-M40</f>
        <v>-7.0000000000050022E-2</v>
      </c>
      <c r="M40" s="141">
        <v>679.07</v>
      </c>
    </row>
    <row r="41" spans="1:13" ht="15" thickBot="1" x14ac:dyDescent="0.35">
      <c r="A41" s="106"/>
      <c r="B41" s="155"/>
      <c r="C41" s="156" t="s">
        <v>244</v>
      </c>
      <c r="D41" s="157"/>
      <c r="E41" s="158" t="s">
        <v>236</v>
      </c>
      <c r="F41" s="159" t="s">
        <v>270</v>
      </c>
      <c r="G41" s="160">
        <v>0</v>
      </c>
      <c r="H41" s="161">
        <v>679</v>
      </c>
      <c r="I41" s="162">
        <v>45987</v>
      </c>
      <c r="J41" s="293">
        <v>45989</v>
      </c>
      <c r="K41" s="156"/>
      <c r="L41" s="298">
        <f>Tabela224[[#This Row],[VENDA]]+Tabela224[[#This Row],[MÃO DE OBRA]]-M41</f>
        <v>-8.0000000000040927E-2</v>
      </c>
      <c r="M41" s="163">
        <v>679.08</v>
      </c>
    </row>
    <row r="42" spans="1:13" ht="15" thickBot="1" x14ac:dyDescent="0.35">
      <c r="A42" s="106"/>
      <c r="B42" s="111">
        <v>388</v>
      </c>
      <c r="C42" s="112">
        <v>349</v>
      </c>
      <c r="D42" s="113">
        <v>45946</v>
      </c>
      <c r="E42" s="114" t="s">
        <v>263</v>
      </c>
      <c r="F42" s="115" t="s">
        <v>273</v>
      </c>
      <c r="G42" s="117">
        <v>1077.5999999999999</v>
      </c>
      <c r="H42" s="117">
        <v>0</v>
      </c>
      <c r="I42" s="118">
        <v>45945</v>
      </c>
      <c r="J42" s="292">
        <v>45945</v>
      </c>
      <c r="K42" s="115"/>
      <c r="L42" s="298">
        <f>Tabela224[[#This Row],[VENDA]]+Tabela224[[#This Row],[MÃO DE OBRA]]-M42</f>
        <v>1077.5999999999999</v>
      </c>
      <c r="M42" s="168"/>
    </row>
    <row r="43" spans="1:13" x14ac:dyDescent="0.3">
      <c r="A43" s="106"/>
      <c r="B43" s="86">
        <v>20244</v>
      </c>
      <c r="C43" s="8">
        <v>2515</v>
      </c>
      <c r="D43" s="78">
        <v>45950</v>
      </c>
      <c r="E43" s="85" t="s">
        <v>236</v>
      </c>
      <c r="F43" t="s">
        <v>270</v>
      </c>
      <c r="G43" s="97">
        <v>0</v>
      </c>
      <c r="H43" s="98">
        <v>908.07</v>
      </c>
      <c r="I43" s="80">
        <v>45978</v>
      </c>
      <c r="J43" s="295">
        <v>45978</v>
      </c>
      <c r="K43" s="8"/>
      <c r="L43" s="298">
        <f>Tabela224[[#This Row],[VENDA]]+Tabela224[[#This Row],[MÃO DE OBRA]]-M43</f>
        <v>0.73000000000001819</v>
      </c>
      <c r="M43" s="60">
        <v>907.34</v>
      </c>
    </row>
    <row r="44" spans="1:13" x14ac:dyDescent="0.3">
      <c r="A44" s="106"/>
      <c r="E44" s="85" t="s">
        <v>236</v>
      </c>
      <c r="F44" t="s">
        <v>270</v>
      </c>
      <c r="G44" s="97">
        <v>0</v>
      </c>
      <c r="H44" s="98">
        <v>907</v>
      </c>
      <c r="I44" s="80">
        <v>45985</v>
      </c>
      <c r="J44" s="295">
        <v>45989</v>
      </c>
      <c r="K44" s="8"/>
      <c r="L44" s="298">
        <f>Tabela224[[#This Row],[VENDA]]+Tabela224[[#This Row],[MÃO DE OBRA]]-M44</f>
        <v>-0.34000000000003183</v>
      </c>
      <c r="M44" s="60">
        <v>907.34</v>
      </c>
    </row>
    <row r="45" spans="1:13" ht="15" thickBot="1" x14ac:dyDescent="0.35">
      <c r="A45" s="106"/>
      <c r="B45" s="107"/>
      <c r="C45" s="99"/>
      <c r="D45" s="99"/>
      <c r="E45" s="110" t="s">
        <v>236</v>
      </c>
      <c r="F45" s="99" t="s">
        <v>270</v>
      </c>
      <c r="G45" s="100">
        <v>0</v>
      </c>
      <c r="H45" s="101">
        <v>907</v>
      </c>
      <c r="I45" s="102">
        <v>45992</v>
      </c>
      <c r="J45" s="190">
        <v>45996</v>
      </c>
      <c r="K45" s="103"/>
      <c r="L45" s="298">
        <f>Tabela224[[#This Row],[VENDA]]+Tabela224[[#This Row],[MÃO DE OBRA]]-M45</f>
        <v>-0.35000000000002274</v>
      </c>
      <c r="M45" s="105">
        <v>907.35</v>
      </c>
    </row>
    <row r="46" spans="1:13" x14ac:dyDescent="0.3">
      <c r="A46" s="106"/>
      <c r="B46" s="86">
        <v>20245</v>
      </c>
      <c r="C46" s="8">
        <v>2516</v>
      </c>
      <c r="D46" s="78">
        <v>45950</v>
      </c>
      <c r="E46" s="85" t="s">
        <v>236</v>
      </c>
      <c r="F46" t="s">
        <v>270</v>
      </c>
      <c r="G46" s="97">
        <v>0</v>
      </c>
      <c r="H46" s="98">
        <v>591.30999999999995</v>
      </c>
      <c r="I46" s="80">
        <v>45978</v>
      </c>
      <c r="J46" s="295">
        <v>45978</v>
      </c>
      <c r="K46" s="8"/>
      <c r="L46" s="298">
        <f>Tabela224[[#This Row],[VENDA]]+Tabela224[[#This Row],[MÃO DE OBRA]]-M46</f>
        <v>0.20999999999992269</v>
      </c>
      <c r="M46" s="60">
        <v>591.1</v>
      </c>
    </row>
    <row r="47" spans="1:13" x14ac:dyDescent="0.3">
      <c r="A47" s="106"/>
      <c r="E47" s="85" t="s">
        <v>236</v>
      </c>
      <c r="F47" t="s">
        <v>270</v>
      </c>
      <c r="G47" s="97">
        <v>0</v>
      </c>
      <c r="H47" s="98">
        <v>591</v>
      </c>
      <c r="I47" s="80">
        <v>45985</v>
      </c>
      <c r="J47" s="295">
        <v>45989</v>
      </c>
      <c r="K47" s="8"/>
      <c r="L47" s="298">
        <f>Tabela224[[#This Row],[VENDA]]+Tabela224[[#This Row],[MÃO DE OBRA]]-M47</f>
        <v>-0.10000000000002274</v>
      </c>
      <c r="M47" s="60">
        <v>591.1</v>
      </c>
    </row>
    <row r="48" spans="1:13" ht="15" thickBot="1" x14ac:dyDescent="0.35">
      <c r="A48" s="106"/>
      <c r="B48" s="107"/>
      <c r="C48" s="99"/>
      <c r="D48" s="99"/>
      <c r="E48" s="110" t="s">
        <v>236</v>
      </c>
      <c r="F48" s="99" t="s">
        <v>270</v>
      </c>
      <c r="G48" s="100">
        <v>0</v>
      </c>
      <c r="H48" s="101">
        <v>591</v>
      </c>
      <c r="I48" s="102">
        <v>45992</v>
      </c>
      <c r="J48" s="190">
        <v>45996</v>
      </c>
      <c r="K48" s="103"/>
      <c r="L48" s="298">
        <f>Tabela224[[#This Row],[VENDA]]+Tabela224[[#This Row],[MÃO DE OBRA]]-M48</f>
        <v>-9.0000000000031832E-2</v>
      </c>
      <c r="M48" s="105">
        <v>591.09</v>
      </c>
    </row>
    <row r="49" spans="1:13" ht="15" thickBot="1" x14ac:dyDescent="0.35">
      <c r="A49" s="106"/>
      <c r="B49" s="111">
        <v>20301</v>
      </c>
      <c r="C49" s="112">
        <v>2392</v>
      </c>
      <c r="D49" s="113">
        <v>45953</v>
      </c>
      <c r="E49" s="114" t="s">
        <v>237</v>
      </c>
      <c r="F49" s="115" t="s">
        <v>270</v>
      </c>
      <c r="G49" s="167">
        <v>0</v>
      </c>
      <c r="H49" s="117">
        <v>1336.68</v>
      </c>
      <c r="I49" s="118">
        <v>45988</v>
      </c>
      <c r="J49" s="300">
        <v>45994</v>
      </c>
      <c r="K49" s="115"/>
      <c r="L49" s="298">
        <f>Tabela224[[#This Row],[VENDA]]+Tabela224[[#This Row],[MÃO DE OBRA]]-M49</f>
        <v>0</v>
      </c>
      <c r="M49" s="168">
        <v>1336.68</v>
      </c>
    </row>
    <row r="50" spans="1:13" ht="15" thickBot="1" x14ac:dyDescent="0.35">
      <c r="A50" s="106"/>
      <c r="B50" s="111">
        <v>20332</v>
      </c>
      <c r="C50" s="112">
        <v>2619</v>
      </c>
      <c r="D50" s="113">
        <v>45952</v>
      </c>
      <c r="E50" s="114" t="s">
        <v>264</v>
      </c>
      <c r="F50" s="115" t="s">
        <v>271</v>
      </c>
      <c r="G50" s="117">
        <v>3900</v>
      </c>
      <c r="H50" s="117">
        <v>0</v>
      </c>
      <c r="I50" s="118">
        <v>45952</v>
      </c>
      <c r="J50" s="292">
        <v>45952</v>
      </c>
      <c r="K50" s="115"/>
      <c r="L50" s="298">
        <f>Tabela224[[#This Row],[VENDA]]+Tabela224[[#This Row],[MÃO DE OBRA]]-M50</f>
        <v>3900</v>
      </c>
      <c r="M50" s="168"/>
    </row>
    <row r="51" spans="1:13" x14ac:dyDescent="0.3">
      <c r="A51" s="106"/>
      <c r="B51" s="86">
        <v>20347</v>
      </c>
      <c r="C51" s="8">
        <v>2585</v>
      </c>
      <c r="D51" s="78">
        <v>45954</v>
      </c>
      <c r="E51" s="85" t="s">
        <v>236</v>
      </c>
      <c r="F51" t="s">
        <v>270</v>
      </c>
      <c r="G51" s="97">
        <v>0</v>
      </c>
      <c r="H51" s="169">
        <v>1324.27</v>
      </c>
      <c r="I51" s="170">
        <v>45982</v>
      </c>
      <c r="J51" s="297">
        <v>45980</v>
      </c>
      <c r="K51" s="8"/>
      <c r="L51" s="298">
        <f>Tabela224[[#This Row],[VENDA]]+Tabela224[[#This Row],[MÃO DE OBRA]]-M51</f>
        <v>0.84999999999990905</v>
      </c>
      <c r="M51" s="60">
        <v>1323.42</v>
      </c>
    </row>
    <row r="52" spans="1:13" x14ac:dyDescent="0.3">
      <c r="A52" s="106"/>
      <c r="B52" s="151"/>
      <c r="C52" s="137"/>
      <c r="D52" s="137"/>
      <c r="E52" s="136" t="s">
        <v>236</v>
      </c>
      <c r="F52" s="137" t="s">
        <v>270</v>
      </c>
      <c r="G52" s="138">
        <v>0</v>
      </c>
      <c r="H52" s="139">
        <v>1323</v>
      </c>
      <c r="I52" s="140">
        <v>45989</v>
      </c>
      <c r="J52" s="296">
        <v>45989</v>
      </c>
      <c r="K52" s="133"/>
      <c r="L52" s="298">
        <f>Tabela224[[#This Row],[VENDA]]+Tabela224[[#This Row],[MÃO DE OBRA]]-M52</f>
        <v>-0.42000000000007276</v>
      </c>
      <c r="M52" s="141">
        <v>1323.42</v>
      </c>
    </row>
    <row r="53" spans="1:13" ht="15" thickBot="1" x14ac:dyDescent="0.35">
      <c r="A53" s="106"/>
      <c r="B53" s="107"/>
      <c r="C53" s="99"/>
      <c r="D53" s="99"/>
      <c r="E53" s="110" t="s">
        <v>236</v>
      </c>
      <c r="F53" s="99" t="s">
        <v>270</v>
      </c>
      <c r="G53" s="100">
        <v>0</v>
      </c>
      <c r="H53" s="101">
        <v>1323</v>
      </c>
      <c r="I53" s="102">
        <v>45996</v>
      </c>
      <c r="J53" s="190">
        <v>45996</v>
      </c>
      <c r="K53" s="103"/>
      <c r="L53" s="298">
        <f>Tabela224[[#This Row],[VENDA]]+Tabela224[[#This Row],[MÃO DE OBRA]]-M53</f>
        <v>-0.41000000000008185</v>
      </c>
      <c r="M53" s="105">
        <v>1323.41</v>
      </c>
    </row>
    <row r="54" spans="1:13" x14ac:dyDescent="0.3">
      <c r="A54" s="106"/>
      <c r="B54" s="86">
        <v>20389</v>
      </c>
      <c r="C54" s="8">
        <v>2642</v>
      </c>
      <c r="D54" s="78">
        <v>45958</v>
      </c>
      <c r="E54" s="85" t="s">
        <v>236</v>
      </c>
      <c r="F54" t="s">
        <v>270</v>
      </c>
      <c r="G54" s="97">
        <v>0</v>
      </c>
      <c r="H54" s="98">
        <v>453.85</v>
      </c>
      <c r="I54" s="80">
        <v>45986</v>
      </c>
      <c r="J54" s="295">
        <v>45989</v>
      </c>
      <c r="K54" s="8"/>
      <c r="L54" s="298">
        <f>Tabela224[[#This Row],[VENDA]]+Tabela224[[#This Row],[MÃO DE OBRA]]-M54</f>
        <v>1.9000000000000341</v>
      </c>
      <c r="M54" s="60">
        <v>451.95</v>
      </c>
    </row>
    <row r="55" spans="1:13" x14ac:dyDescent="0.3">
      <c r="A55" s="106"/>
      <c r="E55" s="85" t="s">
        <v>236</v>
      </c>
      <c r="F55" t="s">
        <v>270</v>
      </c>
      <c r="G55" s="97">
        <v>0</v>
      </c>
      <c r="H55" s="98">
        <v>451</v>
      </c>
      <c r="I55" s="80">
        <v>45993</v>
      </c>
      <c r="J55" s="189">
        <v>45996</v>
      </c>
      <c r="K55" s="8"/>
      <c r="L55" s="298">
        <f>Tabela224[[#This Row],[VENDA]]+Tabela224[[#This Row],[MÃO DE OBRA]]-M55</f>
        <v>-0.94999999999998863</v>
      </c>
      <c r="M55" s="60">
        <v>451.95</v>
      </c>
    </row>
    <row r="56" spans="1:13" ht="15" thickBot="1" x14ac:dyDescent="0.35">
      <c r="A56" s="106"/>
      <c r="B56" s="107"/>
      <c r="C56" s="99"/>
      <c r="D56" s="99"/>
      <c r="E56" s="110" t="s">
        <v>236</v>
      </c>
      <c r="F56" s="99" t="s">
        <v>270</v>
      </c>
      <c r="G56" s="100">
        <v>0</v>
      </c>
      <c r="H56" s="101">
        <v>451</v>
      </c>
      <c r="I56" s="102">
        <v>46000</v>
      </c>
      <c r="J56" s="190">
        <v>46003</v>
      </c>
      <c r="K56" s="103"/>
      <c r="L56" s="298">
        <f>Tabela224[[#This Row],[VENDA]]+Tabela224[[#This Row],[MÃO DE OBRA]]-M56</f>
        <v>-0.94999999999998863</v>
      </c>
      <c r="M56" s="105">
        <v>451.95</v>
      </c>
    </row>
    <row r="57" spans="1:13" ht="15" thickBot="1" x14ac:dyDescent="0.35">
      <c r="A57" s="106"/>
      <c r="B57" s="111">
        <v>20394</v>
      </c>
      <c r="C57" s="112">
        <v>2656</v>
      </c>
      <c r="D57" s="113">
        <v>45954</v>
      </c>
      <c r="E57" s="114" t="s">
        <v>254</v>
      </c>
      <c r="F57" s="115" t="s">
        <v>271</v>
      </c>
      <c r="G57" s="117">
        <v>3600</v>
      </c>
      <c r="H57" s="117">
        <v>0</v>
      </c>
      <c r="I57" s="118">
        <v>45955</v>
      </c>
      <c r="J57" s="292">
        <v>45955</v>
      </c>
      <c r="K57" s="115"/>
      <c r="L57" s="298">
        <f>Tabela224[[#This Row],[VENDA]]+Tabela224[[#This Row],[MÃO DE OBRA]]-M57</f>
        <v>3600</v>
      </c>
      <c r="M57" s="168"/>
    </row>
    <row r="58" spans="1:13" ht="15" thickBot="1" x14ac:dyDescent="0.35">
      <c r="A58" s="106"/>
      <c r="B58" s="111">
        <v>20401</v>
      </c>
      <c r="C58" s="112">
        <v>2667</v>
      </c>
      <c r="D58" s="113">
        <v>45957</v>
      </c>
      <c r="E58" s="114" t="s">
        <v>265</v>
      </c>
      <c r="F58" s="115" t="s">
        <v>271</v>
      </c>
      <c r="G58" s="117">
        <v>4087.2</v>
      </c>
      <c r="H58" s="117">
        <v>0</v>
      </c>
      <c r="I58" s="118">
        <v>45958</v>
      </c>
      <c r="J58" s="292">
        <v>45958</v>
      </c>
      <c r="K58" s="115"/>
      <c r="L58" s="298">
        <f>Tabela224[[#This Row],[VENDA]]+Tabela224[[#This Row],[MÃO DE OBRA]]-M58</f>
        <v>4087.2</v>
      </c>
      <c r="M58" s="168"/>
    </row>
    <row r="59" spans="1:13" x14ac:dyDescent="0.3">
      <c r="A59" s="106"/>
      <c r="B59" s="86">
        <v>20421</v>
      </c>
      <c r="C59" s="8">
        <v>2724</v>
      </c>
      <c r="D59" s="78">
        <v>45960</v>
      </c>
      <c r="E59" s="85" t="s">
        <v>236</v>
      </c>
      <c r="F59" t="s">
        <v>270</v>
      </c>
      <c r="G59" s="98">
        <v>17233.333333333332</v>
      </c>
      <c r="H59" s="98">
        <v>0</v>
      </c>
      <c r="I59" s="80">
        <v>45988</v>
      </c>
      <c r="J59" s="295">
        <v>45989</v>
      </c>
      <c r="K59" s="8"/>
      <c r="L59" s="298">
        <f>Tabela224[[#This Row],[VENDA]]+Tabela224[[#This Row],[MÃO DE OBRA]]-M59</f>
        <v>3.3333333303744439E-3</v>
      </c>
      <c r="M59" s="60">
        <v>17233.330000000002</v>
      </c>
    </row>
    <row r="60" spans="1:13" x14ac:dyDescent="0.3">
      <c r="A60" s="106"/>
      <c r="E60" s="85" t="s">
        <v>236</v>
      </c>
      <c r="F60" t="s">
        <v>270</v>
      </c>
      <c r="G60" s="98">
        <v>17233.333333333332</v>
      </c>
      <c r="H60" s="98">
        <v>0</v>
      </c>
      <c r="I60" s="80">
        <v>45995</v>
      </c>
      <c r="J60" s="189">
        <v>45996</v>
      </c>
      <c r="K60" s="8"/>
      <c r="L60" s="298">
        <f>Tabela224[[#This Row],[VENDA]]+Tabela224[[#This Row],[MÃO DE OBRA]]-M60</f>
        <v>3.3333333303744439E-3</v>
      </c>
      <c r="M60" s="60">
        <v>17233.330000000002</v>
      </c>
    </row>
    <row r="61" spans="1:13" ht="15" thickBot="1" x14ac:dyDescent="0.35">
      <c r="A61" s="106"/>
      <c r="B61" s="107"/>
      <c r="C61" s="99"/>
      <c r="D61" s="99"/>
      <c r="E61" s="110" t="s">
        <v>236</v>
      </c>
      <c r="F61" s="99" t="s">
        <v>270</v>
      </c>
      <c r="G61" s="101">
        <v>17233.333333333332</v>
      </c>
      <c r="H61" s="101">
        <v>0</v>
      </c>
      <c r="I61" s="102">
        <v>46002</v>
      </c>
      <c r="J61" s="190">
        <v>46003</v>
      </c>
      <c r="K61" s="103"/>
      <c r="L61" s="298">
        <f>Tabela224[[#This Row],[VENDA]]+Tabela224[[#This Row],[MÃO DE OBRA]]-M61</f>
        <v>-6.6666666680248454E-3</v>
      </c>
      <c r="M61" s="105">
        <v>17233.34</v>
      </c>
    </row>
    <row r="62" spans="1:13" x14ac:dyDescent="0.3">
      <c r="A62" s="106"/>
      <c r="B62" s="86">
        <v>20451</v>
      </c>
      <c r="C62" s="8">
        <v>2699</v>
      </c>
      <c r="D62" s="78">
        <v>45961</v>
      </c>
      <c r="E62" s="85" t="s">
        <v>236</v>
      </c>
      <c r="F62" t="s">
        <v>270</v>
      </c>
      <c r="G62" s="97">
        <v>0</v>
      </c>
      <c r="H62" s="98">
        <v>3173.53</v>
      </c>
      <c r="I62" s="80">
        <v>45989</v>
      </c>
      <c r="J62" s="295">
        <v>45989</v>
      </c>
      <c r="K62" s="8"/>
      <c r="L62" s="298">
        <f>Tabela224[[#This Row],[VENDA]]+Tabela224[[#This Row],[MÃO DE OBRA]]-M62</f>
        <v>1.0300000000002001</v>
      </c>
      <c r="M62" s="60">
        <v>3172.5</v>
      </c>
    </row>
    <row r="63" spans="1:13" x14ac:dyDescent="0.3">
      <c r="A63" s="106"/>
      <c r="E63" s="85" t="s">
        <v>236</v>
      </c>
      <c r="F63" t="s">
        <v>270</v>
      </c>
      <c r="G63" s="97">
        <v>0</v>
      </c>
      <c r="H63" s="98">
        <v>3172</v>
      </c>
      <c r="I63" s="80">
        <v>45996</v>
      </c>
      <c r="J63" s="189">
        <v>45996</v>
      </c>
      <c r="K63" s="8"/>
      <c r="L63" s="298">
        <f>Tabela224[[#This Row],[VENDA]]+Tabela224[[#This Row],[MÃO DE OBRA]]-M63</f>
        <v>-0.5</v>
      </c>
      <c r="M63" s="60">
        <v>3172.5</v>
      </c>
    </row>
    <row r="64" spans="1:13" ht="15" thickBot="1" x14ac:dyDescent="0.35">
      <c r="A64" s="106"/>
      <c r="E64" s="85" t="s">
        <v>236</v>
      </c>
      <c r="F64" t="s">
        <v>270</v>
      </c>
      <c r="G64" s="97">
        <v>0</v>
      </c>
      <c r="H64" s="98">
        <v>3172</v>
      </c>
      <c r="I64" s="80">
        <v>46003</v>
      </c>
      <c r="J64" s="189">
        <v>46003</v>
      </c>
      <c r="K64" s="8"/>
      <c r="L64" s="298">
        <f>Tabela224[[#This Row],[VENDA]]+Tabela224[[#This Row],[MÃO DE OBRA]]-M64</f>
        <v>-0.5</v>
      </c>
      <c r="M64" s="60">
        <v>3172.5</v>
      </c>
    </row>
    <row r="65" spans="1:13" ht="18.600000000000001" thickBot="1" x14ac:dyDescent="0.4">
      <c r="B65" s="633" t="s">
        <v>235</v>
      </c>
      <c r="C65" s="634"/>
      <c r="D65" s="634"/>
      <c r="E65" s="64"/>
      <c r="F65" s="64"/>
      <c r="G65" s="66">
        <f>SUM(G21:G64)</f>
        <v>66436.799999999988</v>
      </c>
      <c r="H65" s="64"/>
      <c r="I65" s="64"/>
      <c r="J65" s="64"/>
      <c r="K65" s="64"/>
      <c r="L65" s="64"/>
      <c r="M65" s="65"/>
    </row>
    <row r="66" spans="1:13" ht="18.600000000000001" thickBot="1" x14ac:dyDescent="0.4">
      <c r="B66" s="635" t="s">
        <v>234</v>
      </c>
      <c r="C66" s="636"/>
      <c r="D66" s="636"/>
      <c r="E66" s="61"/>
      <c r="F66" s="61"/>
      <c r="G66" s="62"/>
      <c r="H66" s="67">
        <f>SUM(H20:H65)</f>
        <v>35402.369999999995</v>
      </c>
      <c r="I66" s="61"/>
      <c r="J66" s="61"/>
      <c r="K66" s="61"/>
      <c r="L66" s="61"/>
      <c r="M66" s="63"/>
    </row>
    <row r="67" spans="1:13" ht="19.8" customHeight="1" thickBot="1" x14ac:dyDescent="0.45">
      <c r="A67" s="106"/>
      <c r="B67" s="639" t="s">
        <v>214</v>
      </c>
      <c r="C67" s="639"/>
      <c r="D67" s="640">
        <f>SUM(G65+H66)</f>
        <v>101839.16999999998</v>
      </c>
      <c r="E67" s="640"/>
      <c r="F67" s="640"/>
      <c r="G67" s="640"/>
      <c r="H67" s="640"/>
      <c r="I67" s="640"/>
      <c r="J67" s="640"/>
      <c r="K67" s="640"/>
      <c r="L67" s="640"/>
      <c r="M67" s="641"/>
    </row>
  </sheetData>
  <mergeCells count="89">
    <mergeCell ref="B2:M3"/>
    <mergeCell ref="B4:C4"/>
    <mergeCell ref="D4:E4"/>
    <mergeCell ref="F4:G4"/>
    <mergeCell ref="H4:I4"/>
    <mergeCell ref="J4:K4"/>
    <mergeCell ref="L4:M4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8:M8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10:M10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2:M12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4:M14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6:M16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B65:D65"/>
    <mergeCell ref="B66:D66"/>
    <mergeCell ref="B67:C67"/>
    <mergeCell ref="D67:M67"/>
    <mergeCell ref="B17:C17"/>
    <mergeCell ref="D17:E17"/>
    <mergeCell ref="F17:G17"/>
    <mergeCell ref="H17:I17"/>
    <mergeCell ref="J17:K17"/>
    <mergeCell ref="L17:M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94AB-ADC6-49B6-B8BF-B79E387D41A9}">
  <dimension ref="A1:T80"/>
  <sheetViews>
    <sheetView showGridLines="0" topLeftCell="B66" zoomScale="110" zoomScaleNormal="110" workbookViewId="0">
      <selection activeCell="I51" sqref="I51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5.88671875" customWidth="1"/>
    <col min="7" max="7" width="18.88671875" customWidth="1"/>
    <col min="8" max="10" width="14.77734375" customWidth="1"/>
    <col min="11" max="11" width="15.77734375" customWidth="1"/>
    <col min="12" max="13" width="14.77734375" customWidth="1"/>
  </cols>
  <sheetData>
    <row r="1" spans="1:20" ht="16.8" customHeight="1" thickBot="1" x14ac:dyDescent="0.35"/>
    <row r="2" spans="1:20" ht="14.4" customHeight="1" x14ac:dyDescent="0.5">
      <c r="A2" s="54"/>
      <c r="B2" s="644" t="s">
        <v>239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6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47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52" t="s">
        <v>248</v>
      </c>
      <c r="D4" s="653"/>
      <c r="E4" s="653"/>
      <c r="F4" s="653"/>
      <c r="G4" s="654"/>
      <c r="H4" s="655" t="s">
        <v>249</v>
      </c>
      <c r="I4" s="656"/>
      <c r="J4" s="656"/>
      <c r="K4" s="656"/>
      <c r="L4" s="656"/>
      <c r="M4" s="657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202">
        <v>126073.37</v>
      </c>
      <c r="D6" s="203">
        <v>270562.53000000003</v>
      </c>
      <c r="E6" s="204">
        <v>49887.66</v>
      </c>
      <c r="F6" s="203">
        <v>0</v>
      </c>
      <c r="G6" s="205">
        <v>0</v>
      </c>
      <c r="H6" s="203">
        <v>0</v>
      </c>
      <c r="I6" s="205">
        <v>0</v>
      </c>
      <c r="J6" s="203">
        <v>0</v>
      </c>
      <c r="K6" s="205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209">
        <v>166235.96</v>
      </c>
      <c r="D7" s="210">
        <v>324984.96999999997</v>
      </c>
      <c r="E7" s="211">
        <v>15513.83</v>
      </c>
      <c r="F7" s="210">
        <v>0</v>
      </c>
      <c r="G7" s="212">
        <v>0</v>
      </c>
      <c r="H7" s="210">
        <v>0</v>
      </c>
      <c r="I7" s="212">
        <v>0</v>
      </c>
      <c r="J7" s="210">
        <v>0</v>
      </c>
      <c r="K7" s="212">
        <v>0</v>
      </c>
      <c r="L7" s="210">
        <v>0</v>
      </c>
      <c r="M7" s="212">
        <v>0</v>
      </c>
    </row>
    <row r="8" spans="1:20" ht="12" customHeight="1" x14ac:dyDescent="0.3">
      <c r="A8" s="54"/>
      <c r="B8" s="201" t="s">
        <v>216</v>
      </c>
      <c r="C8" s="202">
        <v>119814.85</v>
      </c>
      <c r="D8" s="203">
        <v>256001.57</v>
      </c>
      <c r="E8" s="213">
        <v>32410.22</v>
      </c>
      <c r="F8" s="203">
        <v>0</v>
      </c>
      <c r="G8" s="205">
        <v>0</v>
      </c>
      <c r="H8" s="203">
        <v>0</v>
      </c>
      <c r="I8" s="205">
        <v>0</v>
      </c>
      <c r="J8" s="203">
        <v>0</v>
      </c>
      <c r="K8" s="205">
        <v>0</v>
      </c>
      <c r="L8" s="203">
        <v>0</v>
      </c>
      <c r="M8" s="205">
        <v>0</v>
      </c>
    </row>
    <row r="9" spans="1:20" ht="12" customHeight="1" x14ac:dyDescent="0.3">
      <c r="A9" s="54"/>
      <c r="B9" s="208" t="s">
        <v>217</v>
      </c>
      <c r="C9" s="209">
        <v>112668.22</v>
      </c>
      <c r="D9" s="210">
        <v>136419.94</v>
      </c>
      <c r="E9" s="211">
        <v>23117.53</v>
      </c>
      <c r="F9" s="210">
        <v>0</v>
      </c>
      <c r="G9" s="212">
        <v>0</v>
      </c>
      <c r="H9" s="210">
        <v>0</v>
      </c>
      <c r="I9" s="212">
        <v>0</v>
      </c>
      <c r="J9" s="210">
        <v>0</v>
      </c>
      <c r="K9" s="212">
        <v>0</v>
      </c>
      <c r="L9" s="210">
        <v>0</v>
      </c>
      <c r="M9" s="212">
        <v>0</v>
      </c>
    </row>
    <row r="10" spans="1:20" ht="12" customHeight="1" x14ac:dyDescent="0.3">
      <c r="A10" s="54"/>
      <c r="B10" s="201" t="s">
        <v>218</v>
      </c>
      <c r="C10" s="202">
        <v>39597.94</v>
      </c>
      <c r="D10" s="203">
        <v>57014.400000000001</v>
      </c>
      <c r="E10" s="213">
        <v>11710.4</v>
      </c>
      <c r="F10" s="203">
        <v>0</v>
      </c>
      <c r="G10" s="205">
        <v>0</v>
      </c>
      <c r="H10" s="203">
        <v>0</v>
      </c>
      <c r="I10" s="205">
        <v>0</v>
      </c>
      <c r="J10" s="203">
        <v>0</v>
      </c>
      <c r="K10" s="205">
        <v>0</v>
      </c>
      <c r="L10" s="203">
        <v>0</v>
      </c>
      <c r="M10" s="205">
        <v>0</v>
      </c>
    </row>
    <row r="11" spans="1:20" ht="12" customHeight="1" x14ac:dyDescent="0.3">
      <c r="A11" s="54"/>
      <c r="B11" s="208" t="s">
        <v>219</v>
      </c>
      <c r="C11" s="209">
        <v>77419.240000000005</v>
      </c>
      <c r="D11" s="210">
        <v>259261.92</v>
      </c>
      <c r="E11" s="211">
        <v>32986.86</v>
      </c>
      <c r="F11" s="210">
        <v>0</v>
      </c>
      <c r="G11" s="212">
        <v>0</v>
      </c>
      <c r="H11" s="210">
        <v>0</v>
      </c>
      <c r="I11" s="212">
        <v>0</v>
      </c>
      <c r="J11" s="210">
        <v>0</v>
      </c>
      <c r="K11" s="212">
        <v>0</v>
      </c>
      <c r="L11" s="210">
        <v>0</v>
      </c>
      <c r="M11" s="212">
        <v>0</v>
      </c>
    </row>
    <row r="12" spans="1:20" ht="12" customHeight="1" x14ac:dyDescent="0.3">
      <c r="A12" s="54"/>
      <c r="B12" s="201" t="s">
        <v>220</v>
      </c>
      <c r="C12" s="202">
        <v>74963.62</v>
      </c>
      <c r="D12" s="203">
        <v>191964.91</v>
      </c>
      <c r="E12" s="213">
        <v>8086.81</v>
      </c>
      <c r="F12" s="203">
        <v>0</v>
      </c>
      <c r="G12" s="205">
        <v>0</v>
      </c>
      <c r="H12" s="203">
        <v>0</v>
      </c>
      <c r="I12" s="205">
        <v>0</v>
      </c>
      <c r="J12" s="203">
        <v>0</v>
      </c>
      <c r="K12" s="205">
        <v>0</v>
      </c>
      <c r="L12" s="203">
        <v>0</v>
      </c>
      <c r="M12" s="205">
        <v>0</v>
      </c>
    </row>
    <row r="13" spans="1:20" ht="12" customHeight="1" x14ac:dyDescent="0.3">
      <c r="A13" s="54"/>
      <c r="B13" s="208" t="s">
        <v>221</v>
      </c>
      <c r="C13" s="209">
        <v>152485.66</v>
      </c>
      <c r="D13" s="210">
        <v>273158.84999999998</v>
      </c>
      <c r="E13" s="211">
        <v>22122.22</v>
      </c>
      <c r="F13" s="210">
        <v>0</v>
      </c>
      <c r="G13" s="212">
        <v>0</v>
      </c>
      <c r="H13" s="210">
        <v>0</v>
      </c>
      <c r="I13" s="212">
        <v>0</v>
      </c>
      <c r="J13" s="210">
        <v>0</v>
      </c>
      <c r="K13" s="212">
        <v>0</v>
      </c>
      <c r="L13" s="210">
        <v>0</v>
      </c>
      <c r="M13" s="212">
        <v>0</v>
      </c>
    </row>
    <row r="14" spans="1:20" ht="12" customHeight="1" x14ac:dyDescent="0.3">
      <c r="A14" s="54"/>
      <c r="B14" s="201" t="s">
        <v>211</v>
      </c>
      <c r="C14" s="202">
        <v>171282.48</v>
      </c>
      <c r="D14" s="203">
        <v>63159.51</v>
      </c>
      <c r="E14" s="213">
        <v>36466.42</v>
      </c>
      <c r="F14" s="203">
        <v>0</v>
      </c>
      <c r="G14" s="205">
        <v>0</v>
      </c>
      <c r="H14" s="203">
        <v>0</v>
      </c>
      <c r="I14" s="205">
        <v>0</v>
      </c>
      <c r="J14" s="203">
        <v>0</v>
      </c>
      <c r="K14" s="205">
        <v>0</v>
      </c>
      <c r="L14" s="203">
        <v>0</v>
      </c>
      <c r="M14" s="205">
        <v>0</v>
      </c>
    </row>
    <row r="15" spans="1:20" ht="12" customHeight="1" x14ac:dyDescent="0.3">
      <c r="A15" s="54"/>
      <c r="B15" s="208" t="s">
        <v>222</v>
      </c>
      <c r="C15" s="209">
        <v>168433.06</v>
      </c>
      <c r="D15" s="210">
        <v>53077.38</v>
      </c>
      <c r="E15" s="211">
        <v>99828</v>
      </c>
      <c r="F15" s="210">
        <v>0</v>
      </c>
      <c r="G15" s="212">
        <v>0</v>
      </c>
      <c r="H15" s="210">
        <v>1595.6</v>
      </c>
      <c r="I15" s="212">
        <v>0</v>
      </c>
      <c r="J15" s="210">
        <v>0</v>
      </c>
      <c r="K15" s="212">
        <v>0</v>
      </c>
      <c r="L15" s="210">
        <v>0</v>
      </c>
      <c r="M15" s="212">
        <v>0</v>
      </c>
    </row>
    <row r="16" spans="1:20" ht="12" customHeight="1" x14ac:dyDescent="0.3">
      <c r="A16" s="54"/>
      <c r="B16" s="201" t="s">
        <v>212</v>
      </c>
      <c r="C16" s="202">
        <v>155757.68</v>
      </c>
      <c r="D16" s="203">
        <v>15517.44</v>
      </c>
      <c r="E16" s="213">
        <v>0</v>
      </c>
      <c r="F16" s="203">
        <v>0</v>
      </c>
      <c r="G16" s="205">
        <v>0</v>
      </c>
      <c r="H16" s="203">
        <v>0</v>
      </c>
      <c r="I16" s="205">
        <v>0</v>
      </c>
      <c r="J16" s="203">
        <v>0</v>
      </c>
      <c r="K16" s="205">
        <v>0</v>
      </c>
      <c r="L16" s="203">
        <v>0</v>
      </c>
      <c r="M16" s="205">
        <v>0</v>
      </c>
    </row>
    <row r="17" spans="1:13" ht="12" customHeight="1" thickBot="1" x14ac:dyDescent="0.35">
      <c r="A17" s="54"/>
      <c r="B17" s="214" t="s">
        <v>213</v>
      </c>
      <c r="C17" s="215">
        <v>163379.07999999999</v>
      </c>
      <c r="D17" s="215">
        <v>9580.01</v>
      </c>
      <c r="E17" s="215">
        <v>0</v>
      </c>
      <c r="F17" s="216">
        <v>0</v>
      </c>
      <c r="G17" s="216">
        <v>0</v>
      </c>
      <c r="H17" s="216">
        <v>0</v>
      </c>
      <c r="I17" s="217">
        <v>0</v>
      </c>
      <c r="J17" s="216">
        <v>0</v>
      </c>
      <c r="K17" s="217">
        <v>0</v>
      </c>
      <c r="L17" s="216">
        <v>0</v>
      </c>
      <c r="M17" s="216">
        <v>0</v>
      </c>
    </row>
    <row r="18" spans="1:13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332129.95</v>
      </c>
      <c r="F18" s="221">
        <f>SUM(F6:F17)</f>
        <v>0</v>
      </c>
      <c r="G18" s="222">
        <v>0</v>
      </c>
      <c r="H18" s="221">
        <f>SUM(H6:H17)</f>
        <v>1595.6</v>
      </c>
      <c r="I18" s="222">
        <v>0</v>
      </c>
      <c r="J18" s="223">
        <f>SUM(J6:J17)</f>
        <v>0</v>
      </c>
      <c r="K18" s="224">
        <v>0</v>
      </c>
      <c r="L18" s="225">
        <f>SUM(L6:L17)</f>
        <v>0</v>
      </c>
      <c r="M18" s="222">
        <v>0</v>
      </c>
    </row>
    <row r="19" spans="1:13" ht="15" customHeight="1" thickBot="1" x14ac:dyDescent="0.35">
      <c r="B19" s="658" t="s">
        <v>250</v>
      </c>
      <c r="C19" s="659"/>
      <c r="D19" s="226">
        <f>SUM(H18+E18)</f>
        <v>333725.55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3" ht="27.6" customHeight="1" thickBot="1" x14ac:dyDescent="0.35">
      <c r="A20" s="54"/>
      <c r="B20" s="229" t="s">
        <v>251</v>
      </c>
      <c r="C20" s="230" t="s">
        <v>223</v>
      </c>
      <c r="D20" s="231" t="s">
        <v>232</v>
      </c>
      <c r="E20" s="232" t="s">
        <v>224</v>
      </c>
      <c r="F20" s="231" t="s">
        <v>225</v>
      </c>
      <c r="G20" s="231" t="s">
        <v>268</v>
      </c>
      <c r="H20" s="231" t="s">
        <v>226</v>
      </c>
      <c r="I20" s="231" t="s">
        <v>227</v>
      </c>
      <c r="J20" s="231" t="s">
        <v>228</v>
      </c>
      <c r="K20" s="232" t="s">
        <v>229</v>
      </c>
      <c r="L20" s="231" t="s">
        <v>252</v>
      </c>
      <c r="M20" s="233" t="s">
        <v>230</v>
      </c>
    </row>
    <row r="21" spans="1:13" ht="15" thickBot="1" x14ac:dyDescent="0.35">
      <c r="A21" s="54"/>
      <c r="B21" s="303" t="s">
        <v>249</v>
      </c>
      <c r="C21" s="304">
        <v>448</v>
      </c>
      <c r="D21" s="283">
        <v>408</v>
      </c>
      <c r="E21" s="305">
        <v>45971</v>
      </c>
      <c r="F21" s="304" t="s">
        <v>253</v>
      </c>
      <c r="G21" s="306" t="s">
        <v>271</v>
      </c>
      <c r="H21" s="286">
        <v>3000</v>
      </c>
      <c r="I21" s="286">
        <v>0</v>
      </c>
      <c r="J21" s="287">
        <v>45971</v>
      </c>
      <c r="K21" s="305">
        <v>45967</v>
      </c>
      <c r="L21" s="307">
        <v>3000</v>
      </c>
      <c r="M21" s="308">
        <f>Tabela2246[[#This Row],[VENDA]]+Tabela2246[[#This Row],[MÃO DE OBRA]]-Tabela2246[[#This Row],[VALOR PAGO]]</f>
        <v>0</v>
      </c>
    </row>
    <row r="22" spans="1:13" ht="15" thickBot="1" x14ac:dyDescent="0.35">
      <c r="A22" s="54"/>
      <c r="B22" s="303" t="s">
        <v>249</v>
      </c>
      <c r="C22" s="304">
        <v>458</v>
      </c>
      <c r="D22" s="283">
        <v>409</v>
      </c>
      <c r="E22" s="305">
        <v>45974</v>
      </c>
      <c r="F22" s="304" t="s">
        <v>254</v>
      </c>
      <c r="G22" s="306" t="s">
        <v>271</v>
      </c>
      <c r="H22" s="286">
        <v>4500</v>
      </c>
      <c r="I22" s="286">
        <v>0</v>
      </c>
      <c r="J22" s="287">
        <v>45974</v>
      </c>
      <c r="K22" s="305">
        <v>45973</v>
      </c>
      <c r="L22" s="307">
        <v>4500</v>
      </c>
      <c r="M22" s="308">
        <f>Tabela2246[[#This Row],[VENDA]]+Tabela2246[[#This Row],[MÃO DE OBRA]]-Tabela2246[[#This Row],[VALOR PAGO]]</f>
        <v>0</v>
      </c>
    </row>
    <row r="23" spans="1:13" ht="15" thickBot="1" x14ac:dyDescent="0.35">
      <c r="A23" s="106"/>
      <c r="B23" s="74" t="s">
        <v>248</v>
      </c>
      <c r="C23" s="86">
        <v>20590</v>
      </c>
      <c r="D23" s="8">
        <v>2783</v>
      </c>
      <c r="E23" s="240">
        <v>45971</v>
      </c>
      <c r="F23" s="86" t="s">
        <v>236</v>
      </c>
      <c r="G23" t="s">
        <v>270</v>
      </c>
      <c r="H23" s="98">
        <v>0</v>
      </c>
      <c r="I23" s="98">
        <v>522.59</v>
      </c>
      <c r="J23" s="80">
        <v>45999</v>
      </c>
      <c r="K23" s="328">
        <v>46003</v>
      </c>
      <c r="L23" s="238">
        <v>521.52</v>
      </c>
      <c r="M23" s="302">
        <f>Tabela2246[[#This Row],[VENDA]]+Tabela2246[[#This Row],[MÃO DE OBRA]]-Tabela2246[[#This Row],[VALOR PAGO]]</f>
        <v>1.07000000000005</v>
      </c>
    </row>
    <row r="24" spans="1:13" ht="15" thickBot="1" x14ac:dyDescent="0.35">
      <c r="A24" s="106"/>
      <c r="B24" s="74"/>
      <c r="E24" s="8"/>
      <c r="F24" s="86" t="s">
        <v>236</v>
      </c>
      <c r="G24" t="s">
        <v>270</v>
      </c>
      <c r="H24" s="76">
        <v>0</v>
      </c>
      <c r="I24" s="76">
        <v>521</v>
      </c>
      <c r="J24" s="80">
        <v>46006</v>
      </c>
      <c r="K24" s="328">
        <v>46010</v>
      </c>
      <c r="L24" s="238">
        <v>521.52</v>
      </c>
      <c r="M24" s="239">
        <f>Tabela2246[[#This Row],[VENDA]]+Tabela2246[[#This Row],[MÃO DE OBRA]]-Tabela2246[[#This Row],[VALOR PAGO]]</f>
        <v>-0.51999999999998181</v>
      </c>
    </row>
    <row r="25" spans="1:13" ht="15" thickBot="1" x14ac:dyDescent="0.35">
      <c r="A25" s="106"/>
      <c r="B25" s="86"/>
      <c r="C25" s="244"/>
      <c r="D25" s="103"/>
      <c r="E25" s="245"/>
      <c r="F25" s="246" t="s">
        <v>236</v>
      </c>
      <c r="G25" s="99" t="s">
        <v>270</v>
      </c>
      <c r="H25" s="101">
        <v>0</v>
      </c>
      <c r="I25" s="101">
        <v>521</v>
      </c>
      <c r="J25" s="102">
        <v>46013</v>
      </c>
      <c r="K25" s="334">
        <v>46017</v>
      </c>
      <c r="L25" s="247">
        <v>521.52</v>
      </c>
      <c r="M25" s="239">
        <f>Tabela2246[[#This Row],[VENDA]]+Tabela2246[[#This Row],[MÃO DE OBRA]]-Tabela2246[[#This Row],[VALOR PAGO]]</f>
        <v>-0.51999999999998181</v>
      </c>
    </row>
    <row r="26" spans="1:13" ht="15" thickBot="1" x14ac:dyDescent="0.35">
      <c r="A26" s="106"/>
      <c r="B26" s="96" t="s">
        <v>248</v>
      </c>
      <c r="C26" s="86">
        <v>20591</v>
      </c>
      <c r="D26" s="8">
        <v>2801</v>
      </c>
      <c r="E26" s="240">
        <v>45971</v>
      </c>
      <c r="F26" s="86" t="s">
        <v>236</v>
      </c>
      <c r="G26" t="s">
        <v>270</v>
      </c>
      <c r="H26" s="76">
        <v>0</v>
      </c>
      <c r="I26" s="76">
        <v>364.48</v>
      </c>
      <c r="J26" s="80">
        <v>45999</v>
      </c>
      <c r="K26" s="328">
        <v>46003</v>
      </c>
      <c r="L26" s="238">
        <v>362.82</v>
      </c>
      <c r="M26" s="239">
        <f>Tabela2246[[#This Row],[VENDA]]+Tabela2246[[#This Row],[MÃO DE OBRA]]-Tabela2246[[#This Row],[VALOR PAGO]]</f>
        <v>1.660000000000025</v>
      </c>
    </row>
    <row r="27" spans="1:13" ht="15" thickBot="1" x14ac:dyDescent="0.35">
      <c r="A27" s="106"/>
      <c r="B27" s="86"/>
      <c r="C27" s="86"/>
      <c r="D27" s="8"/>
      <c r="E27" s="240"/>
      <c r="F27" s="86" t="s">
        <v>236</v>
      </c>
      <c r="G27" s="316" t="s">
        <v>270</v>
      </c>
      <c r="H27" s="98">
        <v>0</v>
      </c>
      <c r="I27" s="98">
        <v>362</v>
      </c>
      <c r="J27" s="80">
        <v>46006</v>
      </c>
      <c r="K27" s="328">
        <v>46010</v>
      </c>
      <c r="L27" s="238">
        <v>362.82</v>
      </c>
      <c r="M27" s="239">
        <f>Tabela2246[[#This Row],[VENDA]]+Tabela2246[[#This Row],[MÃO DE OBRA]]-Tabela2246[[#This Row],[VALOR PAGO]]</f>
        <v>-0.81999999999999318</v>
      </c>
    </row>
    <row r="28" spans="1:13" ht="15" thickBot="1" x14ac:dyDescent="0.35">
      <c r="A28" s="106"/>
      <c r="B28" s="86"/>
      <c r="C28" s="99"/>
      <c r="D28" s="99"/>
      <c r="E28" s="103"/>
      <c r="F28" s="244" t="s">
        <v>236</v>
      </c>
      <c r="G28" s="99" t="s">
        <v>270</v>
      </c>
      <c r="H28" s="101">
        <v>0</v>
      </c>
      <c r="I28" s="101">
        <v>362</v>
      </c>
      <c r="J28" s="102">
        <v>46013</v>
      </c>
      <c r="K28" s="334">
        <v>45997</v>
      </c>
      <c r="L28" s="242">
        <v>362.83</v>
      </c>
      <c r="M28" s="239">
        <f>Tabela2246[[#This Row],[VENDA]]+Tabela2246[[#This Row],[MÃO DE OBRA]]-Tabela2246[[#This Row],[VALOR PAGO]]</f>
        <v>-0.82999999999998408</v>
      </c>
    </row>
    <row r="29" spans="1:13" ht="15" thickBot="1" x14ac:dyDescent="0.35">
      <c r="A29" s="106"/>
      <c r="B29" s="96" t="s">
        <v>248</v>
      </c>
      <c r="C29" s="86">
        <v>20644</v>
      </c>
      <c r="D29" s="8">
        <v>2838</v>
      </c>
      <c r="E29" s="240">
        <v>45974</v>
      </c>
      <c r="F29" s="86" t="s">
        <v>236</v>
      </c>
      <c r="G29" t="s">
        <v>270</v>
      </c>
      <c r="H29" s="76">
        <v>0</v>
      </c>
      <c r="I29" s="76">
        <v>490.26</v>
      </c>
      <c r="J29" s="80">
        <v>46002</v>
      </c>
      <c r="K29" s="328">
        <v>46003</v>
      </c>
      <c r="L29" s="238">
        <v>488.75</v>
      </c>
      <c r="M29" s="239">
        <f>Tabela2246[[#This Row],[VENDA]]+Tabela2246[[#This Row],[MÃO DE OBRA]]-Tabela2246[[#This Row],[VALOR PAGO]]</f>
        <v>1.5099999999999909</v>
      </c>
    </row>
    <row r="30" spans="1:13" ht="15" thickBot="1" x14ac:dyDescent="0.35">
      <c r="A30" s="106"/>
      <c r="B30" s="86"/>
      <c r="C30" s="86"/>
      <c r="D30" s="8"/>
      <c r="E30" s="240"/>
      <c r="F30" s="86" t="s">
        <v>236</v>
      </c>
      <c r="G30" t="s">
        <v>270</v>
      </c>
      <c r="H30" s="76">
        <v>0</v>
      </c>
      <c r="I30" s="76">
        <v>488</v>
      </c>
      <c r="J30" s="80">
        <v>46009</v>
      </c>
      <c r="K30" s="328">
        <v>46010</v>
      </c>
      <c r="L30" s="238">
        <v>488.75</v>
      </c>
      <c r="M30" s="239">
        <f>Tabela2246[[#This Row],[VENDA]]+Tabela2246[[#This Row],[MÃO DE OBRA]]-Tabela2246[[#This Row],[VALOR PAGO]]</f>
        <v>-0.75</v>
      </c>
    </row>
    <row r="31" spans="1:13" ht="15" thickBot="1" x14ac:dyDescent="0.35">
      <c r="A31" s="106"/>
      <c r="B31" s="86"/>
      <c r="C31" s="86"/>
      <c r="D31" s="8"/>
      <c r="E31" s="240"/>
      <c r="F31" s="86" t="s">
        <v>236</v>
      </c>
      <c r="G31" s="316" t="s">
        <v>270</v>
      </c>
      <c r="H31" s="248">
        <v>0</v>
      </c>
      <c r="I31" s="248">
        <v>488</v>
      </c>
      <c r="J31" s="80">
        <v>46016</v>
      </c>
      <c r="K31" s="328">
        <v>46017</v>
      </c>
      <c r="L31" s="247">
        <v>488.74</v>
      </c>
      <c r="M31" s="239">
        <f>Tabela2246[[#This Row],[VENDA]]+Tabela2246[[#This Row],[MÃO DE OBRA]]-Tabela2246[[#This Row],[VALOR PAGO]]</f>
        <v>-0.74000000000000909</v>
      </c>
    </row>
    <row r="32" spans="1:13" ht="15" thickBot="1" x14ac:dyDescent="0.35">
      <c r="A32" s="106"/>
      <c r="B32" s="96" t="s">
        <v>248</v>
      </c>
      <c r="C32" s="344">
        <v>20656</v>
      </c>
      <c r="D32" s="58">
        <v>2888</v>
      </c>
      <c r="E32" s="250">
        <v>45974</v>
      </c>
      <c r="F32" s="249" t="s">
        <v>255</v>
      </c>
      <c r="G32" s="171" t="s">
        <v>272</v>
      </c>
      <c r="H32" s="169">
        <v>1036</v>
      </c>
      <c r="I32" s="169">
        <v>0</v>
      </c>
      <c r="J32" s="170">
        <v>45988</v>
      </c>
      <c r="K32" s="250">
        <v>45988</v>
      </c>
      <c r="L32" s="238">
        <v>1036</v>
      </c>
      <c r="M32" s="239">
        <f>Tabela2246[[#This Row],[VENDA]]+Tabela2246[[#This Row],[MÃO DE OBRA]]-Tabela2246[[#This Row],[VALOR PAGO]]</f>
        <v>0</v>
      </c>
    </row>
    <row r="33" spans="1:13" ht="15" thickBot="1" x14ac:dyDescent="0.35">
      <c r="A33" s="54"/>
      <c r="B33" s="234" t="s">
        <v>249</v>
      </c>
      <c r="C33" s="86">
        <v>20671</v>
      </c>
      <c r="D33" s="58">
        <v>2898</v>
      </c>
      <c r="E33" s="250">
        <v>45975</v>
      </c>
      <c r="F33" s="249" t="s">
        <v>236</v>
      </c>
      <c r="G33" s="57" t="s">
        <v>275</v>
      </c>
      <c r="H33" s="169">
        <f>26852.98/3</f>
        <v>8950.9933333333338</v>
      </c>
      <c r="I33" s="169">
        <v>0</v>
      </c>
      <c r="J33" s="170">
        <v>46003</v>
      </c>
      <c r="K33" s="332">
        <v>46010</v>
      </c>
      <c r="L33" s="251">
        <v>8950.99</v>
      </c>
      <c r="M33" s="239">
        <f>Tabela2246[[#This Row],[VENDA]]+Tabela2246[[#This Row],[MÃO DE OBRA]]-Tabela2246[[#This Row],[VALOR PAGO]]</f>
        <v>3.3333333340124227E-3</v>
      </c>
    </row>
    <row r="34" spans="1:13" ht="15" thickBot="1" x14ac:dyDescent="0.35">
      <c r="B34" s="152"/>
      <c r="C34" s="86"/>
      <c r="D34" s="8"/>
      <c r="E34" s="240"/>
      <c r="F34" s="86" t="s">
        <v>236</v>
      </c>
      <c r="G34" s="316" t="s">
        <v>275</v>
      </c>
      <c r="H34" s="248">
        <v>8950.9933333333338</v>
      </c>
      <c r="I34" s="248">
        <v>0</v>
      </c>
      <c r="J34" s="80">
        <v>46010</v>
      </c>
      <c r="K34" s="328">
        <v>46017</v>
      </c>
      <c r="L34" s="238">
        <v>8950.99</v>
      </c>
      <c r="M34" s="239">
        <f>Tabela2246[[#This Row],[VENDA]]+Tabela2246[[#This Row],[MÃO DE OBRA]]-Tabela2246[[#This Row],[VALOR PAGO]]</f>
        <v>3.3333333340124227E-3</v>
      </c>
    </row>
    <row r="35" spans="1:13" ht="15" thickBot="1" x14ac:dyDescent="0.35">
      <c r="B35" s="241"/>
      <c r="C35" s="86"/>
      <c r="D35" s="8"/>
      <c r="E35" s="240"/>
      <c r="F35" s="86" t="s">
        <v>236</v>
      </c>
      <c r="G35" s="316" t="s">
        <v>275</v>
      </c>
      <c r="H35" s="248">
        <v>8950.9933333333338</v>
      </c>
      <c r="I35" s="248">
        <v>0</v>
      </c>
      <c r="J35" s="80">
        <v>46017</v>
      </c>
      <c r="K35" s="328">
        <v>46041</v>
      </c>
      <c r="L35" s="362">
        <v>8951</v>
      </c>
      <c r="M35" s="239">
        <f>Tabela2246[[#This Row],[VENDA]]+Tabela2246[[#This Row],[MÃO DE OBRA]]-Tabela2246[[#This Row],[VALOR PAGO]]</f>
        <v>-6.666666666205856E-3</v>
      </c>
    </row>
    <row r="36" spans="1:13" ht="15" thickBot="1" x14ac:dyDescent="0.35">
      <c r="A36" s="106"/>
      <c r="B36" s="74" t="s">
        <v>249</v>
      </c>
      <c r="C36" s="345">
        <v>20678</v>
      </c>
      <c r="D36" s="58">
        <v>2850</v>
      </c>
      <c r="E36" s="250">
        <v>45975</v>
      </c>
      <c r="F36" s="249" t="s">
        <v>236</v>
      </c>
      <c r="G36" s="57" t="s">
        <v>275</v>
      </c>
      <c r="H36" s="169">
        <f>68611.8/3</f>
        <v>22870.600000000002</v>
      </c>
      <c r="I36" s="169">
        <v>0</v>
      </c>
      <c r="J36" s="170">
        <v>46003</v>
      </c>
      <c r="K36" s="332">
        <v>46010</v>
      </c>
      <c r="L36" s="251">
        <v>22870.6</v>
      </c>
      <c r="M36" s="239">
        <f>Tabela2246[[#This Row],[VENDA]]+Tabela2246[[#This Row],[MÃO DE OBRA]]-Tabela2246[[#This Row],[VALOR PAGO]]</f>
        <v>0</v>
      </c>
    </row>
    <row r="37" spans="1:13" ht="15" thickBot="1" x14ac:dyDescent="0.35">
      <c r="A37" s="106"/>
      <c r="B37" s="86"/>
      <c r="C37" s="86"/>
      <c r="D37" s="8"/>
      <c r="E37" s="240"/>
      <c r="F37" s="86" t="s">
        <v>236</v>
      </c>
      <c r="G37" s="316" t="s">
        <v>275</v>
      </c>
      <c r="H37" s="248">
        <v>22870.600000000002</v>
      </c>
      <c r="I37" s="248">
        <v>0</v>
      </c>
      <c r="J37" s="80">
        <v>46010</v>
      </c>
      <c r="K37" s="328">
        <v>46017</v>
      </c>
      <c r="L37" s="238">
        <v>22870.6</v>
      </c>
      <c r="M37" s="239">
        <f>Tabela2246[[#This Row],[VENDA]]+Tabela2246[[#This Row],[MÃO DE OBRA]]-Tabela2246[[#This Row],[VALOR PAGO]]</f>
        <v>0</v>
      </c>
    </row>
    <row r="38" spans="1:13" ht="15" thickBot="1" x14ac:dyDescent="0.35">
      <c r="A38" s="106"/>
      <c r="B38" s="244"/>
      <c r="C38" s="244"/>
      <c r="D38" s="103"/>
      <c r="E38" s="245"/>
      <c r="F38" s="244" t="s">
        <v>236</v>
      </c>
      <c r="G38" s="317" t="s">
        <v>275</v>
      </c>
      <c r="H38" s="101">
        <v>22870.600000000002</v>
      </c>
      <c r="I38" s="101">
        <v>0</v>
      </c>
      <c r="J38" s="125">
        <v>46017</v>
      </c>
      <c r="K38" s="334">
        <v>46035</v>
      </c>
      <c r="L38" s="238">
        <v>22870.6</v>
      </c>
      <c r="M38" s="239">
        <f>Tabela2246[[#This Row],[VENDA]]+Tabela2246[[#This Row],[MÃO DE OBRA]]-Tabela2246[[#This Row],[VALOR PAGO]]</f>
        <v>0</v>
      </c>
    </row>
    <row r="39" spans="1:13" ht="15" thickBot="1" x14ac:dyDescent="0.35">
      <c r="A39" s="106"/>
      <c r="B39" s="86" t="s">
        <v>249</v>
      </c>
      <c r="C39" s="86">
        <v>20679</v>
      </c>
      <c r="D39" s="8">
        <v>2906</v>
      </c>
      <c r="E39" s="240">
        <v>45975</v>
      </c>
      <c r="F39" s="86" t="s">
        <v>236</v>
      </c>
      <c r="G39" s="316" t="s">
        <v>275</v>
      </c>
      <c r="H39" s="76">
        <v>8411.59</v>
      </c>
      <c r="I39" s="76">
        <v>0</v>
      </c>
      <c r="J39" s="80">
        <v>46003</v>
      </c>
      <c r="K39" s="328">
        <v>46010</v>
      </c>
      <c r="L39" s="238">
        <v>8411.59</v>
      </c>
      <c r="M39" s="239">
        <f>Tabela2246[[#This Row],[VENDA]]+Tabela2246[[#This Row],[MÃO DE OBRA]]-Tabela2246[[#This Row],[VALOR PAGO]]</f>
        <v>0</v>
      </c>
    </row>
    <row r="40" spans="1:13" ht="15" thickBot="1" x14ac:dyDescent="0.35">
      <c r="A40" s="106"/>
      <c r="B40" s="74"/>
      <c r="E40" s="8"/>
      <c r="F40" s="86" t="s">
        <v>236</v>
      </c>
      <c r="G40" s="316" t="s">
        <v>275</v>
      </c>
      <c r="H40" s="76">
        <v>8411.59</v>
      </c>
      <c r="I40" s="76">
        <v>0</v>
      </c>
      <c r="J40" s="80">
        <v>46010</v>
      </c>
      <c r="K40" s="328">
        <v>46017</v>
      </c>
      <c r="L40" s="238">
        <v>8411.59</v>
      </c>
      <c r="M40" s="239">
        <f>Tabela2246[[#This Row],[VENDA]]+Tabela2246[[#This Row],[MÃO DE OBRA]]-Tabela2246[[#This Row],[VALOR PAGO]]</f>
        <v>0</v>
      </c>
    </row>
    <row r="41" spans="1:13" ht="15" thickBot="1" x14ac:dyDescent="0.35">
      <c r="A41" s="106"/>
      <c r="B41" s="86"/>
      <c r="C41" s="86"/>
      <c r="D41" s="8"/>
      <c r="E41" s="240"/>
      <c r="F41" s="86" t="s">
        <v>236</v>
      </c>
      <c r="G41" s="316" t="s">
        <v>275</v>
      </c>
      <c r="H41" s="76">
        <v>8411.59</v>
      </c>
      <c r="I41" s="76">
        <v>0</v>
      </c>
      <c r="J41" s="80">
        <v>46017</v>
      </c>
      <c r="K41" s="328">
        <v>46041</v>
      </c>
      <c r="L41" s="238">
        <v>8411.59</v>
      </c>
      <c r="M41" s="239">
        <f>Tabela2246[[#This Row],[VENDA]]+Tabela2246[[#This Row],[MÃO DE OBRA]]-Tabela2246[[#This Row],[VALOR PAGO]]</f>
        <v>0</v>
      </c>
    </row>
    <row r="42" spans="1:13" ht="15" thickBot="1" x14ac:dyDescent="0.35">
      <c r="B42" s="234" t="s">
        <v>248</v>
      </c>
      <c r="C42" s="235">
        <v>20707</v>
      </c>
      <c r="D42" s="236">
        <v>2880</v>
      </c>
      <c r="E42" s="237">
        <v>45979</v>
      </c>
      <c r="F42" s="235" t="s">
        <v>236</v>
      </c>
      <c r="G42" s="318" t="s">
        <v>270</v>
      </c>
      <c r="H42" s="309">
        <v>0</v>
      </c>
      <c r="I42" s="309">
        <v>332.93</v>
      </c>
      <c r="J42" s="310">
        <v>46007</v>
      </c>
      <c r="K42" s="333">
        <v>46010</v>
      </c>
      <c r="L42" s="255">
        <v>332.92</v>
      </c>
      <c r="M42" s="239">
        <f>Tabela2246[[#This Row],[VENDA]]+Tabela2246[[#This Row],[MÃO DE OBRA]]-Tabela2246[[#This Row],[VALOR PAGO]]</f>
        <v>9.9999999999909051E-3</v>
      </c>
    </row>
    <row r="43" spans="1:13" ht="15" thickBot="1" x14ac:dyDescent="0.35">
      <c r="B43" s="241"/>
      <c r="C43" s="122"/>
      <c r="D43" s="122"/>
      <c r="E43" s="126"/>
      <c r="F43" s="253" t="s">
        <v>236</v>
      </c>
      <c r="G43" s="319" t="s">
        <v>270</v>
      </c>
      <c r="H43" s="124">
        <v>0</v>
      </c>
      <c r="I43" s="124">
        <v>332.92</v>
      </c>
      <c r="J43" s="125">
        <v>46014</v>
      </c>
      <c r="K43" s="335">
        <v>46017</v>
      </c>
      <c r="L43" s="247">
        <v>332.93</v>
      </c>
      <c r="M43" s="308">
        <f>Tabela2246[[#This Row],[VENDA]]+Tabela2246[[#This Row],[MÃO DE OBRA]]-Tabela2246[[#This Row],[VALOR PAGO]]</f>
        <v>-9.9999999999909051E-3</v>
      </c>
    </row>
    <row r="44" spans="1:13" ht="15" thickBot="1" x14ac:dyDescent="0.35">
      <c r="B44" s="303" t="s">
        <v>248</v>
      </c>
      <c r="C44" s="304">
        <v>20728</v>
      </c>
      <c r="D44" s="283">
        <v>2924</v>
      </c>
      <c r="E44" s="305">
        <v>45981</v>
      </c>
      <c r="F44" s="304" t="s">
        <v>236</v>
      </c>
      <c r="G44" s="306" t="s">
        <v>270</v>
      </c>
      <c r="H44" s="286">
        <v>0</v>
      </c>
      <c r="I44" s="286">
        <v>408.83</v>
      </c>
      <c r="J44" s="287">
        <v>46009</v>
      </c>
      <c r="K44" s="336">
        <v>46055</v>
      </c>
      <c r="L44" s="307">
        <v>408.82</v>
      </c>
      <c r="M44" s="308">
        <f>Tabela2246[[#This Row],[VENDA]]+Tabela2246[[#This Row],[MÃO DE OBRA]]-Tabela2246[[#This Row],[VALOR PAGO]]</f>
        <v>9.9999999999909051E-3</v>
      </c>
    </row>
    <row r="45" spans="1:13" ht="15" thickBot="1" x14ac:dyDescent="0.35">
      <c r="A45" s="106"/>
      <c r="B45" s="74" t="s">
        <v>248</v>
      </c>
      <c r="C45" s="86">
        <v>20768</v>
      </c>
      <c r="D45" s="8">
        <v>2924</v>
      </c>
      <c r="E45" s="240">
        <v>45985</v>
      </c>
      <c r="F45" s="86" t="s">
        <v>236</v>
      </c>
      <c r="G45" t="s">
        <v>270</v>
      </c>
      <c r="H45" s="248">
        <v>0</v>
      </c>
      <c r="I45" s="248">
        <v>411.42</v>
      </c>
      <c r="J45" s="80">
        <v>46013</v>
      </c>
      <c r="K45" s="328">
        <v>46007</v>
      </c>
      <c r="L45" s="238">
        <v>411.41</v>
      </c>
      <c r="M45" s="302">
        <f>Tabela2246[[#This Row],[VENDA]]+Tabela2246[[#This Row],[MÃO DE OBRA]]-Tabela2246[[#This Row],[VALOR PAGO]]</f>
        <v>9.9999999999909051E-3</v>
      </c>
    </row>
    <row r="46" spans="1:13" ht="15" thickBot="1" x14ac:dyDescent="0.35">
      <c r="A46" s="106"/>
      <c r="B46" s="74"/>
      <c r="C46" s="8"/>
      <c r="D46" s="8"/>
      <c r="E46" s="8"/>
      <c r="F46" s="86" t="s">
        <v>236</v>
      </c>
      <c r="G46" t="s">
        <v>270</v>
      </c>
      <c r="H46" s="248">
        <v>0</v>
      </c>
      <c r="I46" s="248">
        <v>411.41</v>
      </c>
      <c r="J46" s="80">
        <v>46020</v>
      </c>
      <c r="K46" s="328">
        <v>46043</v>
      </c>
      <c r="L46" s="359">
        <v>411.41</v>
      </c>
      <c r="M46" s="239">
        <f>Tabela2246[[#This Row],[VENDA]]+Tabela2246[[#This Row],[MÃO DE OBRA]]-Tabela2246[[#This Row],[VALOR PAGO]]</f>
        <v>0</v>
      </c>
    </row>
    <row r="47" spans="1:13" ht="15" thickBot="1" x14ac:dyDescent="0.35">
      <c r="A47" s="106"/>
      <c r="B47" s="243"/>
      <c r="C47" s="126"/>
      <c r="D47" s="126"/>
      <c r="E47" s="126"/>
      <c r="F47" s="253" t="s">
        <v>236</v>
      </c>
      <c r="G47" s="122" t="s">
        <v>270</v>
      </c>
      <c r="H47" s="252">
        <v>0</v>
      </c>
      <c r="I47" s="252">
        <v>0</v>
      </c>
      <c r="J47" s="125"/>
      <c r="K47" s="126"/>
      <c r="L47" s="247">
        <v>0</v>
      </c>
      <c r="M47" s="239">
        <f>Tabela2246[[#This Row],[VENDA]]+Tabela2246[[#This Row],[MÃO DE OBRA]]-Tabela2246[[#This Row],[VALOR PAGO]]</f>
        <v>0</v>
      </c>
    </row>
    <row r="48" spans="1:13" ht="15" thickBot="1" x14ac:dyDescent="0.35">
      <c r="B48" s="234" t="s">
        <v>248</v>
      </c>
      <c r="C48" s="235">
        <v>20789</v>
      </c>
      <c r="D48" s="236">
        <v>2940</v>
      </c>
      <c r="E48" s="237">
        <v>45986</v>
      </c>
      <c r="F48" s="235" t="s">
        <v>236</v>
      </c>
      <c r="G48" s="320" t="s">
        <v>270</v>
      </c>
      <c r="H48" s="311">
        <v>0</v>
      </c>
      <c r="I48" s="311">
        <v>339.83</v>
      </c>
      <c r="J48" s="310">
        <v>46014</v>
      </c>
      <c r="K48" s="333">
        <v>46017</v>
      </c>
      <c r="L48" s="255">
        <v>339.82</v>
      </c>
      <c r="M48" s="239">
        <f>Tabela2246[[#This Row],[VENDA]]+Tabela2246[[#This Row],[MÃO DE OBRA]]-Tabela2246[[#This Row],[VALOR PAGO]]</f>
        <v>9.9999999999909051E-3</v>
      </c>
    </row>
    <row r="49" spans="1:13" ht="15" thickBot="1" x14ac:dyDescent="0.35">
      <c r="B49" s="241"/>
      <c r="C49" s="126"/>
      <c r="D49" s="126"/>
      <c r="E49" s="126"/>
      <c r="F49" s="253" t="s">
        <v>236</v>
      </c>
      <c r="G49" s="122" t="s">
        <v>270</v>
      </c>
      <c r="H49" s="252">
        <v>0</v>
      </c>
      <c r="I49" s="252">
        <v>339.82</v>
      </c>
      <c r="J49" s="125">
        <v>46021</v>
      </c>
      <c r="K49" s="335">
        <v>46043</v>
      </c>
      <c r="L49" s="358">
        <v>339.83</v>
      </c>
      <c r="M49" s="308">
        <f>Tabela2246[[#This Row],[VENDA]]+Tabela2246[[#This Row],[MÃO DE OBRA]]-Tabela2246[[#This Row],[VALOR PAGO]]</f>
        <v>-9.9999999999909051E-3</v>
      </c>
    </row>
    <row r="50" spans="1:13" ht="15" thickBot="1" x14ac:dyDescent="0.35">
      <c r="B50" s="303" t="s">
        <v>248</v>
      </c>
      <c r="C50" s="304">
        <v>20792</v>
      </c>
      <c r="D50" s="283">
        <v>2940</v>
      </c>
      <c r="E50" s="305">
        <v>45987</v>
      </c>
      <c r="F50" s="304" t="s">
        <v>236</v>
      </c>
      <c r="G50" s="306" t="s">
        <v>270</v>
      </c>
      <c r="H50" s="286">
        <v>0</v>
      </c>
      <c r="I50" s="286">
        <v>526.13</v>
      </c>
      <c r="J50" s="287">
        <v>46015</v>
      </c>
      <c r="K50" s="337">
        <v>46017</v>
      </c>
      <c r="L50" s="312">
        <v>526.12</v>
      </c>
      <c r="M50" s="308">
        <f>Tabela2246[[#This Row],[VENDA]]+Tabela2246[[#This Row],[MÃO DE OBRA]]-Tabela2246[[#This Row],[VALOR PAGO]]</f>
        <v>9.9999999999909051E-3</v>
      </c>
    </row>
    <row r="51" spans="1:13" ht="15" thickBot="1" x14ac:dyDescent="0.35">
      <c r="B51" s="303" t="s">
        <v>248</v>
      </c>
      <c r="C51" s="304">
        <v>20797</v>
      </c>
      <c r="D51" s="283">
        <v>2963</v>
      </c>
      <c r="E51" s="305">
        <v>45987</v>
      </c>
      <c r="F51" s="304" t="s">
        <v>236</v>
      </c>
      <c r="G51" s="306" t="s">
        <v>270</v>
      </c>
      <c r="H51" s="286">
        <v>0</v>
      </c>
      <c r="I51" s="286">
        <v>270.83</v>
      </c>
      <c r="J51" s="287">
        <v>46015</v>
      </c>
      <c r="K51" s="336">
        <v>46017</v>
      </c>
      <c r="L51" s="307">
        <v>270.82</v>
      </c>
      <c r="M51" s="308">
        <f>Tabela2246[[#This Row],[VENDA]]+Tabela2246[[#This Row],[MÃO DE OBRA]]-Tabela2246[[#This Row],[VALOR PAGO]]</f>
        <v>9.9999999999909051E-3</v>
      </c>
    </row>
    <row r="52" spans="1:13" ht="15" thickBot="1" x14ac:dyDescent="0.35">
      <c r="A52" s="106"/>
      <c r="B52" s="74" t="s">
        <v>249</v>
      </c>
      <c r="C52" s="86">
        <v>20809</v>
      </c>
      <c r="D52" s="8">
        <v>2965</v>
      </c>
      <c r="E52" s="240">
        <v>45988</v>
      </c>
      <c r="F52" s="86" t="s">
        <v>236</v>
      </c>
      <c r="G52" t="s">
        <v>275</v>
      </c>
      <c r="H52" s="248">
        <v>17519.133333333335</v>
      </c>
      <c r="I52" s="248">
        <v>0</v>
      </c>
      <c r="J52" s="80">
        <v>46016</v>
      </c>
      <c r="K52" s="328">
        <v>46036</v>
      </c>
      <c r="L52" s="238">
        <v>17519.13</v>
      </c>
      <c r="M52" s="302">
        <f>Tabela2246[[#This Row],[VENDA]]+Tabela2246[[#This Row],[MÃO DE OBRA]]-Tabela2246[[#This Row],[VALOR PAGO]]</f>
        <v>3.3333333340124227E-3</v>
      </c>
    </row>
    <row r="53" spans="1:13" ht="15" thickBot="1" x14ac:dyDescent="0.35">
      <c r="A53" s="106"/>
      <c r="B53" s="74"/>
      <c r="C53" s="8"/>
      <c r="D53" s="8"/>
      <c r="E53" s="8"/>
      <c r="F53" s="86" t="s">
        <v>236</v>
      </c>
      <c r="G53" t="s">
        <v>275</v>
      </c>
      <c r="H53" s="248">
        <v>17519.133333333335</v>
      </c>
      <c r="I53" s="248">
        <v>0</v>
      </c>
      <c r="J53" s="80">
        <v>45658</v>
      </c>
      <c r="K53" s="328">
        <v>46043</v>
      </c>
      <c r="L53" s="359">
        <v>17519.13</v>
      </c>
      <c r="M53" s="239">
        <f>Tabela2246[[#This Row],[VENDA]]+Tabela2246[[#This Row],[MÃO DE OBRA]]-Tabela2246[[#This Row],[VALOR PAGO]]</f>
        <v>3.3333333340124227E-3</v>
      </c>
    </row>
    <row r="54" spans="1:13" ht="15" thickBot="1" x14ac:dyDescent="0.35">
      <c r="A54" s="106"/>
      <c r="B54" s="243"/>
      <c r="C54" s="126"/>
      <c r="D54" s="126"/>
      <c r="E54" s="126"/>
      <c r="F54" s="253" t="s">
        <v>236</v>
      </c>
      <c r="G54" s="122" t="s">
        <v>275</v>
      </c>
      <c r="H54" s="252">
        <v>17519.133333333335</v>
      </c>
      <c r="I54" s="252">
        <v>0</v>
      </c>
      <c r="J54" s="125">
        <v>45665</v>
      </c>
      <c r="K54" s="254">
        <v>46050</v>
      </c>
      <c r="L54" s="358">
        <v>17519.13</v>
      </c>
      <c r="M54" s="239">
        <f>Tabela2246[[#This Row],[VENDA]]+Tabela2246[[#This Row],[MÃO DE OBRA]]-Tabela2246[[#This Row],[VALOR PAGO]]</f>
        <v>3.3333333340124227E-3</v>
      </c>
    </row>
    <row r="55" spans="1:13" ht="15" thickBot="1" x14ac:dyDescent="0.35">
      <c r="A55" s="106"/>
      <c r="B55" s="74" t="s">
        <v>249</v>
      </c>
      <c r="C55" s="86">
        <v>498</v>
      </c>
      <c r="D55" s="8">
        <v>452</v>
      </c>
      <c r="E55" s="240">
        <v>45988</v>
      </c>
      <c r="F55" s="86" t="s">
        <v>262</v>
      </c>
      <c r="G55" s="316" t="s">
        <v>272</v>
      </c>
      <c r="H55" s="98">
        <v>11156.25</v>
      </c>
      <c r="I55" s="98">
        <v>0</v>
      </c>
      <c r="J55" s="80">
        <v>46066</v>
      </c>
      <c r="K55" s="328">
        <v>46066</v>
      </c>
      <c r="L55" s="238">
        <v>11156.25</v>
      </c>
      <c r="M55" s="239">
        <f>Tabela2246[[#This Row],[VENDA]]+Tabela2246[[#This Row],[MÃO DE OBRA]]-Tabela2246[[#This Row],[VALOR PAGO]]</f>
        <v>0</v>
      </c>
    </row>
    <row r="56" spans="1:13" ht="15" thickBot="1" x14ac:dyDescent="0.35">
      <c r="A56" s="106"/>
      <c r="B56" s="74"/>
      <c r="E56" s="8"/>
      <c r="F56" s="86" t="s">
        <v>262</v>
      </c>
      <c r="G56" s="316" t="s">
        <v>272</v>
      </c>
      <c r="H56" s="98">
        <v>11153</v>
      </c>
      <c r="I56" s="98">
        <v>0</v>
      </c>
      <c r="J56" s="80">
        <v>45708</v>
      </c>
      <c r="K56" s="328">
        <v>46077</v>
      </c>
      <c r="L56" s="238">
        <v>11153</v>
      </c>
      <c r="M56" s="239">
        <f>Tabela2246[[#This Row],[VENDA]]+Tabela2246[[#This Row],[MÃO DE OBRA]]-Tabela2246[[#This Row],[VALOR PAGO]]</f>
        <v>0</v>
      </c>
    </row>
    <row r="57" spans="1:13" ht="18.600000000000001" thickBot="1" x14ac:dyDescent="0.4">
      <c r="A57" s="106"/>
      <c r="B57" s="74"/>
      <c r="C57" s="8"/>
      <c r="D57" s="357" t="s">
        <v>313</v>
      </c>
      <c r="E57" s="357"/>
      <c r="F57" s="86" t="s">
        <v>262</v>
      </c>
      <c r="G57" s="316" t="s">
        <v>272</v>
      </c>
      <c r="H57" s="98">
        <v>11153</v>
      </c>
      <c r="I57" s="98">
        <v>0</v>
      </c>
      <c r="J57" s="80">
        <v>45715</v>
      </c>
      <c r="K57" s="328">
        <v>46084</v>
      </c>
      <c r="L57" s="238">
        <v>11153</v>
      </c>
      <c r="M57" s="239">
        <f>Tabela2246[[#This Row],[VENDA]]+Tabela2246[[#This Row],[MÃO DE OBRA]]-Tabela2246[[#This Row],[VALOR PAGO]]</f>
        <v>0</v>
      </c>
    </row>
    <row r="58" spans="1:13" ht="15" thickBot="1" x14ac:dyDescent="0.35">
      <c r="A58" s="106"/>
      <c r="B58" s="74"/>
      <c r="C58" s="8"/>
      <c r="D58" s="8"/>
      <c r="E58" s="8"/>
      <c r="F58" s="86" t="s">
        <v>262</v>
      </c>
      <c r="G58" s="316" t="s">
        <v>272</v>
      </c>
      <c r="H58" s="98">
        <v>11153</v>
      </c>
      <c r="I58" s="98">
        <v>0</v>
      </c>
      <c r="J58" s="80">
        <v>45722</v>
      </c>
      <c r="K58" s="328">
        <v>46093</v>
      </c>
      <c r="L58" s="238">
        <v>11153</v>
      </c>
      <c r="M58" s="239">
        <f>Tabela2246[[#This Row],[VENDA]]+Tabela2246[[#This Row],[MÃO DE OBRA]]-Tabela2246[[#This Row],[VALOR PAGO]]</f>
        <v>0</v>
      </c>
    </row>
    <row r="59" spans="1:13" ht="15" thickBot="1" x14ac:dyDescent="0.35">
      <c r="A59" s="106"/>
      <c r="B59" s="74"/>
      <c r="C59" s="8"/>
      <c r="D59" s="8"/>
      <c r="E59" s="8"/>
      <c r="F59" s="86" t="s">
        <v>262</v>
      </c>
      <c r="G59" s="316" t="s">
        <v>272</v>
      </c>
      <c r="H59" s="98">
        <v>11153</v>
      </c>
      <c r="I59" s="98">
        <v>0</v>
      </c>
      <c r="J59" s="80">
        <v>45729</v>
      </c>
      <c r="K59" s="328">
        <v>46098</v>
      </c>
      <c r="L59" s="238">
        <v>11153</v>
      </c>
      <c r="M59" s="239">
        <f>Tabela2246[[#This Row],[VENDA]]+Tabela2246[[#This Row],[MÃO DE OBRA]]-Tabela2246[[#This Row],[VALOR PAGO]]</f>
        <v>0</v>
      </c>
    </row>
    <row r="60" spans="1:13" ht="15" thickBot="1" x14ac:dyDescent="0.35">
      <c r="A60" s="106"/>
      <c r="B60" s="108"/>
      <c r="C60" s="99"/>
      <c r="D60" s="122"/>
      <c r="E60" s="103"/>
      <c r="F60" s="244" t="s">
        <v>262</v>
      </c>
      <c r="G60" s="317" t="s">
        <v>272</v>
      </c>
      <c r="H60" s="101">
        <v>11153</v>
      </c>
      <c r="I60" s="101">
        <v>0</v>
      </c>
      <c r="J60" s="102">
        <v>45736</v>
      </c>
      <c r="K60" s="334">
        <v>46106</v>
      </c>
      <c r="L60" s="242">
        <v>11153</v>
      </c>
      <c r="M60" s="239">
        <f>Tabela2246[[#This Row],[VENDA]]+Tabela2246[[#This Row],[MÃO DE OBRA]]-Tabela2246[[#This Row],[VALOR PAGO]]</f>
        <v>0</v>
      </c>
    </row>
    <row r="61" spans="1:13" ht="15" thickBot="1" x14ac:dyDescent="0.35">
      <c r="A61" s="106"/>
      <c r="B61" s="74" t="s">
        <v>249</v>
      </c>
      <c r="C61" s="86">
        <v>499</v>
      </c>
      <c r="D61" s="8">
        <v>467</v>
      </c>
      <c r="E61" s="240">
        <v>45988</v>
      </c>
      <c r="F61" s="86" t="s">
        <v>262</v>
      </c>
      <c r="G61" s="316" t="s">
        <v>272</v>
      </c>
      <c r="H61" s="248">
        <v>5040</v>
      </c>
      <c r="I61" s="248">
        <v>0</v>
      </c>
      <c r="J61" s="80">
        <v>46066</v>
      </c>
      <c r="K61" s="328">
        <v>46066</v>
      </c>
      <c r="L61" s="238">
        <v>5040</v>
      </c>
      <c r="M61" s="239">
        <f>Tabela2246[[#This Row],[VENDA]]+Tabela2246[[#This Row],[MÃO DE OBRA]]-Tabela2246[[#This Row],[VALOR PAGO]]</f>
        <v>0</v>
      </c>
    </row>
    <row r="62" spans="1:13" ht="15" thickBot="1" x14ac:dyDescent="0.35">
      <c r="A62" s="106"/>
      <c r="B62" s="74"/>
      <c r="C62" s="86"/>
      <c r="D62" s="8"/>
      <c r="E62" s="240"/>
      <c r="F62" s="86" t="s">
        <v>262</v>
      </c>
      <c r="G62" s="316" t="s">
        <v>272</v>
      </c>
      <c r="H62" s="248">
        <v>5037</v>
      </c>
      <c r="I62" s="248">
        <v>0</v>
      </c>
      <c r="J62" s="80">
        <v>45708</v>
      </c>
      <c r="K62" s="328">
        <v>46077</v>
      </c>
      <c r="L62" s="238">
        <v>5037</v>
      </c>
      <c r="M62" s="239">
        <f>Tabela2246[[#This Row],[VENDA]]+Tabela2246[[#This Row],[MÃO DE OBRA]]-Tabela2246[[#This Row],[VALOR PAGO]]</f>
        <v>0</v>
      </c>
    </row>
    <row r="63" spans="1:13" ht="18.600000000000001" thickBot="1" x14ac:dyDescent="0.4">
      <c r="A63" s="106"/>
      <c r="B63" s="74"/>
      <c r="C63" s="86"/>
      <c r="D63" s="357" t="s">
        <v>313</v>
      </c>
      <c r="E63" s="240"/>
      <c r="F63" s="86" t="s">
        <v>262</v>
      </c>
      <c r="G63" s="316" t="s">
        <v>272</v>
      </c>
      <c r="H63" s="248">
        <v>5037</v>
      </c>
      <c r="I63" s="248">
        <v>0</v>
      </c>
      <c r="J63" s="80">
        <v>45715</v>
      </c>
      <c r="K63" s="328">
        <v>46084</v>
      </c>
      <c r="L63" s="238">
        <v>5037</v>
      </c>
      <c r="M63" s="239">
        <f>Tabela2246[[#This Row],[VENDA]]+Tabela2246[[#This Row],[MÃO DE OBRA]]-Tabela2246[[#This Row],[VALOR PAGO]]</f>
        <v>0</v>
      </c>
    </row>
    <row r="64" spans="1:13" ht="15" thickBot="1" x14ac:dyDescent="0.35">
      <c r="A64" s="106"/>
      <c r="B64" s="74"/>
      <c r="C64" s="86"/>
      <c r="D64" s="8"/>
      <c r="E64" s="240"/>
      <c r="F64" s="86" t="s">
        <v>262</v>
      </c>
      <c r="G64" s="316" t="s">
        <v>272</v>
      </c>
      <c r="H64" s="248">
        <v>5037</v>
      </c>
      <c r="I64" s="248">
        <v>0</v>
      </c>
      <c r="J64" s="80">
        <v>45722</v>
      </c>
      <c r="K64" s="328">
        <v>46093</v>
      </c>
      <c r="L64" s="238">
        <v>5037</v>
      </c>
      <c r="M64" s="239">
        <f>Tabela2246[[#This Row],[VENDA]]+Tabela2246[[#This Row],[MÃO DE OBRA]]-Tabela2246[[#This Row],[VALOR PAGO]]</f>
        <v>0</v>
      </c>
    </row>
    <row r="65" spans="1:13" ht="15" thickBot="1" x14ac:dyDescent="0.35">
      <c r="A65" s="106"/>
      <c r="B65" s="74"/>
      <c r="C65" s="8"/>
      <c r="D65" s="8"/>
      <c r="E65" s="8"/>
      <c r="F65" s="86" t="s">
        <v>262</v>
      </c>
      <c r="G65" s="316" t="s">
        <v>272</v>
      </c>
      <c r="H65" s="248">
        <v>5037</v>
      </c>
      <c r="I65" s="248">
        <v>0</v>
      </c>
      <c r="J65" s="80">
        <v>45729</v>
      </c>
      <c r="K65" s="328">
        <v>46098</v>
      </c>
      <c r="L65" s="238">
        <v>5037</v>
      </c>
      <c r="M65" s="239">
        <f>Tabela2246[[#This Row],[VENDA]]+Tabela2246[[#This Row],[MÃO DE OBRA]]-Tabela2246[[#This Row],[VALOR PAGO]]</f>
        <v>0</v>
      </c>
    </row>
    <row r="66" spans="1:13" ht="15" thickBot="1" x14ac:dyDescent="0.35">
      <c r="A66" s="106"/>
      <c r="B66" s="243"/>
      <c r="C66" s="126"/>
      <c r="D66" s="126"/>
      <c r="E66" s="126"/>
      <c r="F66" s="253" t="s">
        <v>262</v>
      </c>
      <c r="G66" s="319" t="s">
        <v>272</v>
      </c>
      <c r="H66" s="252">
        <v>5037</v>
      </c>
      <c r="I66" s="252">
        <v>0</v>
      </c>
      <c r="J66" s="102">
        <v>45736</v>
      </c>
      <c r="K66" s="335">
        <v>46106</v>
      </c>
      <c r="L66" s="247">
        <v>5037</v>
      </c>
      <c r="M66" s="239">
        <f>Tabela2246[[#This Row],[VENDA]]+Tabela2246[[#This Row],[MÃO DE OBRA]]-Tabela2246[[#This Row],[VALOR PAGO]]</f>
        <v>0</v>
      </c>
    </row>
    <row r="67" spans="1:13" ht="15" thickBot="1" x14ac:dyDescent="0.35">
      <c r="A67" s="106"/>
      <c r="B67" s="74" t="s">
        <v>249</v>
      </c>
      <c r="C67" s="86">
        <v>500</v>
      </c>
      <c r="D67" s="8">
        <v>468</v>
      </c>
      <c r="E67" s="240">
        <v>45988</v>
      </c>
      <c r="F67" s="86" t="s">
        <v>262</v>
      </c>
      <c r="G67" s="316" t="s">
        <v>272</v>
      </c>
      <c r="H67" s="248">
        <v>14845.25</v>
      </c>
      <c r="I67" s="248">
        <v>0</v>
      </c>
      <c r="J67" s="80">
        <v>46066</v>
      </c>
      <c r="K67" s="328">
        <v>46066</v>
      </c>
      <c r="L67" s="238">
        <v>14845.25</v>
      </c>
      <c r="M67" s="239">
        <f>Tabela2246[[#This Row],[VENDA]]+Tabela2246[[#This Row],[MÃO DE OBRA]]-Tabela2246[[#This Row],[VALOR PAGO]]</f>
        <v>0</v>
      </c>
    </row>
    <row r="68" spans="1:13" ht="15" thickBot="1" x14ac:dyDescent="0.35">
      <c r="A68" s="106"/>
      <c r="B68" s="74"/>
      <c r="C68" s="86"/>
      <c r="D68" s="8"/>
      <c r="E68" s="240"/>
      <c r="F68" s="86" t="s">
        <v>262</v>
      </c>
      <c r="G68" s="316" t="s">
        <v>272</v>
      </c>
      <c r="H68" s="248">
        <v>14842</v>
      </c>
      <c r="I68" s="248">
        <v>0</v>
      </c>
      <c r="J68" s="80">
        <v>45708</v>
      </c>
      <c r="K68" s="328">
        <v>46077</v>
      </c>
      <c r="L68" s="238">
        <v>14842</v>
      </c>
      <c r="M68" s="239">
        <f>Tabela2246[[#This Row],[VENDA]]+Tabela2246[[#This Row],[MÃO DE OBRA]]-Tabela2246[[#This Row],[VALOR PAGO]]</f>
        <v>0</v>
      </c>
    </row>
    <row r="69" spans="1:13" ht="18.600000000000001" thickBot="1" x14ac:dyDescent="0.4">
      <c r="A69" s="106"/>
      <c r="B69" s="74"/>
      <c r="C69" s="86"/>
      <c r="D69" s="357" t="s">
        <v>313</v>
      </c>
      <c r="E69" s="240"/>
      <c r="F69" s="86" t="s">
        <v>262</v>
      </c>
      <c r="G69" s="316" t="s">
        <v>272</v>
      </c>
      <c r="H69" s="248">
        <v>14842</v>
      </c>
      <c r="I69" s="248">
        <v>0</v>
      </c>
      <c r="J69" s="80">
        <v>45715</v>
      </c>
      <c r="K69" s="328">
        <v>46084</v>
      </c>
      <c r="L69" s="238">
        <v>14842</v>
      </c>
      <c r="M69" s="239">
        <f>Tabela2246[[#This Row],[VENDA]]+Tabela2246[[#This Row],[MÃO DE OBRA]]-Tabela2246[[#This Row],[VALOR PAGO]]</f>
        <v>0</v>
      </c>
    </row>
    <row r="70" spans="1:13" ht="15" thickBot="1" x14ac:dyDescent="0.35">
      <c r="A70" s="106"/>
      <c r="B70" s="74"/>
      <c r="C70" s="86"/>
      <c r="D70" s="8"/>
      <c r="E70" s="240"/>
      <c r="F70" s="86" t="s">
        <v>262</v>
      </c>
      <c r="G70" s="316" t="s">
        <v>272</v>
      </c>
      <c r="H70" s="248">
        <v>14842</v>
      </c>
      <c r="I70" s="248">
        <v>0</v>
      </c>
      <c r="J70" s="80">
        <v>45722</v>
      </c>
      <c r="K70" s="328">
        <v>46093</v>
      </c>
      <c r="L70" s="238">
        <v>14842</v>
      </c>
      <c r="M70" s="239">
        <f>Tabela2246[[#This Row],[VENDA]]+Tabela2246[[#This Row],[MÃO DE OBRA]]-Tabela2246[[#This Row],[VALOR PAGO]]</f>
        <v>0</v>
      </c>
    </row>
    <row r="71" spans="1:13" ht="15" thickBot="1" x14ac:dyDescent="0.35">
      <c r="A71" s="106"/>
      <c r="B71" s="74"/>
      <c r="C71" s="8"/>
      <c r="D71" s="8"/>
      <c r="E71" s="8"/>
      <c r="F71" s="86" t="s">
        <v>262</v>
      </c>
      <c r="G71" s="316" t="s">
        <v>272</v>
      </c>
      <c r="H71" s="248">
        <v>14842</v>
      </c>
      <c r="I71" s="248">
        <v>0</v>
      </c>
      <c r="J71" s="80">
        <v>45729</v>
      </c>
      <c r="K71" s="328">
        <v>46098</v>
      </c>
      <c r="L71" s="238">
        <v>14842</v>
      </c>
      <c r="M71" s="239">
        <f>Tabela2246[[#This Row],[VENDA]]+Tabela2246[[#This Row],[MÃO DE OBRA]]-Tabela2246[[#This Row],[VALOR PAGO]]</f>
        <v>0</v>
      </c>
    </row>
    <row r="72" spans="1:13" ht="15" thickBot="1" x14ac:dyDescent="0.35">
      <c r="A72" s="106"/>
      <c r="B72" s="74"/>
      <c r="C72" s="8"/>
      <c r="D72" s="8"/>
      <c r="E72" s="8"/>
      <c r="F72" s="86" t="s">
        <v>262</v>
      </c>
      <c r="G72" s="316" t="s">
        <v>272</v>
      </c>
      <c r="H72" s="248">
        <v>14842</v>
      </c>
      <c r="I72" s="248">
        <v>0</v>
      </c>
      <c r="J72" s="80">
        <v>45736</v>
      </c>
      <c r="K72" s="328">
        <v>46106</v>
      </c>
      <c r="L72" s="238">
        <v>14842</v>
      </c>
      <c r="M72" s="239">
        <f>Tabela2246[[#This Row],[VENDA]]+Tabela2246[[#This Row],[MÃO DE OBRA]]-Tabela2246[[#This Row],[VALOR PAGO]]</f>
        <v>0</v>
      </c>
    </row>
    <row r="73" spans="1:13" ht="15" thickBot="1" x14ac:dyDescent="0.35">
      <c r="B73" s="303" t="s">
        <v>249</v>
      </c>
      <c r="C73" s="304">
        <v>20788</v>
      </c>
      <c r="D73" s="283">
        <v>2993</v>
      </c>
      <c r="E73" s="305">
        <v>45986</v>
      </c>
      <c r="F73" s="304" t="s">
        <v>254</v>
      </c>
      <c r="G73" s="306" t="s">
        <v>271</v>
      </c>
      <c r="H73" s="286">
        <f>154*11.97</f>
        <v>1843.38</v>
      </c>
      <c r="I73" s="286">
        <v>0</v>
      </c>
      <c r="J73" s="287">
        <v>45986</v>
      </c>
      <c r="K73" s="305">
        <v>45993</v>
      </c>
      <c r="L73" s="307">
        <v>1843.38</v>
      </c>
      <c r="M73" s="308">
        <f>Tabela2246[[#This Row],[VENDA]]+Tabela2246[[#This Row],[MÃO DE OBRA]]-Tabela2246[[#This Row],[VALOR PAGO]]</f>
        <v>0</v>
      </c>
    </row>
    <row r="74" spans="1:13" ht="15" thickBot="1" x14ac:dyDescent="0.35">
      <c r="A74" s="106"/>
      <c r="B74" s="74" t="s">
        <v>248</v>
      </c>
      <c r="C74" s="86">
        <v>20843</v>
      </c>
      <c r="D74" s="8">
        <v>3002</v>
      </c>
      <c r="E74" s="240">
        <v>45989</v>
      </c>
      <c r="F74" s="86" t="s">
        <v>236</v>
      </c>
      <c r="G74" t="s">
        <v>270</v>
      </c>
      <c r="H74" s="98">
        <v>0</v>
      </c>
      <c r="I74" s="98">
        <v>1453.03</v>
      </c>
      <c r="J74" s="80">
        <v>46017</v>
      </c>
      <c r="K74" s="328">
        <v>46043</v>
      </c>
      <c r="L74" s="359">
        <v>1453.02</v>
      </c>
      <c r="M74" s="302">
        <f>Tabela2246[[#This Row],[VENDA]]+Tabela2246[[#This Row],[MÃO DE OBRA]]-Tabela2246[[#This Row],[VALOR PAGO]]</f>
        <v>9.9999999999909051E-3</v>
      </c>
    </row>
    <row r="75" spans="1:13" ht="15" thickBot="1" x14ac:dyDescent="0.35">
      <c r="A75" s="106"/>
      <c r="B75" s="74"/>
      <c r="E75" s="8"/>
      <c r="F75" s="86" t="s">
        <v>236</v>
      </c>
      <c r="G75" t="s">
        <v>270</v>
      </c>
      <c r="H75" s="98">
        <v>0</v>
      </c>
      <c r="I75" s="98">
        <v>1453.03</v>
      </c>
      <c r="J75" s="80">
        <v>45659</v>
      </c>
      <c r="K75" s="328">
        <v>46043</v>
      </c>
      <c r="L75" s="359">
        <v>1453.02</v>
      </c>
      <c r="M75" s="239">
        <f>Tabela2246[[#This Row],[VENDA]]+Tabela2246[[#This Row],[MÃO DE OBRA]]-Tabela2246[[#This Row],[VALOR PAGO]]</f>
        <v>9.9999999999909051E-3</v>
      </c>
    </row>
    <row r="76" spans="1:13" ht="15" thickBot="1" x14ac:dyDescent="0.35">
      <c r="A76" s="106"/>
      <c r="B76" s="108"/>
      <c r="C76" s="99"/>
      <c r="D76" s="122"/>
      <c r="E76" s="103"/>
      <c r="F76" s="244" t="s">
        <v>236</v>
      </c>
      <c r="G76" s="99" t="s">
        <v>270</v>
      </c>
      <c r="H76" s="101">
        <v>0</v>
      </c>
      <c r="I76" s="101">
        <v>1453.02</v>
      </c>
      <c r="J76" s="102">
        <v>45666</v>
      </c>
      <c r="K76" s="335">
        <v>46050</v>
      </c>
      <c r="L76" s="358">
        <v>1453.03</v>
      </c>
      <c r="M76" s="239">
        <f>Tabela2246[[#This Row],[VENDA]]+Tabela2246[[#This Row],[MÃO DE OBRA]]-Tabela2246[[#This Row],[VALOR PAGO]]</f>
        <v>-9.9999999999909051E-3</v>
      </c>
    </row>
    <row r="77" spans="1:13" ht="13.8" customHeight="1" thickBot="1" x14ac:dyDescent="0.35">
      <c r="B77" s="92"/>
      <c r="C77" s="8" t="s">
        <v>256</v>
      </c>
      <c r="D77" s="8"/>
      <c r="E77" s="8"/>
      <c r="F77" s="8"/>
      <c r="G77" s="8"/>
      <c r="H77" s="256">
        <f>SUM(H21:H76)</f>
        <v>369837.83</v>
      </c>
      <c r="I77" s="257">
        <f>SUM(I21:I76)</f>
        <v>11852.53</v>
      </c>
      <c r="J77" s="80"/>
      <c r="K77" s="8"/>
      <c r="L77" s="258">
        <f>SUM(L21:L76)</f>
        <v>381690.24000000011</v>
      </c>
      <c r="M77" s="259">
        <f>SUM(M21:M76)</f>
        <v>0.12000000000392674</v>
      </c>
    </row>
    <row r="78" spans="1:13" ht="18.600000000000001" thickBot="1" x14ac:dyDescent="0.4">
      <c r="B78" s="660" t="s">
        <v>257</v>
      </c>
      <c r="C78" s="661"/>
      <c r="D78" s="260">
        <f>Tabela2246[[#Totals],[VENDA]]</f>
        <v>369837.83</v>
      </c>
      <c r="E78" s="261"/>
      <c r="F78" s="261"/>
      <c r="G78" s="262"/>
      <c r="H78" s="263"/>
      <c r="I78" s="264"/>
      <c r="J78" s="261"/>
      <c r="K78" s="261"/>
      <c r="L78" s="261"/>
      <c r="M78" s="265"/>
    </row>
    <row r="79" spans="1:13" ht="18.600000000000001" thickBot="1" x14ac:dyDescent="0.4">
      <c r="B79" s="662" t="s">
        <v>258</v>
      </c>
      <c r="C79" s="663"/>
      <c r="D79" s="266">
        <f>Tabela2246[[#Totals],[MÃO DE OBRA]]</f>
        <v>11852.53</v>
      </c>
      <c r="E79" s="267"/>
      <c r="F79" s="267"/>
      <c r="G79" s="268"/>
      <c r="H79" s="269"/>
      <c r="I79" s="270"/>
      <c r="J79" s="267"/>
      <c r="K79" s="267"/>
      <c r="L79" s="267"/>
      <c r="M79" s="271"/>
    </row>
    <row r="80" spans="1:13" ht="19.8" customHeight="1" thickBot="1" x14ac:dyDescent="0.45">
      <c r="A80" s="106"/>
      <c r="B80" s="272" t="s">
        <v>259</v>
      </c>
      <c r="C80" s="664">
        <f>SUM(D78+D79)</f>
        <v>381690.36000000004</v>
      </c>
      <c r="D80" s="665"/>
      <c r="E80" s="273"/>
      <c r="F80" s="666" t="s">
        <v>260</v>
      </c>
      <c r="G80" s="666"/>
      <c r="H80" s="642">
        <f>Tabela2246[[#Totals],[VALOR PAGO]]</f>
        <v>381690.24000000011</v>
      </c>
      <c r="I80" s="642"/>
      <c r="J80" s="666" t="s">
        <v>261</v>
      </c>
      <c r="K80" s="666"/>
      <c r="L80" s="642">
        <f>Tabela2246[[#Totals],[VALOR EM ABERTO]]</f>
        <v>0.12000000000392674</v>
      </c>
      <c r="M80" s="643"/>
    </row>
  </sheetData>
  <mergeCells count="12">
    <mergeCell ref="L80:M80"/>
    <mergeCell ref="B2:M3"/>
    <mergeCell ref="B4:B5"/>
    <mergeCell ref="C4:G4"/>
    <mergeCell ref="H4:M4"/>
    <mergeCell ref="B19:C19"/>
    <mergeCell ref="B78:C78"/>
    <mergeCell ref="B79:C79"/>
    <mergeCell ref="C80:D80"/>
    <mergeCell ref="F80:G80"/>
    <mergeCell ref="H80:I80"/>
    <mergeCell ref="J80:K80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3BB5-5ED1-4DD8-8FD2-A90F59415C55}">
  <dimension ref="A1:T54"/>
  <sheetViews>
    <sheetView showGridLines="0" topLeftCell="A3" zoomScale="110" zoomScaleNormal="110" workbookViewId="0">
      <selection activeCell="L51" sqref="L51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5.88671875" customWidth="1"/>
    <col min="7" max="10" width="14.77734375" customWidth="1"/>
    <col min="11" max="11" width="15.77734375" customWidth="1"/>
    <col min="12" max="13" width="14.77734375" customWidth="1"/>
    <col min="14" max="14" width="96.77734375" bestFit="1" customWidth="1"/>
  </cols>
  <sheetData>
    <row r="1" spans="1:20" ht="16.8" customHeight="1" thickBot="1" x14ac:dyDescent="0.35"/>
    <row r="2" spans="1:20" ht="14.4" customHeight="1" x14ac:dyDescent="0.5">
      <c r="A2" s="54"/>
      <c r="B2" s="644" t="s">
        <v>239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6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47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52" t="s">
        <v>248</v>
      </c>
      <c r="D4" s="653"/>
      <c r="E4" s="653"/>
      <c r="F4" s="653"/>
      <c r="G4" s="654"/>
      <c r="H4" s="655" t="s">
        <v>249</v>
      </c>
      <c r="I4" s="656"/>
      <c r="J4" s="656"/>
      <c r="K4" s="656"/>
      <c r="L4" s="656"/>
      <c r="M4" s="657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202">
        <v>126073.37</v>
      </c>
      <c r="D6" s="203">
        <v>270562.53000000003</v>
      </c>
      <c r="E6" s="204">
        <v>49887.66</v>
      </c>
      <c r="F6" s="203">
        <v>0</v>
      </c>
      <c r="G6" s="205">
        <v>0</v>
      </c>
      <c r="H6" s="203">
        <v>0</v>
      </c>
      <c r="I6" s="205">
        <v>0</v>
      </c>
      <c r="J6" s="203">
        <v>0</v>
      </c>
      <c r="K6" s="205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209">
        <v>166235.96</v>
      </c>
      <c r="D7" s="210">
        <v>324984.96999999997</v>
      </c>
      <c r="E7" s="211">
        <v>15513.83</v>
      </c>
      <c r="F7" s="210">
        <v>0</v>
      </c>
      <c r="G7" s="212">
        <v>0</v>
      </c>
      <c r="H7" s="210">
        <v>0</v>
      </c>
      <c r="I7" s="212">
        <v>0</v>
      </c>
      <c r="J7" s="210">
        <v>0</v>
      </c>
      <c r="K7" s="212">
        <v>0</v>
      </c>
      <c r="L7" s="210">
        <v>0</v>
      </c>
      <c r="M7" s="212">
        <v>0</v>
      </c>
    </row>
    <row r="8" spans="1:20" ht="12" customHeight="1" x14ac:dyDescent="0.3">
      <c r="A8" s="54"/>
      <c r="B8" s="201" t="s">
        <v>216</v>
      </c>
      <c r="C8" s="202">
        <v>119814.85</v>
      </c>
      <c r="D8" s="203">
        <v>256001.57</v>
      </c>
      <c r="E8" s="213">
        <v>32410.22</v>
      </c>
      <c r="F8" s="203">
        <v>0</v>
      </c>
      <c r="G8" s="205">
        <v>0</v>
      </c>
      <c r="H8" s="203">
        <v>0</v>
      </c>
      <c r="I8" s="205">
        <v>0</v>
      </c>
      <c r="J8" s="203">
        <v>0</v>
      </c>
      <c r="K8" s="205">
        <v>0</v>
      </c>
      <c r="L8" s="203">
        <v>0</v>
      </c>
      <c r="M8" s="205">
        <v>0</v>
      </c>
    </row>
    <row r="9" spans="1:20" ht="12" customHeight="1" x14ac:dyDescent="0.3">
      <c r="A9" s="54"/>
      <c r="B9" s="208" t="s">
        <v>217</v>
      </c>
      <c r="C9" s="209">
        <v>112668.22</v>
      </c>
      <c r="D9" s="210">
        <v>136419.94</v>
      </c>
      <c r="E9" s="211">
        <v>23117.53</v>
      </c>
      <c r="F9" s="210">
        <v>0</v>
      </c>
      <c r="G9" s="212">
        <v>0</v>
      </c>
      <c r="H9" s="210">
        <v>0</v>
      </c>
      <c r="I9" s="212">
        <v>0</v>
      </c>
      <c r="J9" s="210">
        <v>0</v>
      </c>
      <c r="K9" s="212">
        <v>0</v>
      </c>
      <c r="L9" s="210">
        <v>0</v>
      </c>
      <c r="M9" s="212">
        <v>0</v>
      </c>
    </row>
    <row r="10" spans="1:20" ht="12" customHeight="1" x14ac:dyDescent="0.3">
      <c r="A10" s="54"/>
      <c r="B10" s="201" t="s">
        <v>218</v>
      </c>
      <c r="C10" s="202">
        <v>39597.94</v>
      </c>
      <c r="D10" s="203">
        <v>57014.400000000001</v>
      </c>
      <c r="E10" s="213">
        <v>11710.4</v>
      </c>
      <c r="F10" s="203">
        <v>0</v>
      </c>
      <c r="G10" s="205">
        <v>0</v>
      </c>
      <c r="H10" s="203">
        <v>0</v>
      </c>
      <c r="I10" s="205">
        <v>0</v>
      </c>
      <c r="J10" s="203">
        <v>0</v>
      </c>
      <c r="K10" s="205">
        <v>0</v>
      </c>
      <c r="L10" s="203">
        <v>0</v>
      </c>
      <c r="M10" s="205">
        <v>0</v>
      </c>
    </row>
    <row r="11" spans="1:20" ht="12" customHeight="1" x14ac:dyDescent="0.3">
      <c r="A11" s="54"/>
      <c r="B11" s="208" t="s">
        <v>219</v>
      </c>
      <c r="C11" s="209">
        <v>77419.240000000005</v>
      </c>
      <c r="D11" s="210">
        <v>259261.92</v>
      </c>
      <c r="E11" s="211">
        <v>32986.86</v>
      </c>
      <c r="F11" s="210">
        <v>0</v>
      </c>
      <c r="G11" s="212">
        <v>0</v>
      </c>
      <c r="H11" s="210">
        <v>0</v>
      </c>
      <c r="I11" s="212">
        <v>0</v>
      </c>
      <c r="J11" s="210">
        <v>0</v>
      </c>
      <c r="K11" s="212">
        <v>0</v>
      </c>
      <c r="L11" s="210">
        <v>0</v>
      </c>
      <c r="M11" s="212">
        <v>0</v>
      </c>
    </row>
    <row r="12" spans="1:20" ht="12" customHeight="1" x14ac:dyDescent="0.3">
      <c r="A12" s="54"/>
      <c r="B12" s="201" t="s">
        <v>220</v>
      </c>
      <c r="C12" s="202">
        <v>74963.62</v>
      </c>
      <c r="D12" s="203">
        <v>191964.91</v>
      </c>
      <c r="E12" s="213">
        <v>8086.81</v>
      </c>
      <c r="F12" s="203">
        <v>0</v>
      </c>
      <c r="G12" s="205">
        <v>0</v>
      </c>
      <c r="H12" s="203">
        <v>0</v>
      </c>
      <c r="I12" s="205">
        <v>0</v>
      </c>
      <c r="J12" s="203">
        <v>0</v>
      </c>
      <c r="K12" s="205">
        <v>0</v>
      </c>
      <c r="L12" s="203">
        <v>0</v>
      </c>
      <c r="M12" s="205">
        <v>0</v>
      </c>
    </row>
    <row r="13" spans="1:20" ht="12" customHeight="1" x14ac:dyDescent="0.3">
      <c r="A13" s="54"/>
      <c r="B13" s="208" t="s">
        <v>221</v>
      </c>
      <c r="C13" s="209">
        <v>152485.66</v>
      </c>
      <c r="D13" s="210">
        <v>273158.84999999998</v>
      </c>
      <c r="E13" s="211">
        <v>22122.22</v>
      </c>
      <c r="F13" s="210">
        <v>0</v>
      </c>
      <c r="G13" s="212">
        <v>0</v>
      </c>
      <c r="H13" s="210">
        <v>0</v>
      </c>
      <c r="I13" s="212">
        <v>0</v>
      </c>
      <c r="J13" s="210">
        <v>0</v>
      </c>
      <c r="K13" s="212">
        <v>0</v>
      </c>
      <c r="L13" s="210">
        <v>0</v>
      </c>
      <c r="M13" s="212">
        <v>0</v>
      </c>
    </row>
    <row r="14" spans="1:20" ht="12" customHeight="1" x14ac:dyDescent="0.3">
      <c r="A14" s="54"/>
      <c r="B14" s="201" t="s">
        <v>211</v>
      </c>
      <c r="C14" s="202">
        <v>171282.48</v>
      </c>
      <c r="D14" s="203">
        <v>63159.51</v>
      </c>
      <c r="E14" s="213">
        <v>36466.42</v>
      </c>
      <c r="F14" s="203">
        <v>0</v>
      </c>
      <c r="G14" s="205">
        <v>0</v>
      </c>
      <c r="H14" s="203">
        <v>0</v>
      </c>
      <c r="I14" s="205">
        <v>0</v>
      </c>
      <c r="J14" s="203">
        <v>0</v>
      </c>
      <c r="K14" s="205">
        <v>0</v>
      </c>
      <c r="L14" s="203">
        <v>0</v>
      </c>
      <c r="M14" s="205">
        <v>0</v>
      </c>
    </row>
    <row r="15" spans="1:20" ht="12" customHeight="1" x14ac:dyDescent="0.3">
      <c r="A15" s="54"/>
      <c r="B15" s="208" t="s">
        <v>222</v>
      </c>
      <c r="C15" s="209">
        <v>168433.06</v>
      </c>
      <c r="D15" s="210">
        <v>53077.38</v>
      </c>
      <c r="E15" s="211">
        <v>99828</v>
      </c>
      <c r="F15" s="210">
        <v>0</v>
      </c>
      <c r="G15" s="212">
        <v>0</v>
      </c>
      <c r="H15" s="210">
        <v>1595.6</v>
      </c>
      <c r="I15" s="212">
        <v>0</v>
      </c>
      <c r="J15" s="210">
        <v>0</v>
      </c>
      <c r="K15" s="212">
        <v>0</v>
      </c>
      <c r="L15" s="210">
        <v>0</v>
      </c>
      <c r="M15" s="212">
        <v>0</v>
      </c>
    </row>
    <row r="16" spans="1:20" ht="12" customHeight="1" x14ac:dyDescent="0.3">
      <c r="A16" s="54"/>
      <c r="B16" s="201" t="s">
        <v>212</v>
      </c>
      <c r="C16" s="202">
        <v>155757.68</v>
      </c>
      <c r="D16" s="203">
        <v>15517.44</v>
      </c>
      <c r="E16" s="213">
        <f>Tabela2246[[#Totals],[VENDA]]+Tabela2246[[#Totals],[MÃO DE OBRA]]</f>
        <v>381690.36000000004</v>
      </c>
      <c r="F16" s="203">
        <v>0</v>
      </c>
      <c r="G16" s="205">
        <v>0</v>
      </c>
      <c r="H16" s="203">
        <v>0</v>
      </c>
      <c r="I16" s="205">
        <v>0</v>
      </c>
      <c r="J16" s="203">
        <v>0</v>
      </c>
      <c r="K16" s="205">
        <v>0</v>
      </c>
      <c r="L16" s="203">
        <v>0</v>
      </c>
      <c r="M16" s="205">
        <v>0</v>
      </c>
    </row>
    <row r="17" spans="1:14" ht="12" customHeight="1" thickBot="1" x14ac:dyDescent="0.35">
      <c r="A17" s="54"/>
      <c r="B17" s="214" t="s">
        <v>213</v>
      </c>
      <c r="C17" s="215">
        <v>163379.07999999999</v>
      </c>
      <c r="D17" s="215">
        <v>9580.01</v>
      </c>
      <c r="E17" s="215">
        <f>Tabela22465[[#Totals],[VENDA]]+Tabela22465[[#Totals],[MÃO DE OBRA]]</f>
        <v>148680.26</v>
      </c>
      <c r="F17" s="216">
        <v>0</v>
      </c>
      <c r="G17" s="216">
        <v>0</v>
      </c>
      <c r="H17" s="216">
        <v>0</v>
      </c>
      <c r="I17" s="217">
        <v>0</v>
      </c>
      <c r="J17" s="216">
        <v>0</v>
      </c>
      <c r="K17" s="217">
        <v>0</v>
      </c>
      <c r="L17" s="216">
        <v>0</v>
      </c>
      <c r="M17" s="216">
        <v>0</v>
      </c>
    </row>
    <row r="18" spans="1:14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862500.57000000007</v>
      </c>
      <c r="F18" s="221">
        <f>SUM(F6:F17)</f>
        <v>0</v>
      </c>
      <c r="G18" s="222">
        <v>0</v>
      </c>
      <c r="H18" s="221">
        <f>SUM(H6:H17)</f>
        <v>1595.6</v>
      </c>
      <c r="I18" s="222">
        <v>0</v>
      </c>
      <c r="J18" s="223">
        <f>SUM(J6:J17)</f>
        <v>0</v>
      </c>
      <c r="K18" s="224">
        <v>0</v>
      </c>
      <c r="L18" s="225">
        <f>SUM(L6:L17)</f>
        <v>0</v>
      </c>
      <c r="M18" s="222">
        <v>0</v>
      </c>
    </row>
    <row r="19" spans="1:14" ht="15" customHeight="1" thickBot="1" x14ac:dyDescent="0.35">
      <c r="B19" s="658" t="s">
        <v>250</v>
      </c>
      <c r="C19" s="659"/>
      <c r="D19" s="226">
        <f>SUM(H18+E18)</f>
        <v>864096.17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4" ht="27.6" customHeight="1" thickBot="1" x14ac:dyDescent="0.35">
      <c r="A20" s="54"/>
      <c r="B20" s="229" t="s">
        <v>251</v>
      </c>
      <c r="C20" s="230" t="s">
        <v>223</v>
      </c>
      <c r="D20" s="231" t="s">
        <v>232</v>
      </c>
      <c r="E20" s="232" t="s">
        <v>224</v>
      </c>
      <c r="F20" s="231" t="s">
        <v>225</v>
      </c>
      <c r="G20" s="231" t="s">
        <v>268</v>
      </c>
      <c r="H20" s="231" t="s">
        <v>226</v>
      </c>
      <c r="I20" s="231" t="s">
        <v>227</v>
      </c>
      <c r="J20" s="231" t="s">
        <v>228</v>
      </c>
      <c r="K20" s="232" t="s">
        <v>229</v>
      </c>
      <c r="L20" s="231" t="s">
        <v>252</v>
      </c>
      <c r="M20" s="233" t="s">
        <v>230</v>
      </c>
      <c r="N20" s="390" t="s">
        <v>321</v>
      </c>
    </row>
    <row r="21" spans="1:14" ht="15" thickBot="1" x14ac:dyDescent="0.35">
      <c r="A21" s="54"/>
      <c r="B21" s="303" t="s">
        <v>249</v>
      </c>
      <c r="C21" s="313">
        <v>507</v>
      </c>
      <c r="D21" s="283">
        <v>428</v>
      </c>
      <c r="E21" s="305">
        <v>45992</v>
      </c>
      <c r="F21" s="304" t="s">
        <v>254</v>
      </c>
      <c r="G21" s="283" t="s">
        <v>271</v>
      </c>
      <c r="H21" s="286">
        <f>901*7.5</f>
        <v>6757.5</v>
      </c>
      <c r="I21" s="286">
        <v>0</v>
      </c>
      <c r="J21" s="287">
        <v>45992</v>
      </c>
      <c r="K21" s="305">
        <v>46006</v>
      </c>
      <c r="L21" s="307">
        <v>6757.5</v>
      </c>
      <c r="M21" s="308">
        <f>Tabela22465[[#This Row],[VENDA]]+Tabela22465[[#This Row],[MÃO DE OBRA]]-Tabela22465[[#This Row],[VALOR PAGO]]</f>
        <v>0</v>
      </c>
    </row>
    <row r="22" spans="1:14" ht="15" thickBot="1" x14ac:dyDescent="0.35">
      <c r="A22" s="54"/>
      <c r="B22" s="303" t="s">
        <v>249</v>
      </c>
      <c r="C22" s="313">
        <v>20882</v>
      </c>
      <c r="D22" s="283">
        <v>2993</v>
      </c>
      <c r="E22" s="305">
        <v>45993</v>
      </c>
      <c r="F22" s="304" t="s">
        <v>254</v>
      </c>
      <c r="G22" s="283" t="s">
        <v>271</v>
      </c>
      <c r="H22" s="286">
        <f>160*11.97</f>
        <v>1915.2</v>
      </c>
      <c r="I22" s="286">
        <v>0</v>
      </c>
      <c r="J22" s="287">
        <v>45993</v>
      </c>
      <c r="K22" s="305">
        <v>45993</v>
      </c>
      <c r="L22" s="307">
        <v>1915.2</v>
      </c>
      <c r="M22" s="308">
        <f>Tabela22465[[#This Row],[VENDA]]+Tabela22465[[#This Row],[MÃO DE OBRA]]-Tabela22465[[#This Row],[VALOR PAGO]]</f>
        <v>0</v>
      </c>
    </row>
    <row r="23" spans="1:14" ht="15" thickBot="1" x14ac:dyDescent="0.35">
      <c r="A23" s="54"/>
      <c r="B23" s="303" t="s">
        <v>249</v>
      </c>
      <c r="C23" s="313">
        <v>20883</v>
      </c>
      <c r="D23" s="283">
        <v>3050</v>
      </c>
      <c r="E23" s="305">
        <v>45993</v>
      </c>
      <c r="F23" s="304" t="s">
        <v>254</v>
      </c>
      <c r="G23" s="283" t="s">
        <v>271</v>
      </c>
      <c r="H23" s="314">
        <f>520*11.97</f>
        <v>6224.4000000000005</v>
      </c>
      <c r="I23" s="286">
        <v>0</v>
      </c>
      <c r="J23" s="287">
        <v>45993</v>
      </c>
      <c r="K23" s="305">
        <v>45993</v>
      </c>
      <c r="L23" s="307">
        <v>6224.4</v>
      </c>
      <c r="M23" s="308">
        <f>Tabela22465[[#This Row],[VENDA]]+Tabela22465[[#This Row],[MÃO DE OBRA]]-Tabela22465[[#This Row],[VALOR PAGO]]</f>
        <v>0</v>
      </c>
    </row>
    <row r="24" spans="1:14" ht="15" thickBot="1" x14ac:dyDescent="0.35">
      <c r="B24" s="152" t="s">
        <v>249</v>
      </c>
      <c r="C24" s="347">
        <v>525</v>
      </c>
      <c r="D24" s="8">
        <v>1019</v>
      </c>
      <c r="E24" s="240">
        <v>46360</v>
      </c>
      <c r="F24" s="86" t="s">
        <v>276</v>
      </c>
      <c r="G24" s="8" t="s">
        <v>272</v>
      </c>
      <c r="H24" s="248">
        <v>18956.25</v>
      </c>
      <c r="I24" s="76">
        <v>0</v>
      </c>
      <c r="J24" s="80">
        <v>46112</v>
      </c>
      <c r="K24" s="240">
        <v>46122</v>
      </c>
      <c r="L24" s="238">
        <v>18956.25</v>
      </c>
      <c r="M24" s="308">
        <f>Tabela22465[[#This Row],[VENDA]]+Tabela22465[[#This Row],[MÃO DE OBRA]]-Tabela22465[[#This Row],[VALOR PAGO]]</f>
        <v>0</v>
      </c>
    </row>
    <row r="25" spans="1:14" ht="15" thickBot="1" x14ac:dyDescent="0.35">
      <c r="B25" s="152" t="s">
        <v>249</v>
      </c>
      <c r="C25" s="329">
        <v>525</v>
      </c>
      <c r="D25" s="8">
        <v>1019</v>
      </c>
      <c r="E25" s="240">
        <v>46360</v>
      </c>
      <c r="F25" s="86" t="s">
        <v>276</v>
      </c>
      <c r="G25" s="8" t="s">
        <v>272</v>
      </c>
      <c r="H25" s="248">
        <v>18954</v>
      </c>
      <c r="I25" s="76">
        <v>0</v>
      </c>
      <c r="J25" s="80">
        <v>46119</v>
      </c>
      <c r="K25" s="240">
        <v>46150</v>
      </c>
      <c r="L25" s="238">
        <v>18954</v>
      </c>
      <c r="M25" s="308">
        <f>Tabela22465[[#This Row],[VENDA]]+Tabela22465[[#This Row],[MÃO DE OBRA]]-Tabela22465[[#This Row],[VALOR PAGO]]</f>
        <v>0</v>
      </c>
    </row>
    <row r="26" spans="1:14" ht="15" thickBot="1" x14ac:dyDescent="0.35">
      <c r="B26" s="152" t="s">
        <v>249</v>
      </c>
      <c r="C26" s="346">
        <v>525</v>
      </c>
      <c r="D26" s="8">
        <v>1019</v>
      </c>
      <c r="E26" s="240">
        <v>46360</v>
      </c>
      <c r="F26" s="86" t="s">
        <v>276</v>
      </c>
      <c r="G26" s="8" t="s">
        <v>272</v>
      </c>
      <c r="H26" s="248">
        <v>18954</v>
      </c>
      <c r="I26" s="76">
        <v>0</v>
      </c>
      <c r="J26" s="80">
        <v>46126</v>
      </c>
      <c r="K26" s="240">
        <v>46160</v>
      </c>
      <c r="L26" s="238">
        <v>18954</v>
      </c>
      <c r="M26" s="308">
        <f>Tabela22465[[#This Row],[VENDA]]+Tabela22465[[#This Row],[MÃO DE OBRA]]-Tabela22465[[#This Row],[VALOR PAGO]]</f>
        <v>0</v>
      </c>
    </row>
    <row r="27" spans="1:14" ht="15" thickBot="1" x14ac:dyDescent="0.35">
      <c r="B27" s="152" t="s">
        <v>249</v>
      </c>
      <c r="C27" s="329">
        <v>525</v>
      </c>
      <c r="D27" s="8">
        <v>1019</v>
      </c>
      <c r="E27" s="240">
        <v>46360</v>
      </c>
      <c r="F27" s="86" t="s">
        <v>276</v>
      </c>
      <c r="G27" s="8" t="s">
        <v>272</v>
      </c>
      <c r="H27" s="248">
        <v>18954</v>
      </c>
      <c r="I27" s="76">
        <v>0</v>
      </c>
      <c r="J27" s="80">
        <v>46133</v>
      </c>
      <c r="K27" s="240">
        <v>46176</v>
      </c>
      <c r="L27" s="238">
        <v>18954</v>
      </c>
      <c r="M27" s="308">
        <f>Tabela22465[[#This Row],[VENDA]]+Tabela22465[[#This Row],[MÃO DE OBRA]]-Tabela22465[[#This Row],[VALOR PAGO]]</f>
        <v>0</v>
      </c>
    </row>
    <row r="28" spans="1:14" ht="15" thickBot="1" x14ac:dyDescent="0.35">
      <c r="B28" s="303" t="s">
        <v>248</v>
      </c>
      <c r="C28" s="313">
        <v>20958</v>
      </c>
      <c r="D28" s="283">
        <v>3078</v>
      </c>
      <c r="E28" s="305">
        <v>45996</v>
      </c>
      <c r="F28" s="304" t="s">
        <v>237</v>
      </c>
      <c r="G28" s="283" t="s">
        <v>270</v>
      </c>
      <c r="H28" s="286">
        <v>0</v>
      </c>
      <c r="I28" s="286">
        <v>1404.23</v>
      </c>
      <c r="J28" s="287">
        <v>45666</v>
      </c>
      <c r="K28" s="336">
        <v>46035</v>
      </c>
      <c r="L28" s="307">
        <v>1404.23</v>
      </c>
      <c r="M28" s="308">
        <f>Tabela22465[[#This Row],[VENDA]]+Tabela22465[[#This Row],[MÃO DE OBRA]]-Tabela22465[[#This Row],[VALOR PAGO]]</f>
        <v>0</v>
      </c>
    </row>
    <row r="29" spans="1:14" ht="15" thickBot="1" x14ac:dyDescent="0.35">
      <c r="B29" s="152" t="s">
        <v>248</v>
      </c>
      <c r="C29" s="348">
        <v>20959</v>
      </c>
      <c r="D29" s="236">
        <v>3106</v>
      </c>
      <c r="E29" s="237">
        <v>46361</v>
      </c>
      <c r="F29" s="235" t="s">
        <v>237</v>
      </c>
      <c r="G29" s="236" t="s">
        <v>270</v>
      </c>
      <c r="H29" s="309"/>
      <c r="I29" s="309">
        <v>1411.33</v>
      </c>
      <c r="J29" s="310">
        <v>46031</v>
      </c>
      <c r="K29" s="333">
        <v>46035</v>
      </c>
      <c r="L29" s="255">
        <v>1411.33</v>
      </c>
      <c r="M29" s="308">
        <f>Tabela22465[[#This Row],[VENDA]]+Tabela22465[[#This Row],[MÃO DE OBRA]]-Tabela22465[[#This Row],[VALOR PAGO]]</f>
        <v>0</v>
      </c>
    </row>
    <row r="30" spans="1:14" ht="15" thickBot="1" x14ac:dyDescent="0.35">
      <c r="A30" s="106"/>
      <c r="B30" s="96" t="s">
        <v>248</v>
      </c>
      <c r="C30" s="326">
        <v>21045</v>
      </c>
      <c r="D30" s="236">
        <v>3192</v>
      </c>
      <c r="E30" s="237">
        <v>46002</v>
      </c>
      <c r="F30" s="235" t="s">
        <v>237</v>
      </c>
      <c r="G30" s="236" t="s">
        <v>270</v>
      </c>
      <c r="H30" s="309">
        <v>0</v>
      </c>
      <c r="I30" s="309">
        <f>198*7.11</f>
        <v>1407.78</v>
      </c>
      <c r="J30" s="310">
        <v>45672</v>
      </c>
      <c r="K30" s="333">
        <v>46037</v>
      </c>
      <c r="L30" s="255">
        <v>1407.78</v>
      </c>
      <c r="M30" s="308">
        <f>Tabela22465[[#This Row],[VENDA]]+Tabela22465[[#This Row],[MÃO DE OBRA]]-Tabela22465[[#This Row],[VALOR PAGO]]</f>
        <v>0</v>
      </c>
    </row>
    <row r="31" spans="1:14" ht="15" thickBot="1" x14ac:dyDescent="0.35">
      <c r="B31" s="234" t="s">
        <v>248</v>
      </c>
      <c r="C31" s="348">
        <v>20905</v>
      </c>
      <c r="D31" s="236">
        <v>3042</v>
      </c>
      <c r="E31" s="237">
        <v>45994</v>
      </c>
      <c r="F31" s="235" t="s">
        <v>236</v>
      </c>
      <c r="G31" s="236" t="s">
        <v>270</v>
      </c>
      <c r="H31" s="309">
        <v>0</v>
      </c>
      <c r="I31" s="351">
        <v>458.85</v>
      </c>
      <c r="J31" s="310">
        <v>46022</v>
      </c>
      <c r="K31" s="333">
        <v>46043</v>
      </c>
      <c r="L31" s="360">
        <v>458.85</v>
      </c>
      <c r="M31" s="308">
        <f>Tabela22465[[#This Row],[VENDA]]+Tabela22465[[#This Row],[MÃO DE OBRA]]-Tabela22465[[#This Row],[VALOR PAGO]]</f>
        <v>0</v>
      </c>
    </row>
    <row r="32" spans="1:14" ht="15" thickBot="1" x14ac:dyDescent="0.35">
      <c r="B32" s="152"/>
      <c r="C32" s="325"/>
      <c r="D32" s="8"/>
      <c r="E32" s="240"/>
      <c r="F32" s="86"/>
      <c r="G32" s="8"/>
      <c r="H32" s="76">
        <v>0</v>
      </c>
      <c r="I32" s="349">
        <v>458.85</v>
      </c>
      <c r="J32" s="80">
        <v>45664</v>
      </c>
      <c r="K32" s="328">
        <v>46044</v>
      </c>
      <c r="L32" s="359">
        <v>458.85</v>
      </c>
      <c r="M32" s="308">
        <f>Tabela22465[[#This Row],[VENDA]]+Tabela22465[[#This Row],[MÃO DE OBRA]]-Tabela22465[[#This Row],[VALOR PAGO]]</f>
        <v>0</v>
      </c>
    </row>
    <row r="33" spans="1:14" ht="15" thickBot="1" x14ac:dyDescent="0.35">
      <c r="B33" s="152"/>
      <c r="C33" s="86"/>
      <c r="D33" s="8"/>
      <c r="E33" s="240"/>
      <c r="F33" s="86"/>
      <c r="G33" s="8"/>
      <c r="H33" s="76">
        <v>0</v>
      </c>
      <c r="I33" s="352">
        <v>458.95</v>
      </c>
      <c r="J33" s="80">
        <v>45671</v>
      </c>
      <c r="K33" s="328">
        <v>46055</v>
      </c>
      <c r="L33" s="238">
        <v>458.85</v>
      </c>
      <c r="M33" s="308">
        <f>Tabela22465[[#This Row],[VENDA]]+Tabela22465[[#This Row],[MÃO DE OBRA]]-Tabela22465[[#This Row],[VALOR PAGO]]</f>
        <v>9.9999999999965894E-2</v>
      </c>
    </row>
    <row r="34" spans="1:14" ht="15" thickBot="1" x14ac:dyDescent="0.35">
      <c r="B34" s="234" t="s">
        <v>248</v>
      </c>
      <c r="C34" s="326">
        <v>20910</v>
      </c>
      <c r="D34" s="236">
        <v>3042</v>
      </c>
      <c r="E34" s="237">
        <v>45994</v>
      </c>
      <c r="F34" s="236" t="s">
        <v>236</v>
      </c>
      <c r="G34" s="236" t="s">
        <v>270</v>
      </c>
      <c r="H34" s="309">
        <v>0</v>
      </c>
      <c r="I34" s="311">
        <f>2998.05/3</f>
        <v>999.35</v>
      </c>
      <c r="J34" s="310">
        <v>46022</v>
      </c>
      <c r="K34" s="333">
        <v>46043</v>
      </c>
      <c r="L34" s="360">
        <v>999.34</v>
      </c>
      <c r="M34" s="308">
        <f>Tabela22465[[#This Row],[VENDA]]+Tabela22465[[#This Row],[MÃO DE OBRA]]-Tabela22465[[#This Row],[VALOR PAGO]]</f>
        <v>9.9999999999909051E-3</v>
      </c>
    </row>
    <row r="35" spans="1:14" ht="15" thickBot="1" x14ac:dyDescent="0.35">
      <c r="B35" s="152"/>
      <c r="C35" s="86"/>
      <c r="D35" s="8"/>
      <c r="E35" s="240"/>
      <c r="F35" s="86"/>
      <c r="G35" s="8"/>
      <c r="H35" s="76">
        <v>0</v>
      </c>
      <c r="I35" s="248">
        <f t="shared" ref="I35:I36" si="0">2998.05/3</f>
        <v>999.35</v>
      </c>
      <c r="J35" s="80">
        <v>45664</v>
      </c>
      <c r="K35" s="328">
        <v>46044</v>
      </c>
      <c r="L35" s="359">
        <v>999.34</v>
      </c>
      <c r="M35" s="308">
        <f>Tabela22465[[#This Row],[VENDA]]+Tabela22465[[#This Row],[MÃO DE OBRA]]-Tabela22465[[#This Row],[VALOR PAGO]]</f>
        <v>9.9999999999909051E-3</v>
      </c>
    </row>
    <row r="36" spans="1:14" ht="15" thickBot="1" x14ac:dyDescent="0.35">
      <c r="B36" s="241"/>
      <c r="C36" s="253"/>
      <c r="D36" s="126"/>
      <c r="E36" s="254"/>
      <c r="F36" s="253"/>
      <c r="G36" s="126"/>
      <c r="H36" s="124">
        <v>0</v>
      </c>
      <c r="I36" s="252">
        <f t="shared" si="0"/>
        <v>999.35</v>
      </c>
      <c r="J36" s="125">
        <v>45671</v>
      </c>
      <c r="K36" s="335">
        <v>46055</v>
      </c>
      <c r="L36" s="247">
        <v>999.35</v>
      </c>
      <c r="M36" s="308">
        <f>Tabela22465[[#This Row],[VENDA]]+Tabela22465[[#This Row],[MÃO DE OBRA]]-Tabela22465[[#This Row],[VALOR PAGO]]</f>
        <v>0</v>
      </c>
    </row>
    <row r="37" spans="1:14" ht="15" thickBot="1" x14ac:dyDescent="0.35">
      <c r="B37" s="234" t="s">
        <v>248</v>
      </c>
      <c r="C37" s="326">
        <v>20995</v>
      </c>
      <c r="D37" s="236">
        <v>3115</v>
      </c>
      <c r="E37" s="237">
        <v>46000</v>
      </c>
      <c r="F37" s="235" t="s">
        <v>236</v>
      </c>
      <c r="G37" s="236" t="s">
        <v>270</v>
      </c>
      <c r="H37" s="311">
        <v>0</v>
      </c>
      <c r="I37" s="248">
        <f>3437.93/3</f>
        <v>1145.9766666666667</v>
      </c>
      <c r="J37" s="310">
        <v>45663</v>
      </c>
      <c r="K37" s="333">
        <v>46044</v>
      </c>
      <c r="L37" s="360">
        <v>1145.97</v>
      </c>
      <c r="M37" s="308">
        <f>Tabela22465[[#This Row],[VENDA]]+Tabela22465[[#This Row],[MÃO DE OBRA]]-Tabela22465[[#This Row],[VALOR PAGO]]</f>
        <v>6.6666666666606034E-3</v>
      </c>
    </row>
    <row r="38" spans="1:14" ht="15" thickBot="1" x14ac:dyDescent="0.35">
      <c r="B38" s="152"/>
      <c r="C38" s="86"/>
      <c r="D38" s="8"/>
      <c r="E38" s="240"/>
      <c r="F38" s="86"/>
      <c r="G38" s="8"/>
      <c r="H38" s="76">
        <v>0</v>
      </c>
      <c r="I38" s="248">
        <f t="shared" ref="I38:I39" si="1">3437.93/3</f>
        <v>1145.9766666666667</v>
      </c>
      <c r="J38" s="80">
        <v>45670</v>
      </c>
      <c r="K38" s="328">
        <v>46055</v>
      </c>
      <c r="L38" s="238">
        <v>1145.97</v>
      </c>
      <c r="M38" s="308">
        <f>Tabela22465[[#This Row],[VENDA]]+Tabela22465[[#This Row],[MÃO DE OBRA]]-Tabela22465[[#This Row],[VALOR PAGO]]</f>
        <v>6.6666666666606034E-3</v>
      </c>
    </row>
    <row r="39" spans="1:14" ht="15" thickBot="1" x14ac:dyDescent="0.35">
      <c r="B39" s="241"/>
      <c r="C39" s="253"/>
      <c r="D39" s="126"/>
      <c r="E39" s="254"/>
      <c r="F39" s="253"/>
      <c r="G39" s="126"/>
      <c r="H39" s="252">
        <v>0</v>
      </c>
      <c r="I39" s="252">
        <f t="shared" si="1"/>
        <v>1145.9766666666667</v>
      </c>
      <c r="J39" s="125">
        <v>45677</v>
      </c>
      <c r="K39" s="126" t="s">
        <v>314</v>
      </c>
      <c r="L39" s="247">
        <v>1145.97</v>
      </c>
      <c r="M39" s="308">
        <f>Tabela22465[[#This Row],[VENDA]]+Tabela22465[[#This Row],[MÃO DE OBRA]]-Tabela22465[[#This Row],[VALOR PAGO]]</f>
        <v>6.6666666666606034E-3</v>
      </c>
    </row>
    <row r="40" spans="1:14" ht="15" thickBot="1" x14ac:dyDescent="0.35">
      <c r="A40" s="54"/>
      <c r="B40" s="152" t="s">
        <v>248</v>
      </c>
      <c r="C40" s="346">
        <v>21058</v>
      </c>
      <c r="D40" s="8">
        <v>3165</v>
      </c>
      <c r="E40" s="240">
        <v>46368</v>
      </c>
      <c r="F40" s="86" t="s">
        <v>236</v>
      </c>
      <c r="G40" s="8" t="s">
        <v>270</v>
      </c>
      <c r="H40" s="76">
        <v>0</v>
      </c>
      <c r="I40" s="76">
        <v>1030.4000000000001</v>
      </c>
      <c r="J40" s="80">
        <v>46031</v>
      </c>
      <c r="K40" s="328">
        <v>46055</v>
      </c>
      <c r="L40" s="359">
        <v>1030.4000000000001</v>
      </c>
      <c r="M40" s="308">
        <f>Tabela22465[[#This Row],[VENDA]]+Tabela22465[[#This Row],[MÃO DE OBRA]]-Tabela22465[[#This Row],[VALOR PAGO]]</f>
        <v>0</v>
      </c>
    </row>
    <row r="41" spans="1:14" ht="15" thickBot="1" x14ac:dyDescent="0.35">
      <c r="B41" s="152"/>
      <c r="C41" s="86"/>
      <c r="D41" s="8"/>
      <c r="E41" s="240"/>
      <c r="F41" s="86"/>
      <c r="G41" s="8"/>
      <c r="H41" s="248">
        <v>0</v>
      </c>
      <c r="I41" s="248">
        <v>1030.4000000000001</v>
      </c>
      <c r="J41" s="80">
        <v>46038</v>
      </c>
      <c r="K41" s="328">
        <v>46055</v>
      </c>
      <c r="L41" s="238">
        <v>1030.3900000000001</v>
      </c>
      <c r="M41" s="308">
        <f>Tabela22465[[#This Row],[VENDA]]+Tabela22465[[#This Row],[MÃO DE OBRA]]-Tabela22465[[#This Row],[VALOR PAGO]]</f>
        <v>9.9999999999909051E-3</v>
      </c>
    </row>
    <row r="42" spans="1:14" ht="15" thickBot="1" x14ac:dyDescent="0.35">
      <c r="B42" s="241"/>
      <c r="C42" s="86"/>
      <c r="D42" s="8"/>
      <c r="E42" s="240"/>
      <c r="F42" s="86"/>
      <c r="G42" s="8"/>
      <c r="H42" s="248">
        <v>0</v>
      </c>
      <c r="I42" s="248">
        <v>1030.4100000000001</v>
      </c>
      <c r="J42" s="80">
        <v>46045</v>
      </c>
      <c r="K42" s="328">
        <v>46055</v>
      </c>
      <c r="L42" s="238">
        <v>1030.4000000000001</v>
      </c>
      <c r="M42" s="308">
        <f>Tabela22465[[#This Row],[VENDA]]+Tabela22465[[#This Row],[MÃO DE OBRA]]-Tabela22465[[#This Row],[VALOR PAGO]]</f>
        <v>9.9999999999909051E-3</v>
      </c>
    </row>
    <row r="43" spans="1:14" ht="15" thickBot="1" x14ac:dyDescent="0.35">
      <c r="A43" s="106"/>
      <c r="B43" s="74" t="s">
        <v>248</v>
      </c>
      <c r="C43" s="330">
        <v>21059</v>
      </c>
      <c r="D43" s="58">
        <v>3182</v>
      </c>
      <c r="E43" s="250">
        <v>46368</v>
      </c>
      <c r="F43" s="249" t="s">
        <v>236</v>
      </c>
      <c r="G43" s="58" t="s">
        <v>270</v>
      </c>
      <c r="H43" s="169">
        <v>0</v>
      </c>
      <c r="I43" s="169">
        <v>810.18</v>
      </c>
      <c r="J43" s="170">
        <v>46031</v>
      </c>
      <c r="K43" s="332">
        <v>46050</v>
      </c>
      <c r="L43" s="361">
        <v>810.17</v>
      </c>
      <c r="M43" s="308">
        <f>Tabela22465[[#This Row],[VENDA]]+Tabela22465[[#This Row],[MÃO DE OBRA]]-Tabela22465[[#This Row],[VALOR PAGO]]</f>
        <v>9.9999999999909051E-3</v>
      </c>
    </row>
    <row r="44" spans="1:14" ht="15" thickBot="1" x14ac:dyDescent="0.35">
      <c r="A44" s="106"/>
      <c r="B44" s="86"/>
      <c r="C44" s="86"/>
      <c r="D44" s="8"/>
      <c r="E44" s="240"/>
      <c r="F44" s="86"/>
      <c r="G44" s="8"/>
      <c r="H44" s="248">
        <v>0</v>
      </c>
      <c r="I44" s="248">
        <v>810.18</v>
      </c>
      <c r="J44" s="80">
        <v>46038</v>
      </c>
      <c r="K44" s="328">
        <v>46055</v>
      </c>
      <c r="L44" s="238">
        <v>810.17</v>
      </c>
      <c r="M44" s="308">
        <f>Tabela22465[[#This Row],[VENDA]]+Tabela22465[[#This Row],[MÃO DE OBRA]]-Tabela22465[[#This Row],[VALOR PAGO]]</f>
        <v>9.9999999999909051E-3</v>
      </c>
    </row>
    <row r="45" spans="1:14" ht="15" thickBot="1" x14ac:dyDescent="0.35">
      <c r="A45" s="106"/>
      <c r="B45" s="86"/>
      <c r="C45" s="86"/>
      <c r="D45" s="8"/>
      <c r="E45" s="240"/>
      <c r="F45" s="86"/>
      <c r="G45" s="8"/>
      <c r="H45" s="76">
        <v>0</v>
      </c>
      <c r="I45" s="76">
        <v>810.17</v>
      </c>
      <c r="J45" s="80">
        <v>46045</v>
      </c>
      <c r="K45" s="328">
        <v>46055</v>
      </c>
      <c r="L45" s="238">
        <v>810.18</v>
      </c>
      <c r="M45" s="308">
        <f>Tabela22465[[#This Row],[VENDA]]+Tabela22465[[#This Row],[MÃO DE OBRA]]-Tabela22465[[#This Row],[VALOR PAGO]]</f>
        <v>-9.9999999999909051E-3</v>
      </c>
    </row>
    <row r="46" spans="1:14" ht="15" thickBot="1" x14ac:dyDescent="0.35">
      <c r="B46" s="303" t="s">
        <v>248</v>
      </c>
      <c r="C46" s="313">
        <v>21057</v>
      </c>
      <c r="D46" s="283" t="s">
        <v>311</v>
      </c>
      <c r="E46" s="305">
        <v>46368</v>
      </c>
      <c r="F46" s="304" t="s">
        <v>312</v>
      </c>
      <c r="G46" s="283" t="s">
        <v>270</v>
      </c>
      <c r="H46" s="286">
        <v>0</v>
      </c>
      <c r="I46" s="286">
        <f>7528</f>
        <v>7528</v>
      </c>
      <c r="J46" s="287">
        <f>Tabela22465[[#This Row],[DATA DE EMISSÃO]]+14</f>
        <v>46382</v>
      </c>
      <c r="K46" s="283" t="s">
        <v>318</v>
      </c>
      <c r="L46" s="307">
        <v>0</v>
      </c>
      <c r="M46" s="308">
        <v>0</v>
      </c>
    </row>
    <row r="47" spans="1:14" ht="15" thickBot="1" x14ac:dyDescent="0.35">
      <c r="A47" s="106"/>
      <c r="B47" s="303" t="s">
        <v>248</v>
      </c>
      <c r="C47" s="313">
        <v>21070</v>
      </c>
      <c r="D47" s="283" t="s">
        <v>311</v>
      </c>
      <c r="E47" s="305">
        <v>46372</v>
      </c>
      <c r="F47" s="304" t="s">
        <v>312</v>
      </c>
      <c r="G47" s="283" t="s">
        <v>270</v>
      </c>
      <c r="H47" s="286">
        <v>0</v>
      </c>
      <c r="I47" s="286">
        <v>12675.6</v>
      </c>
      <c r="J47" s="287">
        <f>Tabela22465[[#This Row],[DATA DE EMISSÃO]]+14</f>
        <v>46386</v>
      </c>
      <c r="K47" s="283" t="s">
        <v>318</v>
      </c>
      <c r="L47" s="307">
        <v>0</v>
      </c>
      <c r="M47" s="308">
        <v>0</v>
      </c>
    </row>
    <row r="48" spans="1:14" x14ac:dyDescent="0.3">
      <c r="B48" s="234" t="s">
        <v>248</v>
      </c>
      <c r="C48" s="326">
        <v>21057</v>
      </c>
      <c r="D48" s="236" t="s">
        <v>322</v>
      </c>
      <c r="E48" s="237">
        <v>46368</v>
      </c>
      <c r="F48" s="235" t="s">
        <v>312</v>
      </c>
      <c r="G48" s="236" t="s">
        <v>270</v>
      </c>
      <c r="H48" s="311"/>
      <c r="I48" s="311">
        <f>470.5*8</f>
        <v>3764</v>
      </c>
      <c r="J48" s="310" t="s">
        <v>319</v>
      </c>
      <c r="K48" s="236"/>
      <c r="L48" s="255"/>
      <c r="M48" s="239">
        <v>0</v>
      </c>
      <c r="N48" t="s">
        <v>323</v>
      </c>
    </row>
    <row r="49" spans="1:14" x14ac:dyDescent="0.3">
      <c r="B49" s="152" t="s">
        <v>248</v>
      </c>
      <c r="C49" s="329">
        <v>21057</v>
      </c>
      <c r="D49" s="8" t="s">
        <v>322</v>
      </c>
      <c r="E49" s="240">
        <v>46368</v>
      </c>
      <c r="F49" s="86" t="s">
        <v>312</v>
      </c>
      <c r="G49" s="8" t="s">
        <v>270</v>
      </c>
      <c r="H49" s="248"/>
      <c r="I49" s="248">
        <f t="shared" ref="I49" si="2">470.5*8</f>
        <v>3764</v>
      </c>
      <c r="J49" s="80" t="s">
        <v>319</v>
      </c>
      <c r="K49" s="8"/>
      <c r="L49" s="238"/>
      <c r="M49" s="302">
        <v>0</v>
      </c>
      <c r="N49" t="s">
        <v>324</v>
      </c>
    </row>
    <row r="50" spans="1:14" ht="15" thickBot="1" x14ac:dyDescent="0.35">
      <c r="B50" s="241" t="s">
        <v>248</v>
      </c>
      <c r="C50" s="331">
        <v>21070</v>
      </c>
      <c r="D50" s="126" t="s">
        <v>322</v>
      </c>
      <c r="E50" s="254">
        <v>46372</v>
      </c>
      <c r="F50" s="253" t="s">
        <v>312</v>
      </c>
      <c r="G50" s="126" t="s">
        <v>270</v>
      </c>
      <c r="H50" s="252"/>
      <c r="I50" s="252">
        <f>1006*12.6</f>
        <v>12675.6</v>
      </c>
      <c r="J50" s="125" t="s">
        <v>319</v>
      </c>
      <c r="K50" s="126"/>
      <c r="L50" s="247"/>
      <c r="M50" s="327">
        <v>0</v>
      </c>
      <c r="N50" t="s">
        <v>320</v>
      </c>
    </row>
    <row r="51" spans="1:14" ht="13.8" customHeight="1" thickBot="1" x14ac:dyDescent="0.35">
      <c r="B51" s="92"/>
      <c r="C51" s="8" t="s">
        <v>256</v>
      </c>
      <c r="D51" s="8"/>
      <c r="E51" s="8"/>
      <c r="F51" s="8"/>
      <c r="G51" s="8"/>
      <c r="H51" s="256">
        <f>SUM(H21:H50)</f>
        <v>90715.35</v>
      </c>
      <c r="I51" s="391">
        <f>SUM(I21:I50)</f>
        <v>57964.909999999996</v>
      </c>
      <c r="J51" s="80"/>
      <c r="K51" s="8"/>
      <c r="L51" s="242">
        <f>SUM(L21:L50)</f>
        <v>108272.89</v>
      </c>
      <c r="M51" s="392">
        <f>SUM(M21:M50)</f>
        <v>0.16999999999990223</v>
      </c>
    </row>
    <row r="52" spans="1:14" ht="18.600000000000001" thickBot="1" x14ac:dyDescent="0.4">
      <c r="B52" s="660" t="s">
        <v>257</v>
      </c>
      <c r="C52" s="661"/>
      <c r="D52" s="260">
        <f>Tabela22465[[#Totals],[VENDA]]</f>
        <v>90715.35</v>
      </c>
      <c r="E52" s="261"/>
      <c r="F52" s="321"/>
      <c r="G52" s="322"/>
      <c r="H52" s="263"/>
      <c r="I52" s="264"/>
      <c r="J52" s="261"/>
      <c r="K52" s="261"/>
      <c r="L52" s="261"/>
      <c r="M52" s="265"/>
    </row>
    <row r="53" spans="1:14" ht="18.600000000000001" thickBot="1" x14ac:dyDescent="0.4">
      <c r="B53" s="662" t="s">
        <v>258</v>
      </c>
      <c r="C53" s="663"/>
      <c r="D53" s="266">
        <f>Tabela22465[[#Totals],[MÃO DE OBRA]]</f>
        <v>57964.909999999996</v>
      </c>
      <c r="E53" s="267"/>
      <c r="F53" s="323"/>
      <c r="G53" s="324"/>
      <c r="H53" s="269"/>
      <c r="I53" s="270"/>
      <c r="J53" s="267"/>
      <c r="K53" s="267"/>
      <c r="L53" s="267"/>
      <c r="M53" s="271"/>
    </row>
    <row r="54" spans="1:14" ht="19.8" customHeight="1" thickBot="1" x14ac:dyDescent="0.45">
      <c r="A54" s="106"/>
      <c r="B54" s="272" t="s">
        <v>259</v>
      </c>
      <c r="C54" s="664">
        <f>SUM(D52+D53)</f>
        <v>148680.26</v>
      </c>
      <c r="D54" s="665"/>
      <c r="E54" s="273"/>
      <c r="F54" s="642" t="s">
        <v>260</v>
      </c>
      <c r="G54" s="642"/>
      <c r="H54" s="642">
        <f>Tabela22465[[#Totals],[VALOR PAGO]]</f>
        <v>108272.89</v>
      </c>
      <c r="I54" s="642"/>
      <c r="J54" s="666" t="s">
        <v>261</v>
      </c>
      <c r="K54" s="666"/>
      <c r="L54" s="642">
        <f>Tabela22465[[#Totals],[VALOR EM ABERTO]]</f>
        <v>0.16999999999990223</v>
      </c>
      <c r="M54" s="643"/>
    </row>
  </sheetData>
  <mergeCells count="12">
    <mergeCell ref="L54:M54"/>
    <mergeCell ref="B2:M3"/>
    <mergeCell ref="B4:B5"/>
    <mergeCell ref="C4:G4"/>
    <mergeCell ref="H4:M4"/>
    <mergeCell ref="B19:C19"/>
    <mergeCell ref="B52:C52"/>
    <mergeCell ref="B53:C53"/>
    <mergeCell ref="C54:D54"/>
    <mergeCell ref="F54:G54"/>
    <mergeCell ref="H54:I54"/>
    <mergeCell ref="J54:K5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901F-AA36-455A-B5EB-E76D2BC49AC9}">
  <sheetPr>
    <pageSetUpPr fitToPage="1"/>
  </sheetPr>
  <dimension ref="A1:T56"/>
  <sheetViews>
    <sheetView showGridLines="0" topLeftCell="A37" zoomScale="110" zoomScaleNormal="110" workbookViewId="0">
      <selection activeCell="J36" sqref="J36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7.33203125" customWidth="1"/>
    <col min="7" max="10" width="14.77734375" customWidth="1"/>
    <col min="11" max="11" width="15.77734375" customWidth="1"/>
    <col min="12" max="13" width="14.77734375" customWidth="1"/>
  </cols>
  <sheetData>
    <row r="1" spans="1:20" ht="16.8" customHeight="1" thickBot="1" x14ac:dyDescent="0.35"/>
    <row r="2" spans="1:20" ht="14.4" customHeight="1" x14ac:dyDescent="0.5">
      <c r="A2" s="54"/>
      <c r="B2" s="644" t="s">
        <v>239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6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47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52" t="s">
        <v>248</v>
      </c>
      <c r="D4" s="653"/>
      <c r="E4" s="653"/>
      <c r="F4" s="653"/>
      <c r="G4" s="654"/>
      <c r="H4" s="655" t="s">
        <v>249</v>
      </c>
      <c r="I4" s="656"/>
      <c r="J4" s="656"/>
      <c r="K4" s="656"/>
      <c r="L4" s="656"/>
      <c r="M4" s="657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202">
        <v>126073.37</v>
      </c>
      <c r="D6" s="203">
        <v>270562.53000000003</v>
      </c>
      <c r="E6" s="204">
        <v>49887.66</v>
      </c>
      <c r="F6" s="203">
        <v>0</v>
      </c>
      <c r="G6" s="205">
        <v>0</v>
      </c>
      <c r="H6" s="203">
        <v>0</v>
      </c>
      <c r="I6" s="205">
        <v>0</v>
      </c>
      <c r="J6" s="203">
        <v>0</v>
      </c>
      <c r="K6" s="205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209">
        <v>166235.96</v>
      </c>
      <c r="D7" s="210">
        <v>324984.96999999997</v>
      </c>
      <c r="E7" s="211">
        <v>15513.83</v>
      </c>
      <c r="F7" s="210">
        <v>0</v>
      </c>
      <c r="G7" s="212">
        <v>0</v>
      </c>
      <c r="H7" s="210">
        <v>0</v>
      </c>
      <c r="I7" s="212">
        <v>0</v>
      </c>
      <c r="J7" s="210">
        <v>0</v>
      </c>
      <c r="K7" s="212">
        <v>0</v>
      </c>
      <c r="L7" s="210">
        <v>0</v>
      </c>
      <c r="M7" s="212">
        <v>0</v>
      </c>
    </row>
    <row r="8" spans="1:20" ht="12" customHeight="1" x14ac:dyDescent="0.3">
      <c r="A8" s="54"/>
      <c r="B8" s="201" t="s">
        <v>216</v>
      </c>
      <c r="C8" s="202">
        <v>119814.85</v>
      </c>
      <c r="D8" s="203">
        <v>256001.57</v>
      </c>
      <c r="E8" s="213">
        <v>32410.22</v>
      </c>
      <c r="F8" s="203">
        <v>0</v>
      </c>
      <c r="G8" s="205">
        <v>0</v>
      </c>
      <c r="H8" s="203">
        <v>0</v>
      </c>
      <c r="I8" s="205">
        <v>0</v>
      </c>
      <c r="J8" s="203">
        <v>0</v>
      </c>
      <c r="K8" s="205">
        <v>0</v>
      </c>
      <c r="L8" s="203">
        <v>0</v>
      </c>
      <c r="M8" s="205">
        <v>0</v>
      </c>
    </row>
    <row r="9" spans="1:20" ht="12" customHeight="1" x14ac:dyDescent="0.3">
      <c r="A9" s="54"/>
      <c r="B9" s="208" t="s">
        <v>217</v>
      </c>
      <c r="C9" s="209">
        <v>112668.22</v>
      </c>
      <c r="D9" s="210">
        <v>136419.94</v>
      </c>
      <c r="E9" s="211">
        <v>23117.53</v>
      </c>
      <c r="F9" s="210">
        <v>0</v>
      </c>
      <c r="G9" s="212">
        <v>0</v>
      </c>
      <c r="H9" s="210">
        <v>0</v>
      </c>
      <c r="I9" s="212">
        <v>0</v>
      </c>
      <c r="J9" s="210">
        <v>0</v>
      </c>
      <c r="K9" s="212">
        <v>0</v>
      </c>
      <c r="L9" s="210">
        <v>0</v>
      </c>
      <c r="M9" s="212">
        <v>0</v>
      </c>
    </row>
    <row r="10" spans="1:20" ht="12" customHeight="1" x14ac:dyDescent="0.3">
      <c r="A10" s="54"/>
      <c r="B10" s="201" t="s">
        <v>218</v>
      </c>
      <c r="C10" s="202">
        <v>39597.94</v>
      </c>
      <c r="D10" s="203">
        <v>57014.400000000001</v>
      </c>
      <c r="E10" s="213">
        <v>11710.4</v>
      </c>
      <c r="F10" s="203">
        <v>0</v>
      </c>
      <c r="G10" s="205">
        <v>0</v>
      </c>
      <c r="H10" s="203">
        <v>0</v>
      </c>
      <c r="I10" s="205">
        <v>0</v>
      </c>
      <c r="J10" s="203">
        <v>0</v>
      </c>
      <c r="K10" s="205">
        <v>0</v>
      </c>
      <c r="L10" s="203">
        <v>0</v>
      </c>
      <c r="M10" s="205">
        <v>0</v>
      </c>
    </row>
    <row r="11" spans="1:20" ht="12" customHeight="1" x14ac:dyDescent="0.3">
      <c r="A11" s="54"/>
      <c r="B11" s="208" t="s">
        <v>219</v>
      </c>
      <c r="C11" s="209">
        <v>77419.240000000005</v>
      </c>
      <c r="D11" s="210">
        <v>259261.92</v>
      </c>
      <c r="E11" s="211">
        <v>32986.86</v>
      </c>
      <c r="F11" s="210">
        <v>0</v>
      </c>
      <c r="G11" s="212">
        <v>0</v>
      </c>
      <c r="H11" s="210">
        <v>0</v>
      </c>
      <c r="I11" s="212">
        <v>0</v>
      </c>
      <c r="J11" s="210">
        <v>0</v>
      </c>
      <c r="K11" s="212">
        <v>0</v>
      </c>
      <c r="L11" s="210">
        <v>0</v>
      </c>
      <c r="M11" s="212">
        <v>0</v>
      </c>
    </row>
    <row r="12" spans="1:20" ht="12" customHeight="1" x14ac:dyDescent="0.3">
      <c r="A12" s="54"/>
      <c r="B12" s="201" t="s">
        <v>220</v>
      </c>
      <c r="C12" s="202">
        <v>74963.62</v>
      </c>
      <c r="D12" s="203">
        <v>191964.91</v>
      </c>
      <c r="E12" s="213">
        <v>8086.81</v>
      </c>
      <c r="F12" s="203">
        <v>0</v>
      </c>
      <c r="G12" s="205">
        <v>0</v>
      </c>
      <c r="H12" s="203">
        <v>0</v>
      </c>
      <c r="I12" s="205">
        <v>0</v>
      </c>
      <c r="J12" s="203">
        <v>0</v>
      </c>
      <c r="K12" s="205">
        <v>0</v>
      </c>
      <c r="L12" s="203">
        <v>0</v>
      </c>
      <c r="M12" s="205">
        <v>0</v>
      </c>
    </row>
    <row r="13" spans="1:20" ht="12" customHeight="1" x14ac:dyDescent="0.3">
      <c r="A13" s="54"/>
      <c r="B13" s="208" t="s">
        <v>221</v>
      </c>
      <c r="C13" s="209">
        <v>152485.66</v>
      </c>
      <c r="D13" s="210">
        <v>273158.84999999998</v>
      </c>
      <c r="E13" s="211">
        <v>22122.22</v>
      </c>
      <c r="F13" s="210">
        <v>0</v>
      </c>
      <c r="G13" s="212">
        <v>0</v>
      </c>
      <c r="H13" s="210">
        <v>0</v>
      </c>
      <c r="I13" s="212">
        <v>0</v>
      </c>
      <c r="J13" s="210">
        <v>0</v>
      </c>
      <c r="K13" s="212">
        <v>0</v>
      </c>
      <c r="L13" s="210">
        <v>0</v>
      </c>
      <c r="M13" s="212">
        <v>0</v>
      </c>
    </row>
    <row r="14" spans="1:20" ht="12" customHeight="1" x14ac:dyDescent="0.3">
      <c r="A14" s="54"/>
      <c r="B14" s="201" t="s">
        <v>211</v>
      </c>
      <c r="C14" s="202">
        <v>171282.48</v>
      </c>
      <c r="D14" s="203">
        <v>63159.51</v>
      </c>
      <c r="E14" s="213">
        <v>36466.42</v>
      </c>
      <c r="F14" s="203">
        <v>0</v>
      </c>
      <c r="G14" s="205">
        <v>0</v>
      </c>
      <c r="H14" s="203">
        <v>0</v>
      </c>
      <c r="I14" s="205">
        <v>0</v>
      </c>
      <c r="J14" s="203">
        <v>0</v>
      </c>
      <c r="K14" s="205">
        <v>0</v>
      </c>
      <c r="L14" s="203">
        <v>0</v>
      </c>
      <c r="M14" s="205">
        <v>0</v>
      </c>
    </row>
    <row r="15" spans="1:20" ht="12" customHeight="1" x14ac:dyDescent="0.3">
      <c r="A15" s="54"/>
      <c r="B15" s="208" t="s">
        <v>222</v>
      </c>
      <c r="C15" s="209">
        <v>168433.06</v>
      </c>
      <c r="D15" s="210">
        <v>53077.38</v>
      </c>
      <c r="E15" s="211">
        <v>99828</v>
      </c>
      <c r="F15" s="210">
        <v>0</v>
      </c>
      <c r="G15" s="212">
        <v>0</v>
      </c>
      <c r="H15" s="210"/>
      <c r="I15" s="212">
        <v>0</v>
      </c>
      <c r="J15" s="210">
        <v>0</v>
      </c>
      <c r="K15" s="212">
        <v>0</v>
      </c>
      <c r="L15" s="210">
        <v>0</v>
      </c>
      <c r="M15" s="212">
        <v>0</v>
      </c>
    </row>
    <row r="16" spans="1:20" ht="12" customHeight="1" x14ac:dyDescent="0.3">
      <c r="A16" s="54"/>
      <c r="B16" s="201" t="s">
        <v>212</v>
      </c>
      <c r="C16" s="202">
        <v>155757.68</v>
      </c>
      <c r="D16" s="203">
        <v>15517.44</v>
      </c>
      <c r="E16" s="213">
        <v>0</v>
      </c>
      <c r="F16" s="203">
        <v>0</v>
      </c>
      <c r="G16" s="205">
        <v>0</v>
      </c>
      <c r="H16" s="203">
        <v>0</v>
      </c>
      <c r="I16" s="205">
        <v>0</v>
      </c>
      <c r="J16" s="203">
        <v>0</v>
      </c>
      <c r="K16" s="205">
        <v>0</v>
      </c>
      <c r="L16" s="203">
        <v>0</v>
      </c>
      <c r="M16" s="205">
        <v>0</v>
      </c>
    </row>
    <row r="17" spans="1:13" ht="12" customHeight="1" thickBot="1" x14ac:dyDescent="0.35">
      <c r="A17" s="54"/>
      <c r="B17" s="214" t="s">
        <v>213</v>
      </c>
      <c r="C17" s="215">
        <v>163379.07999999999</v>
      </c>
      <c r="D17" s="215">
        <v>9580.01</v>
      </c>
      <c r="E17" s="215">
        <v>0</v>
      </c>
      <c r="F17" s="216">
        <v>0</v>
      </c>
      <c r="G17" s="216">
        <v>0</v>
      </c>
      <c r="H17" s="216">
        <v>0</v>
      </c>
      <c r="I17" s="217">
        <v>0</v>
      </c>
      <c r="J17" s="216">
        <v>0</v>
      </c>
      <c r="K17" s="217">
        <v>0</v>
      </c>
      <c r="L17" s="216">
        <v>0</v>
      </c>
      <c r="M17" s="216">
        <v>0</v>
      </c>
    </row>
    <row r="18" spans="1:13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332129.95</v>
      </c>
      <c r="F18" s="221">
        <f>SUM(F6:F17)</f>
        <v>0</v>
      </c>
      <c r="G18" s="222">
        <v>0</v>
      </c>
      <c r="H18" s="221">
        <f>SUM(H6:H17)</f>
        <v>0</v>
      </c>
      <c r="I18" s="222">
        <v>0</v>
      </c>
      <c r="J18" s="223">
        <f>SUM(J6:J17)</f>
        <v>0</v>
      </c>
      <c r="K18" s="224">
        <v>0</v>
      </c>
      <c r="L18" s="225">
        <f>SUM(L6:L17)</f>
        <v>0</v>
      </c>
      <c r="M18" s="222">
        <v>0</v>
      </c>
    </row>
    <row r="19" spans="1:13" ht="15" customHeight="1" thickBot="1" x14ac:dyDescent="0.35">
      <c r="B19" s="658" t="s">
        <v>274</v>
      </c>
      <c r="C19" s="659"/>
      <c r="D19" s="226">
        <f>SUM(I18+F18)</f>
        <v>0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3" ht="27.6" customHeight="1" thickBot="1" x14ac:dyDescent="0.35">
      <c r="A20" s="54"/>
      <c r="B20" s="229" t="s">
        <v>251</v>
      </c>
      <c r="C20" s="230" t="s">
        <v>223</v>
      </c>
      <c r="D20" s="231" t="s">
        <v>232</v>
      </c>
      <c r="E20" s="232" t="s">
        <v>224</v>
      </c>
      <c r="F20" s="231" t="s">
        <v>225</v>
      </c>
      <c r="G20" s="231" t="s">
        <v>268</v>
      </c>
      <c r="H20" s="231" t="s">
        <v>226</v>
      </c>
      <c r="I20" s="231" t="s">
        <v>227</v>
      </c>
      <c r="J20" s="231" t="s">
        <v>228</v>
      </c>
      <c r="K20" s="232" t="s">
        <v>229</v>
      </c>
      <c r="L20" s="231" t="s">
        <v>252</v>
      </c>
      <c r="M20" s="233" t="s">
        <v>230</v>
      </c>
    </row>
    <row r="21" spans="1:13" ht="15" thickBot="1" x14ac:dyDescent="0.35">
      <c r="A21" s="54"/>
      <c r="B21" s="303" t="s">
        <v>249</v>
      </c>
      <c r="C21" s="313">
        <v>21098</v>
      </c>
      <c r="D21" s="283">
        <v>3229</v>
      </c>
      <c r="E21" s="305">
        <v>46030</v>
      </c>
      <c r="F21" s="304" t="s">
        <v>254</v>
      </c>
      <c r="G21" s="283" t="s">
        <v>271</v>
      </c>
      <c r="H21" s="286">
        <v>3704.72</v>
      </c>
      <c r="I21" s="286"/>
      <c r="J21" s="287">
        <v>46030</v>
      </c>
      <c r="K21" s="305">
        <v>46030</v>
      </c>
      <c r="L21" s="307">
        <v>3704.72</v>
      </c>
      <c r="M21" s="308">
        <f>Tabela224657[[#This Row],[VENDA]]+Tabela224657[[#This Row],[MÃO DE OBRA]]-Tabela224657[[#This Row],[VALOR PAGO]]</f>
        <v>0</v>
      </c>
    </row>
    <row r="22" spans="1:13" x14ac:dyDescent="0.3">
      <c r="B22" s="234" t="s">
        <v>248</v>
      </c>
      <c r="C22" s="326">
        <v>21087</v>
      </c>
      <c r="D22" s="236">
        <v>3202</v>
      </c>
      <c r="E22" s="237">
        <v>46029</v>
      </c>
      <c r="F22" s="235" t="s">
        <v>236</v>
      </c>
      <c r="G22" s="236" t="s">
        <v>270</v>
      </c>
      <c r="H22" s="309"/>
      <c r="I22" s="309">
        <v>960.25</v>
      </c>
      <c r="J22" s="310">
        <v>46057</v>
      </c>
      <c r="K22" s="237">
        <v>46055</v>
      </c>
      <c r="L22" s="255">
        <v>960.24</v>
      </c>
      <c r="M22" s="239">
        <f>Tabela224657[[#This Row],[VENDA]]+Tabela224657[[#This Row],[MÃO DE OBRA]]-Tabela224657[[#This Row],[VALOR PAGO]]</f>
        <v>9.9999999999909051E-3</v>
      </c>
    </row>
    <row r="23" spans="1:13" x14ac:dyDescent="0.3">
      <c r="B23" s="152" t="s">
        <v>248</v>
      </c>
      <c r="C23" s="329">
        <v>21087</v>
      </c>
      <c r="D23" s="8">
        <v>3202</v>
      </c>
      <c r="E23" s="240">
        <v>46029</v>
      </c>
      <c r="F23" s="86" t="s">
        <v>236</v>
      </c>
      <c r="G23" s="8" t="s">
        <v>270</v>
      </c>
      <c r="H23" s="248"/>
      <c r="I23" s="76">
        <v>960.25</v>
      </c>
      <c r="J23" s="80">
        <v>46064</v>
      </c>
      <c r="K23" s="240">
        <v>46055</v>
      </c>
      <c r="L23" s="238">
        <v>960.25</v>
      </c>
      <c r="M23" s="302">
        <f>Tabela224657[[#This Row],[VENDA]]+Tabela224657[[#This Row],[MÃO DE OBRA]]-Tabela224657[[#This Row],[VALOR PAGO]]</f>
        <v>0</v>
      </c>
    </row>
    <row r="24" spans="1:13" ht="15" thickBot="1" x14ac:dyDescent="0.35">
      <c r="B24" s="152" t="s">
        <v>248</v>
      </c>
      <c r="C24" s="329">
        <v>21087</v>
      </c>
      <c r="D24" s="8">
        <v>3202</v>
      </c>
      <c r="E24" s="240">
        <v>46029</v>
      </c>
      <c r="F24" s="86" t="s">
        <v>236</v>
      </c>
      <c r="G24" s="8" t="s">
        <v>270</v>
      </c>
      <c r="H24" s="76"/>
      <c r="I24" s="349">
        <v>960.25</v>
      </c>
      <c r="J24" s="80">
        <v>46071</v>
      </c>
      <c r="K24" s="328">
        <v>46055</v>
      </c>
      <c r="L24" s="238">
        <v>960.25</v>
      </c>
      <c r="M24" s="302">
        <f>Tabela224657[[#This Row],[VENDA]]+Tabela224657[[#This Row],[MÃO DE OBRA]]-Tabela224657[[#This Row],[VALOR PAGO]]</f>
        <v>0</v>
      </c>
    </row>
    <row r="25" spans="1:13" ht="15" thickBot="1" x14ac:dyDescent="0.35">
      <c r="B25" s="303" t="s">
        <v>248</v>
      </c>
      <c r="C25" s="313">
        <v>21147</v>
      </c>
      <c r="D25" s="283">
        <v>3225</v>
      </c>
      <c r="E25" s="305">
        <v>46035</v>
      </c>
      <c r="F25" s="304" t="s">
        <v>237</v>
      </c>
      <c r="G25" s="283" t="s">
        <v>270</v>
      </c>
      <c r="H25" s="314"/>
      <c r="I25" s="286">
        <v>280.85000000000002</v>
      </c>
      <c r="J25" s="287">
        <v>46056</v>
      </c>
      <c r="K25" s="305">
        <v>46056</v>
      </c>
      <c r="L25" s="307">
        <v>280.83999999999997</v>
      </c>
      <c r="M25" s="239">
        <f>Tabela224657[[#This Row],[VENDA]]+Tabela224657[[#This Row],[MÃO DE OBRA]]-Tabela224657[[#This Row],[VALOR PAGO]]</f>
        <v>1.0000000000047748E-2</v>
      </c>
    </row>
    <row r="26" spans="1:13" ht="15" thickBot="1" x14ac:dyDescent="0.35">
      <c r="B26" s="241" t="s">
        <v>249</v>
      </c>
      <c r="C26" s="253">
        <v>21203</v>
      </c>
      <c r="D26" s="126">
        <v>3322</v>
      </c>
      <c r="E26" s="254">
        <v>46038</v>
      </c>
      <c r="F26" s="253" t="s">
        <v>254</v>
      </c>
      <c r="G26" s="126" t="s">
        <v>271</v>
      </c>
      <c r="H26" s="252">
        <f>(608.2*0.01)+17623.77</f>
        <v>17629.851999999999</v>
      </c>
      <c r="I26" s="124"/>
      <c r="J26" s="125">
        <v>46038</v>
      </c>
      <c r="K26" s="254">
        <v>46037</v>
      </c>
      <c r="L26" s="247">
        <v>18008.650000000001</v>
      </c>
      <c r="M26" s="354">
        <f>Tabela224657[[#This Row],[VENDA]]+Tabela224657[[#This Row],[MÃO DE OBRA]]-Tabela224657[[#This Row],[VALOR PAGO]]</f>
        <v>-378.7980000000025</v>
      </c>
    </row>
    <row r="27" spans="1:13" ht="15" thickBot="1" x14ac:dyDescent="0.35">
      <c r="B27" s="303" t="s">
        <v>248</v>
      </c>
      <c r="C27" s="313">
        <v>21156</v>
      </c>
      <c r="D27" s="283">
        <v>3265</v>
      </c>
      <c r="E27" s="305">
        <v>46036</v>
      </c>
      <c r="F27" s="304" t="s">
        <v>237</v>
      </c>
      <c r="G27" s="283" t="s">
        <v>270</v>
      </c>
      <c r="H27" s="314"/>
      <c r="I27" s="286">
        <f>(76.5+75.5+74.5+75.5+77.5+76.5+76.5)*8.91</f>
        <v>4744.5749999999998</v>
      </c>
      <c r="J27" s="287">
        <v>46057</v>
      </c>
      <c r="K27" s="305">
        <v>46058</v>
      </c>
      <c r="L27" s="307">
        <v>4744.58</v>
      </c>
      <c r="M27" s="308">
        <f>Tabela224657[[#This Row],[VENDA]]+Tabela224657[[#This Row],[MÃO DE OBRA]]-Tabela224657[[#This Row],[VALOR PAGO]]</f>
        <v>-5.0000000001091394E-3</v>
      </c>
    </row>
    <row r="28" spans="1:13" ht="15" thickBot="1" x14ac:dyDescent="0.35">
      <c r="B28" s="303" t="s">
        <v>248</v>
      </c>
      <c r="C28" s="313">
        <v>21177</v>
      </c>
      <c r="D28" s="283">
        <v>3240</v>
      </c>
      <c r="E28" s="305">
        <v>46037</v>
      </c>
      <c r="F28" s="304" t="s">
        <v>236</v>
      </c>
      <c r="G28" s="283" t="s">
        <v>270</v>
      </c>
      <c r="H28" s="314"/>
      <c r="I28" s="286">
        <f>(39.5+39)*3.45</f>
        <v>270.82499999999999</v>
      </c>
      <c r="J28" s="287">
        <v>46065</v>
      </c>
      <c r="K28" s="305">
        <v>46055</v>
      </c>
      <c r="L28" s="307">
        <v>270.82</v>
      </c>
      <c r="M28" s="308">
        <f>Tabela224657[[#This Row],[VENDA]]+Tabela224657[[#This Row],[MÃO DE OBRA]]-Tabela224657[[#This Row],[VALOR PAGO]]</f>
        <v>4.9999999999954525E-3</v>
      </c>
    </row>
    <row r="29" spans="1:13" x14ac:dyDescent="0.3">
      <c r="B29" s="234" t="s">
        <v>248</v>
      </c>
      <c r="C29" s="326">
        <v>21181</v>
      </c>
      <c r="D29" s="236">
        <v>3239</v>
      </c>
      <c r="E29" s="237">
        <v>46038</v>
      </c>
      <c r="F29" s="235" t="s">
        <v>236</v>
      </c>
      <c r="G29" s="236" t="s">
        <v>270</v>
      </c>
      <c r="H29" s="309"/>
      <c r="I29" s="309">
        <v>718.75</v>
      </c>
      <c r="J29" s="310">
        <v>46066</v>
      </c>
      <c r="K29" s="237">
        <v>46055</v>
      </c>
      <c r="L29" s="255">
        <v>718.75</v>
      </c>
      <c r="M29" s="239">
        <f>Tabela224657[[#This Row],[VENDA]]+Tabela224657[[#This Row],[MÃO DE OBRA]]-Tabela224657[[#This Row],[VALOR PAGO]]</f>
        <v>0</v>
      </c>
    </row>
    <row r="30" spans="1:13" x14ac:dyDescent="0.3">
      <c r="B30" s="152" t="s">
        <v>248</v>
      </c>
      <c r="C30" s="329">
        <v>21181</v>
      </c>
      <c r="D30" s="8">
        <v>3239</v>
      </c>
      <c r="E30" s="240">
        <v>46038</v>
      </c>
      <c r="F30" s="86" t="s">
        <v>236</v>
      </c>
      <c r="G30" s="8" t="s">
        <v>270</v>
      </c>
      <c r="H30" s="248"/>
      <c r="I30" s="76">
        <v>718.75</v>
      </c>
      <c r="J30" s="80">
        <v>46073</v>
      </c>
      <c r="K30" s="240">
        <v>46055</v>
      </c>
      <c r="L30" s="238">
        <v>718.75</v>
      </c>
      <c r="M30" s="302">
        <f>Tabela224657[[#This Row],[VENDA]]+Tabela224657[[#This Row],[MÃO DE OBRA]]-Tabela224657[[#This Row],[VALOR PAGO]]</f>
        <v>0</v>
      </c>
    </row>
    <row r="31" spans="1:13" ht="15" thickBot="1" x14ac:dyDescent="0.35">
      <c r="B31" s="241" t="s">
        <v>248</v>
      </c>
      <c r="C31" s="331">
        <v>21181</v>
      </c>
      <c r="D31" s="126">
        <v>3239</v>
      </c>
      <c r="E31" s="254">
        <v>46038</v>
      </c>
      <c r="F31" s="253" t="s">
        <v>236</v>
      </c>
      <c r="G31" s="126" t="s">
        <v>270</v>
      </c>
      <c r="H31" s="124"/>
      <c r="I31" s="350">
        <v>718.75</v>
      </c>
      <c r="J31" s="125">
        <v>46080</v>
      </c>
      <c r="K31" s="335">
        <v>46055</v>
      </c>
      <c r="L31" s="247">
        <v>718.74</v>
      </c>
      <c r="M31" s="327">
        <f>Tabela224657[[#This Row],[VENDA]]+Tabela224657[[#This Row],[MÃO DE OBRA]]-Tabela224657[[#This Row],[VALOR PAGO]]</f>
        <v>9.9999999999909051E-3</v>
      </c>
    </row>
    <row r="32" spans="1:13" x14ac:dyDescent="0.3">
      <c r="B32" s="234" t="s">
        <v>248</v>
      </c>
      <c r="C32" s="326">
        <v>21182</v>
      </c>
      <c r="D32" s="236">
        <v>3241</v>
      </c>
      <c r="E32" s="237">
        <v>46038</v>
      </c>
      <c r="F32" s="235" t="s">
        <v>236</v>
      </c>
      <c r="G32" s="236" t="s">
        <v>270</v>
      </c>
      <c r="H32" s="309"/>
      <c r="I32" s="309">
        <f>(198.5+319.5+315+175)*3.45/3</f>
        <v>1159.2</v>
      </c>
      <c r="J32" s="310">
        <v>46066</v>
      </c>
      <c r="K32" s="237">
        <v>46055</v>
      </c>
      <c r="L32" s="255">
        <v>1159.2</v>
      </c>
      <c r="M32" s="239">
        <f>Tabela224657[[#This Row],[VENDA]]+Tabela224657[[#This Row],[MÃO DE OBRA]]-Tabela224657[[#This Row],[VALOR PAGO]]</f>
        <v>0</v>
      </c>
    </row>
    <row r="33" spans="1:13" x14ac:dyDescent="0.3">
      <c r="B33" s="152" t="s">
        <v>248</v>
      </c>
      <c r="C33" s="329">
        <v>21182</v>
      </c>
      <c r="D33" s="8">
        <v>3241</v>
      </c>
      <c r="E33" s="240">
        <v>46038</v>
      </c>
      <c r="F33" s="86" t="s">
        <v>236</v>
      </c>
      <c r="G33" s="8" t="s">
        <v>270</v>
      </c>
      <c r="H33" s="248"/>
      <c r="I33" s="76">
        <v>1159.2</v>
      </c>
      <c r="J33" s="80">
        <v>46073</v>
      </c>
      <c r="K33" s="240">
        <v>46055</v>
      </c>
      <c r="L33" s="238">
        <v>1159.2</v>
      </c>
      <c r="M33" s="302">
        <f>Tabela224657[[#This Row],[VENDA]]+Tabela224657[[#This Row],[MÃO DE OBRA]]-Tabela224657[[#This Row],[VALOR PAGO]]</f>
        <v>0</v>
      </c>
    </row>
    <row r="34" spans="1:13" ht="15" thickBot="1" x14ac:dyDescent="0.35">
      <c r="B34" s="241" t="s">
        <v>248</v>
      </c>
      <c r="C34" s="331">
        <v>21182</v>
      </c>
      <c r="D34" s="126">
        <v>3241</v>
      </c>
      <c r="E34" s="254">
        <v>46038</v>
      </c>
      <c r="F34" s="253" t="s">
        <v>236</v>
      </c>
      <c r="G34" s="126" t="s">
        <v>270</v>
      </c>
      <c r="H34" s="124"/>
      <c r="I34" s="124">
        <v>1159.2</v>
      </c>
      <c r="J34" s="125">
        <v>46080</v>
      </c>
      <c r="K34" s="335">
        <v>46055</v>
      </c>
      <c r="L34" s="247">
        <v>1159.19</v>
      </c>
      <c r="M34" s="327">
        <f>Tabela224657[[#This Row],[VENDA]]+Tabela224657[[#This Row],[MÃO DE OBRA]]-Tabela224657[[#This Row],[VALOR PAGO]]</f>
        <v>9.9999999999909051E-3</v>
      </c>
    </row>
    <row r="35" spans="1:13" ht="15" thickBot="1" x14ac:dyDescent="0.35">
      <c r="B35" s="303" t="s">
        <v>248</v>
      </c>
      <c r="C35" s="313">
        <v>21258</v>
      </c>
      <c r="D35" s="283">
        <v>3324</v>
      </c>
      <c r="E35" s="305">
        <v>46043</v>
      </c>
      <c r="F35" s="304" t="s">
        <v>236</v>
      </c>
      <c r="G35" s="283" t="s">
        <v>270</v>
      </c>
      <c r="H35" s="314"/>
      <c r="I35" s="314">
        <v>590.53</v>
      </c>
      <c r="J35" s="287">
        <v>46071</v>
      </c>
      <c r="K35" s="336">
        <v>46055</v>
      </c>
      <c r="L35" s="307">
        <v>590.52</v>
      </c>
      <c r="M35" s="308">
        <f>Tabela224657[[#This Row],[VENDA]]+Tabela224657[[#This Row],[MÃO DE OBRA]]-Tabela224657[[#This Row],[VALOR PAGO]]</f>
        <v>9.9999999999909051E-3</v>
      </c>
    </row>
    <row r="36" spans="1:13" ht="15" thickBot="1" x14ac:dyDescent="0.35">
      <c r="B36" s="152" t="s">
        <v>249</v>
      </c>
      <c r="C36" s="329">
        <v>21206</v>
      </c>
      <c r="D36" s="8">
        <v>3325</v>
      </c>
      <c r="E36" s="240">
        <v>46038</v>
      </c>
      <c r="F36" s="86" t="s">
        <v>310</v>
      </c>
      <c r="G36" s="8" t="s">
        <v>272</v>
      </c>
      <c r="H36" s="98">
        <v>1346.76</v>
      </c>
      <c r="I36" s="76"/>
      <c r="J36" s="80">
        <v>46038</v>
      </c>
      <c r="K36" s="328">
        <v>46038</v>
      </c>
      <c r="L36" s="238">
        <v>1346.76</v>
      </c>
      <c r="M36" s="302">
        <f>Tabela224657[[#This Row],[VENDA]]+Tabela224657[[#This Row],[MÃO DE OBRA]]-Tabela224657[[#This Row],[VALOR PAGO]]</f>
        <v>0</v>
      </c>
    </row>
    <row r="37" spans="1:13" ht="15" thickBot="1" x14ac:dyDescent="0.35">
      <c r="B37" s="303" t="s">
        <v>248</v>
      </c>
      <c r="C37" s="313">
        <v>21263</v>
      </c>
      <c r="D37" s="283">
        <v>3347</v>
      </c>
      <c r="E37" s="305">
        <v>46043</v>
      </c>
      <c r="F37" s="304" t="s">
        <v>237</v>
      </c>
      <c r="G37" s="283" t="s">
        <v>270</v>
      </c>
      <c r="H37" s="314"/>
      <c r="I37" s="314">
        <v>949.19</v>
      </c>
      <c r="J37" s="287">
        <v>46078</v>
      </c>
      <c r="K37" s="336">
        <v>46078</v>
      </c>
      <c r="L37" s="307">
        <v>949.19</v>
      </c>
      <c r="M37" s="308">
        <f>Tabela224657[[#This Row],[VENDA]]+Tabela224657[[#This Row],[MÃO DE OBRA]]-Tabela224657[[#This Row],[VALOR PAGO]]</f>
        <v>0</v>
      </c>
    </row>
    <row r="38" spans="1:13" ht="15" thickBot="1" x14ac:dyDescent="0.35">
      <c r="B38" s="363" t="s">
        <v>249</v>
      </c>
      <c r="C38" s="364">
        <v>21280</v>
      </c>
      <c r="D38" s="365">
        <v>3363</v>
      </c>
      <c r="E38" s="366">
        <v>46044</v>
      </c>
      <c r="F38" s="365" t="s">
        <v>254</v>
      </c>
      <c r="G38" s="365" t="s">
        <v>271</v>
      </c>
      <c r="H38" s="98">
        <v>3530.14</v>
      </c>
      <c r="I38" s="355"/>
      <c r="J38" s="356"/>
      <c r="K38" s="366">
        <v>46042</v>
      </c>
      <c r="L38" s="367">
        <v>3628.56</v>
      </c>
      <c r="M38" s="368">
        <f>Tabela224657[[#This Row],[VENDA]]+Tabela224657[[#This Row],[MÃO DE OBRA]]-Tabela224657[[#This Row],[VALOR PAGO]]</f>
        <v>-98.420000000000073</v>
      </c>
    </row>
    <row r="39" spans="1:13" ht="15" thickBot="1" x14ac:dyDescent="0.35">
      <c r="B39" s="303" t="s">
        <v>248</v>
      </c>
      <c r="C39" s="313">
        <v>21277</v>
      </c>
      <c r="D39" s="283">
        <v>3361</v>
      </c>
      <c r="E39" s="305">
        <v>46044</v>
      </c>
      <c r="F39" s="304" t="s">
        <v>236</v>
      </c>
      <c r="G39" s="283" t="s">
        <v>270</v>
      </c>
      <c r="H39" s="314"/>
      <c r="I39" s="314">
        <v>116.8</v>
      </c>
      <c r="J39" s="287">
        <v>46072</v>
      </c>
      <c r="K39" s="336">
        <v>46055</v>
      </c>
      <c r="L39" s="307">
        <v>116.8</v>
      </c>
      <c r="M39" s="308">
        <f>Tabela224657[[#This Row],[VENDA]]+Tabela224657[[#This Row],[MÃO DE OBRA]]-Tabela224657[[#This Row],[VALOR PAGO]]</f>
        <v>0</v>
      </c>
    </row>
    <row r="40" spans="1:13" x14ac:dyDescent="0.3">
      <c r="B40" s="234" t="s">
        <v>248</v>
      </c>
      <c r="C40" s="326">
        <v>21395</v>
      </c>
      <c r="D40" s="236">
        <v>3390</v>
      </c>
      <c r="E40" s="237">
        <v>46052</v>
      </c>
      <c r="F40" s="235" t="s">
        <v>236</v>
      </c>
      <c r="G40" s="236" t="s">
        <v>270</v>
      </c>
      <c r="H40" s="311"/>
      <c r="I40" s="311">
        <v>91.43</v>
      </c>
      <c r="J40" s="310">
        <v>46080</v>
      </c>
      <c r="K40" s="333">
        <v>46071</v>
      </c>
      <c r="L40" s="255">
        <v>91.42</v>
      </c>
      <c r="M40" s="239">
        <f>Tabela224657[[#This Row],[VENDA]]+Tabela224657[[#This Row],[MÃO DE OBRA]]-Tabela224657[[#This Row],[VALOR PAGO]]</f>
        <v>1.0000000000005116E-2</v>
      </c>
    </row>
    <row r="41" spans="1:13" ht="15" thickBot="1" x14ac:dyDescent="0.35">
      <c r="B41" s="152" t="s">
        <v>248</v>
      </c>
      <c r="C41" s="329">
        <v>21395</v>
      </c>
      <c r="D41" s="8">
        <v>3390</v>
      </c>
      <c r="E41" s="240">
        <v>46052</v>
      </c>
      <c r="F41" s="86" t="s">
        <v>236</v>
      </c>
      <c r="G41" s="8" t="s">
        <v>270</v>
      </c>
      <c r="H41" s="76"/>
      <c r="I41" s="76">
        <v>91.43</v>
      </c>
      <c r="J41" s="80">
        <v>46087</v>
      </c>
      <c r="K41" s="328">
        <v>46071</v>
      </c>
      <c r="L41" s="238">
        <v>91.42</v>
      </c>
      <c r="M41" s="302">
        <f>Tabela224657[[#This Row],[VENDA]]+Tabela224657[[#This Row],[MÃO DE OBRA]]-Tabela224657[[#This Row],[VALOR PAGO]]</f>
        <v>1.0000000000005116E-2</v>
      </c>
    </row>
    <row r="42" spans="1:13" ht="15" thickBot="1" x14ac:dyDescent="0.35">
      <c r="B42" s="152" t="s">
        <v>248</v>
      </c>
      <c r="C42" s="329">
        <v>21395</v>
      </c>
      <c r="D42" s="8">
        <v>3390</v>
      </c>
      <c r="E42" s="240">
        <v>46052</v>
      </c>
      <c r="F42" s="86" t="s">
        <v>236</v>
      </c>
      <c r="G42" s="8" t="s">
        <v>270</v>
      </c>
      <c r="H42" s="248"/>
      <c r="I42" s="248">
        <v>91.42</v>
      </c>
      <c r="J42" s="80">
        <v>46094</v>
      </c>
      <c r="K42" s="328">
        <v>46072</v>
      </c>
      <c r="L42" s="238">
        <v>91.43</v>
      </c>
      <c r="M42" s="239">
        <f>Tabela224657[[#This Row],[VENDA]]+Tabela224657[[#This Row],[MÃO DE OBRA]]-Tabela224657[[#This Row],[VALOR PAGO]]</f>
        <v>-1.0000000000005116E-2</v>
      </c>
    </row>
    <row r="43" spans="1:13" x14ac:dyDescent="0.3">
      <c r="B43" s="234" t="s">
        <v>248</v>
      </c>
      <c r="C43" s="326">
        <v>21396</v>
      </c>
      <c r="D43" s="236">
        <v>3389</v>
      </c>
      <c r="E43" s="237">
        <v>46052</v>
      </c>
      <c r="F43" s="235" t="s">
        <v>236</v>
      </c>
      <c r="G43" s="236" t="s">
        <v>270</v>
      </c>
      <c r="H43" s="311"/>
      <c r="I43" s="311">
        <v>2854.31</v>
      </c>
      <c r="J43" s="310">
        <v>46049</v>
      </c>
      <c r="K43" s="333">
        <v>46071</v>
      </c>
      <c r="L43" s="389">
        <v>2854.29</v>
      </c>
      <c r="M43" s="239">
        <f>Tabela224657[[#This Row],[VENDA]]+Tabela224657[[#This Row],[MÃO DE OBRA]]-Tabela224657[[#This Row],[VALOR PAGO]]</f>
        <v>1.999999999998181E-2</v>
      </c>
    </row>
    <row r="44" spans="1:13" ht="15" thickBot="1" x14ac:dyDescent="0.35">
      <c r="B44" s="152" t="s">
        <v>248</v>
      </c>
      <c r="C44" s="329">
        <v>21396</v>
      </c>
      <c r="D44" s="8">
        <v>3389</v>
      </c>
      <c r="E44" s="240">
        <v>46052</v>
      </c>
      <c r="F44" s="86" t="s">
        <v>236</v>
      </c>
      <c r="G44" s="8" t="s">
        <v>270</v>
      </c>
      <c r="H44" s="76"/>
      <c r="I44" s="76">
        <v>2854.31</v>
      </c>
      <c r="J44" s="80">
        <v>46087</v>
      </c>
      <c r="K44" s="328">
        <v>46071</v>
      </c>
      <c r="L44" s="238">
        <v>2854.29</v>
      </c>
      <c r="M44" s="302">
        <f>Tabela224657[[#This Row],[VENDA]]+Tabela224657[[#This Row],[MÃO DE OBRA]]-Tabela224657[[#This Row],[VALOR PAGO]]</f>
        <v>1.999999999998181E-2</v>
      </c>
    </row>
    <row r="45" spans="1:13" ht="15" thickBot="1" x14ac:dyDescent="0.35">
      <c r="B45" s="241" t="s">
        <v>248</v>
      </c>
      <c r="C45" s="331">
        <v>21396</v>
      </c>
      <c r="D45" s="126">
        <v>3389</v>
      </c>
      <c r="E45" s="254">
        <v>46052</v>
      </c>
      <c r="F45" s="253" t="s">
        <v>236</v>
      </c>
      <c r="G45" s="126" t="s">
        <v>270</v>
      </c>
      <c r="H45" s="252"/>
      <c r="I45" s="252">
        <v>2854.3</v>
      </c>
      <c r="J45" s="125">
        <v>46094</v>
      </c>
      <c r="K45" s="335">
        <v>46076</v>
      </c>
      <c r="L45" s="419">
        <v>2854.3</v>
      </c>
      <c r="M45" s="308">
        <f>Tabela224657[[#This Row],[VENDA]]+Tabela224657[[#This Row],[MÃO DE OBRA]]-Tabela224657[[#This Row],[VALOR PAGO]]</f>
        <v>0</v>
      </c>
    </row>
    <row r="46" spans="1:13" ht="15" thickBot="1" x14ac:dyDescent="0.35">
      <c r="A46" s="106"/>
      <c r="B46" s="74"/>
      <c r="C46" s="329"/>
      <c r="D46" s="8"/>
      <c r="E46" s="240"/>
      <c r="F46" s="86"/>
      <c r="G46" s="86"/>
      <c r="H46" s="248"/>
      <c r="I46" s="248"/>
      <c r="J46" s="80"/>
      <c r="K46" s="8"/>
      <c r="L46" s="238"/>
      <c r="M46" s="302">
        <f>Tabela224657[[#This Row],[VENDA]]+Tabela224657[[#This Row],[MÃO DE OBRA]]-Tabela224657[[#This Row],[VALOR PAGO]]</f>
        <v>0</v>
      </c>
    </row>
    <row r="47" spans="1:13" ht="15" thickBot="1" x14ac:dyDescent="0.35">
      <c r="A47" s="106"/>
      <c r="B47" s="74"/>
      <c r="C47" s="325"/>
      <c r="D47" s="8"/>
      <c r="E47" s="240"/>
      <c r="F47" s="8"/>
      <c r="G47" s="8"/>
      <c r="H47" s="248"/>
      <c r="I47" s="248"/>
      <c r="J47" s="80"/>
      <c r="K47" s="8"/>
      <c r="L47" s="238"/>
      <c r="M47" s="239">
        <f>Tabela224657[[#This Row],[VENDA]]+Tabela224657[[#This Row],[MÃO DE OBRA]]-Tabela224657[[#This Row],[VALOR PAGO]]</f>
        <v>0</v>
      </c>
    </row>
    <row r="48" spans="1:13" ht="15" thickBot="1" x14ac:dyDescent="0.35">
      <c r="A48" s="106"/>
      <c r="B48" s="243"/>
      <c r="C48" s="393"/>
      <c r="D48" s="126"/>
      <c r="E48" s="254"/>
      <c r="F48" s="126"/>
      <c r="G48" s="126"/>
      <c r="H48" s="252"/>
      <c r="I48" s="252"/>
      <c r="J48" s="125"/>
      <c r="K48" s="126"/>
      <c r="L48" s="247"/>
      <c r="M48" s="239">
        <f>Tabela224657[[#This Row],[VENDA]]+Tabela224657[[#This Row],[MÃO DE OBRA]]-Tabela224657[[#This Row],[VALOR PAGO]]</f>
        <v>0</v>
      </c>
    </row>
    <row r="49" spans="1:13" ht="15" thickBot="1" x14ac:dyDescent="0.35">
      <c r="A49" s="106"/>
      <c r="B49" s="74"/>
      <c r="C49" s="86"/>
      <c r="D49" s="8"/>
      <c r="E49" s="240"/>
      <c r="F49" s="86"/>
      <c r="G49" s="8"/>
      <c r="H49" s="248"/>
      <c r="I49" s="248"/>
      <c r="J49" s="80"/>
      <c r="K49" s="8"/>
      <c r="L49" s="238"/>
      <c r="M49" s="239">
        <f>Tabela224657[[#This Row],[VENDA]]+Tabela224657[[#This Row],[MÃO DE OBRA]]-Tabela224657[[#This Row],[VALOR PAGO]]</f>
        <v>0</v>
      </c>
    </row>
    <row r="50" spans="1:13" ht="15" thickBot="1" x14ac:dyDescent="0.35">
      <c r="A50" s="106"/>
      <c r="B50" s="243"/>
      <c r="C50" s="126"/>
      <c r="D50" s="126"/>
      <c r="E50" s="126"/>
      <c r="F50" s="126"/>
      <c r="G50" s="126"/>
      <c r="H50" s="252"/>
      <c r="I50" s="252"/>
      <c r="J50" s="125"/>
      <c r="K50" s="126"/>
      <c r="L50" s="247"/>
      <c r="M50" s="239">
        <f>Tabela224657[[#This Row],[VENDA]]+Tabela224657[[#This Row],[MÃO DE OBRA]]-Tabela224657[[#This Row],[VALOR PAGO]]</f>
        <v>0</v>
      </c>
    </row>
    <row r="51" spans="1:13" ht="15" thickBot="1" x14ac:dyDescent="0.35">
      <c r="A51" s="106"/>
      <c r="B51" s="74"/>
      <c r="C51" s="8"/>
      <c r="D51" s="8"/>
      <c r="E51" s="8"/>
      <c r="F51" s="8"/>
      <c r="G51" s="8"/>
      <c r="H51" s="248"/>
      <c r="I51" s="248"/>
      <c r="J51" s="80"/>
      <c r="K51" s="8"/>
      <c r="L51" s="238"/>
      <c r="M51" s="239">
        <f>Tabela224657[[#This Row],[VENDA]]+Tabela224657[[#This Row],[MÃO DE OBRA]]-Tabela224657[[#This Row],[VALOR PAGO]]</f>
        <v>0</v>
      </c>
    </row>
    <row r="52" spans="1:13" ht="15" thickBot="1" x14ac:dyDescent="0.35">
      <c r="A52" s="106"/>
      <c r="B52" s="243"/>
      <c r="C52" s="126"/>
      <c r="D52" s="126"/>
      <c r="E52" s="126"/>
      <c r="F52" s="126"/>
      <c r="G52" s="126"/>
      <c r="H52" s="252"/>
      <c r="I52" s="252"/>
      <c r="J52" s="125"/>
      <c r="K52" s="126"/>
      <c r="L52" s="247"/>
      <c r="M52" s="239">
        <f>Tabela224657[[#This Row],[VENDA]]+Tabela224657[[#This Row],[MÃO DE OBRA]]-Tabela224657[[#This Row],[VALOR PAGO]]</f>
        <v>0</v>
      </c>
    </row>
    <row r="53" spans="1:13" ht="13.8" customHeight="1" thickBot="1" x14ac:dyDescent="0.35">
      <c r="B53" s="92"/>
      <c r="C53" s="8" t="s">
        <v>256</v>
      </c>
      <c r="D53" s="8"/>
      <c r="E53" s="8"/>
      <c r="F53" s="8"/>
      <c r="G53" s="8"/>
      <c r="H53" s="256">
        <f>SUM(H21:H52)</f>
        <v>26211.471999999998</v>
      </c>
      <c r="I53" s="257">
        <f>SUM(I21:I52)</f>
        <v>24304.570000000003</v>
      </c>
      <c r="J53" s="80"/>
      <c r="K53" s="8"/>
      <c r="L53" s="258">
        <f>SUM(L21:L52)</f>
        <v>50993.16</v>
      </c>
      <c r="M53" s="259">
        <f>SUM(M21:M52)</f>
        <v>-477.11800000000272</v>
      </c>
    </row>
    <row r="54" spans="1:13" ht="18.600000000000001" thickBot="1" x14ac:dyDescent="0.4">
      <c r="B54" s="660" t="s">
        <v>257</v>
      </c>
      <c r="C54" s="661"/>
      <c r="D54" s="260">
        <f>Tabela224657[[#Totals],[VENDA]]</f>
        <v>26211.471999999998</v>
      </c>
      <c r="E54" s="261"/>
      <c r="F54" s="321"/>
      <c r="G54" s="322"/>
      <c r="H54" s="263"/>
      <c r="I54" s="264"/>
      <c r="J54" s="261"/>
      <c r="K54" s="261"/>
      <c r="L54" s="261"/>
      <c r="M54" s="265"/>
    </row>
    <row r="55" spans="1:13" ht="18.600000000000001" thickBot="1" x14ac:dyDescent="0.4">
      <c r="B55" s="662" t="s">
        <v>258</v>
      </c>
      <c r="C55" s="663"/>
      <c r="D55" s="266">
        <f>Tabela224657[[#Totals],[MÃO DE OBRA]]</f>
        <v>24304.570000000003</v>
      </c>
      <c r="E55" s="267"/>
      <c r="F55" s="323"/>
      <c r="G55" s="324"/>
      <c r="H55" s="269"/>
      <c r="I55" s="270"/>
      <c r="J55" s="267"/>
      <c r="K55" s="267"/>
      <c r="L55" s="267"/>
      <c r="M55" s="271"/>
    </row>
    <row r="56" spans="1:13" ht="19.8" customHeight="1" thickBot="1" x14ac:dyDescent="0.45">
      <c r="A56" s="106"/>
      <c r="B56" s="272" t="s">
        <v>259</v>
      </c>
      <c r="C56" s="664">
        <f>SUM(D54+D55)</f>
        <v>50516.042000000001</v>
      </c>
      <c r="D56" s="665"/>
      <c r="E56" s="273"/>
      <c r="F56" s="642" t="s">
        <v>260</v>
      </c>
      <c r="G56" s="642"/>
      <c r="H56" s="642">
        <f>Tabela224657[[#Totals],[VALOR PAGO]]</f>
        <v>50993.16</v>
      </c>
      <c r="I56" s="642"/>
      <c r="J56" s="666" t="s">
        <v>261</v>
      </c>
      <c r="K56" s="666"/>
      <c r="L56" s="642">
        <f>Tabela224657[[#Totals],[VALOR EM ABERTO]]</f>
        <v>-477.11800000000272</v>
      </c>
      <c r="M56" s="643"/>
    </row>
  </sheetData>
  <mergeCells count="12">
    <mergeCell ref="L56:M56"/>
    <mergeCell ref="B2:M3"/>
    <mergeCell ref="B4:B5"/>
    <mergeCell ref="C4:G4"/>
    <mergeCell ref="H4:M4"/>
    <mergeCell ref="B19:C19"/>
    <mergeCell ref="B54:C54"/>
    <mergeCell ref="B55:C55"/>
    <mergeCell ref="C56:D56"/>
    <mergeCell ref="F56:G56"/>
    <mergeCell ref="H56:I56"/>
    <mergeCell ref="J56:K56"/>
  </mergeCells>
  <pageMargins left="0.11811023622047245" right="0.11811023622047245" top="0.39370078740157483" bottom="0.19685039370078741" header="0.31496062992125984" footer="0.31496062992125984"/>
  <pageSetup paperSize="9" scale="64" orientation="landscape" r:id="rId1"/>
  <drawing r:id="rId2"/>
  <legacy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47A3-41C1-4BFF-B02B-11FC8BB7083F}">
  <dimension ref="A1:T79"/>
  <sheetViews>
    <sheetView showGridLines="0" topLeftCell="A54" zoomScale="110" zoomScaleNormal="110" workbookViewId="0">
      <selection activeCell="F46" sqref="F46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7.33203125" customWidth="1"/>
    <col min="7" max="10" width="14.77734375" customWidth="1"/>
    <col min="11" max="11" width="15.77734375" customWidth="1"/>
    <col min="12" max="13" width="14.77734375" customWidth="1"/>
    <col min="14" max="14" width="96.77734375" bestFit="1" customWidth="1"/>
  </cols>
  <sheetData>
    <row r="1" spans="1:20" ht="16.8" customHeight="1" thickBot="1" x14ac:dyDescent="0.35"/>
    <row r="2" spans="1:20" ht="14.4" customHeight="1" x14ac:dyDescent="0.5">
      <c r="A2" s="54"/>
      <c r="B2" s="667" t="s">
        <v>239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9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70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73" t="s">
        <v>248</v>
      </c>
      <c r="D4" s="674"/>
      <c r="E4" s="674"/>
      <c r="F4" s="674"/>
      <c r="G4" s="675"/>
      <c r="H4" s="676" t="s">
        <v>249</v>
      </c>
      <c r="I4" s="677"/>
      <c r="J4" s="677"/>
      <c r="K4" s="677"/>
      <c r="L4" s="677"/>
      <c r="M4" s="678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369">
        <v>126073.37</v>
      </c>
      <c r="D6" s="370">
        <v>270562.53000000003</v>
      </c>
      <c r="E6" s="371">
        <v>49887.66</v>
      </c>
      <c r="F6" s="370">
        <v>0</v>
      </c>
      <c r="G6" s="372">
        <v>0</v>
      </c>
      <c r="H6" s="370">
        <v>0</v>
      </c>
      <c r="I6" s="372">
        <v>0</v>
      </c>
      <c r="J6" s="370">
        <v>0</v>
      </c>
      <c r="K6" s="372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373">
        <v>166235.96</v>
      </c>
      <c r="D7" s="374">
        <v>324984.96999999997</v>
      </c>
      <c r="E7" s="97">
        <v>15513.83</v>
      </c>
      <c r="F7" s="374">
        <v>0</v>
      </c>
      <c r="G7" s="375">
        <v>0</v>
      </c>
      <c r="H7" s="374">
        <v>0</v>
      </c>
      <c r="I7" s="375">
        <v>0</v>
      </c>
      <c r="J7" s="374">
        <v>0</v>
      </c>
      <c r="K7" s="375">
        <v>0</v>
      </c>
      <c r="L7" s="374">
        <v>0</v>
      </c>
      <c r="M7" s="375">
        <v>0</v>
      </c>
    </row>
    <row r="8" spans="1:20" ht="12" customHeight="1" x14ac:dyDescent="0.3">
      <c r="A8" s="54"/>
      <c r="B8" s="201" t="s">
        <v>216</v>
      </c>
      <c r="C8" s="369">
        <v>119814.85</v>
      </c>
      <c r="D8" s="370">
        <v>256001.57</v>
      </c>
      <c r="E8" s="376">
        <v>32410.22</v>
      </c>
      <c r="F8" s="370">
        <v>0</v>
      </c>
      <c r="G8" s="372">
        <v>0</v>
      </c>
      <c r="H8" s="370">
        <v>0</v>
      </c>
      <c r="I8" s="372">
        <v>0</v>
      </c>
      <c r="J8" s="370">
        <v>0</v>
      </c>
      <c r="K8" s="372">
        <v>0</v>
      </c>
      <c r="L8" s="370">
        <v>0</v>
      </c>
      <c r="M8" s="372">
        <v>0</v>
      </c>
    </row>
    <row r="9" spans="1:20" ht="12" customHeight="1" x14ac:dyDescent="0.3">
      <c r="A9" s="54"/>
      <c r="B9" s="208" t="s">
        <v>217</v>
      </c>
      <c r="C9" s="373">
        <v>112668.22</v>
      </c>
      <c r="D9" s="374">
        <v>136419.94</v>
      </c>
      <c r="E9" s="97">
        <v>23117.53</v>
      </c>
      <c r="F9" s="374">
        <v>0</v>
      </c>
      <c r="G9" s="375">
        <v>0</v>
      </c>
      <c r="H9" s="374">
        <v>0</v>
      </c>
      <c r="I9" s="375">
        <v>0</v>
      </c>
      <c r="J9" s="374">
        <v>0</v>
      </c>
      <c r="K9" s="375">
        <v>0</v>
      </c>
      <c r="L9" s="374">
        <v>0</v>
      </c>
      <c r="M9" s="375">
        <v>0</v>
      </c>
    </row>
    <row r="10" spans="1:20" ht="12" customHeight="1" x14ac:dyDescent="0.3">
      <c r="A10" s="54"/>
      <c r="B10" s="201" t="s">
        <v>218</v>
      </c>
      <c r="C10" s="369">
        <v>39597.94</v>
      </c>
      <c r="D10" s="370">
        <v>57014.400000000001</v>
      </c>
      <c r="E10" s="376">
        <v>11710.4</v>
      </c>
      <c r="F10" s="370">
        <v>0</v>
      </c>
      <c r="G10" s="372">
        <v>0</v>
      </c>
      <c r="H10" s="370">
        <v>0</v>
      </c>
      <c r="I10" s="372">
        <v>0</v>
      </c>
      <c r="J10" s="370">
        <v>0</v>
      </c>
      <c r="K10" s="372">
        <v>0</v>
      </c>
      <c r="L10" s="370">
        <v>0</v>
      </c>
      <c r="M10" s="372">
        <v>0</v>
      </c>
    </row>
    <row r="11" spans="1:20" ht="12" customHeight="1" x14ac:dyDescent="0.3">
      <c r="A11" s="54"/>
      <c r="B11" s="208" t="s">
        <v>219</v>
      </c>
      <c r="C11" s="373">
        <v>77419.240000000005</v>
      </c>
      <c r="D11" s="374">
        <v>259261.92</v>
      </c>
      <c r="E11" s="97">
        <v>32986.86</v>
      </c>
      <c r="F11" s="374">
        <v>0</v>
      </c>
      <c r="G11" s="375">
        <v>0</v>
      </c>
      <c r="H11" s="374">
        <v>0</v>
      </c>
      <c r="I11" s="375">
        <v>0</v>
      </c>
      <c r="J11" s="374">
        <v>0</v>
      </c>
      <c r="K11" s="375">
        <v>0</v>
      </c>
      <c r="L11" s="374">
        <v>0</v>
      </c>
      <c r="M11" s="375">
        <v>0</v>
      </c>
    </row>
    <row r="12" spans="1:20" ht="12" customHeight="1" x14ac:dyDescent="0.3">
      <c r="A12" s="54"/>
      <c r="B12" s="201" t="s">
        <v>220</v>
      </c>
      <c r="C12" s="369">
        <v>74963.62</v>
      </c>
      <c r="D12" s="370">
        <v>191964.91</v>
      </c>
      <c r="E12" s="376">
        <v>8086.81</v>
      </c>
      <c r="F12" s="370">
        <v>0</v>
      </c>
      <c r="G12" s="372">
        <v>0</v>
      </c>
      <c r="H12" s="370">
        <v>0</v>
      </c>
      <c r="I12" s="372">
        <v>0</v>
      </c>
      <c r="J12" s="370">
        <v>0</v>
      </c>
      <c r="K12" s="372">
        <v>0</v>
      </c>
      <c r="L12" s="370">
        <v>0</v>
      </c>
      <c r="M12" s="372">
        <v>0</v>
      </c>
    </row>
    <row r="13" spans="1:20" ht="12" customHeight="1" x14ac:dyDescent="0.3">
      <c r="A13" s="54"/>
      <c r="B13" s="208" t="s">
        <v>221</v>
      </c>
      <c r="C13" s="373">
        <v>152485.66</v>
      </c>
      <c r="D13" s="374">
        <v>273158.84999999998</v>
      </c>
      <c r="E13" s="97">
        <v>22122.22</v>
      </c>
      <c r="F13" s="374">
        <v>0</v>
      </c>
      <c r="G13" s="375">
        <v>0</v>
      </c>
      <c r="H13" s="374">
        <v>0</v>
      </c>
      <c r="I13" s="375">
        <v>0</v>
      </c>
      <c r="J13" s="374">
        <v>0</v>
      </c>
      <c r="K13" s="375">
        <v>0</v>
      </c>
      <c r="L13" s="374">
        <v>0</v>
      </c>
      <c r="M13" s="375">
        <v>0</v>
      </c>
    </row>
    <row r="14" spans="1:20" ht="12" customHeight="1" x14ac:dyDescent="0.3">
      <c r="A14" s="54"/>
      <c r="B14" s="201" t="s">
        <v>211</v>
      </c>
      <c r="C14" s="369">
        <v>171282.48</v>
      </c>
      <c r="D14" s="370">
        <v>63159.51</v>
      </c>
      <c r="E14" s="376">
        <v>36466.42</v>
      </c>
      <c r="F14" s="370">
        <v>0</v>
      </c>
      <c r="G14" s="372">
        <v>0</v>
      </c>
      <c r="H14" s="370">
        <v>0</v>
      </c>
      <c r="I14" s="372">
        <v>0</v>
      </c>
      <c r="J14" s="370">
        <v>0</v>
      </c>
      <c r="K14" s="372">
        <v>0</v>
      </c>
      <c r="L14" s="370">
        <v>0</v>
      </c>
      <c r="M14" s="372">
        <v>0</v>
      </c>
    </row>
    <row r="15" spans="1:20" ht="12" customHeight="1" x14ac:dyDescent="0.3">
      <c r="A15" s="54"/>
      <c r="B15" s="208" t="s">
        <v>222</v>
      </c>
      <c r="C15" s="373">
        <v>168433.06</v>
      </c>
      <c r="D15" s="374">
        <v>53077.38</v>
      </c>
      <c r="E15" s="97">
        <v>99828</v>
      </c>
      <c r="F15" s="374">
        <v>0</v>
      </c>
      <c r="G15" s="375">
        <v>0</v>
      </c>
      <c r="H15" s="374"/>
      <c r="I15" s="375">
        <v>0</v>
      </c>
      <c r="J15" s="374">
        <v>0</v>
      </c>
      <c r="K15" s="375">
        <v>0</v>
      </c>
      <c r="L15" s="374">
        <v>0</v>
      </c>
      <c r="M15" s="375">
        <v>0</v>
      </c>
    </row>
    <row r="16" spans="1:20" ht="12" customHeight="1" x14ac:dyDescent="0.3">
      <c r="A16" s="54"/>
      <c r="B16" s="201" t="s">
        <v>212</v>
      </c>
      <c r="C16" s="369">
        <v>155757.68</v>
      </c>
      <c r="D16" s="370">
        <v>15517.44</v>
      </c>
      <c r="E16" s="376">
        <v>0</v>
      </c>
      <c r="F16" s="370">
        <v>0</v>
      </c>
      <c r="G16" s="372">
        <v>0</v>
      </c>
      <c r="H16" s="370">
        <v>0</v>
      </c>
      <c r="I16" s="372">
        <v>0</v>
      </c>
      <c r="J16" s="370">
        <v>0</v>
      </c>
      <c r="K16" s="372">
        <v>0</v>
      </c>
      <c r="L16" s="370">
        <v>0</v>
      </c>
      <c r="M16" s="372">
        <v>0</v>
      </c>
    </row>
    <row r="17" spans="1:14" ht="12" customHeight="1" thickBot="1" x14ac:dyDescent="0.35">
      <c r="A17" s="54"/>
      <c r="B17" s="214" t="s">
        <v>213</v>
      </c>
      <c r="C17" s="377">
        <v>163379.07999999999</v>
      </c>
      <c r="D17" s="377">
        <v>9580.01</v>
      </c>
      <c r="E17" s="377">
        <v>0</v>
      </c>
      <c r="F17" s="378">
        <v>0</v>
      </c>
      <c r="G17" s="378">
        <v>0</v>
      </c>
      <c r="H17" s="378">
        <v>0</v>
      </c>
      <c r="I17" s="379">
        <v>0</v>
      </c>
      <c r="J17" s="378">
        <v>0</v>
      </c>
      <c r="K17" s="379">
        <v>0</v>
      </c>
      <c r="L17" s="378">
        <v>0</v>
      </c>
      <c r="M17" s="378">
        <v>0</v>
      </c>
    </row>
    <row r="18" spans="1:14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332129.95</v>
      </c>
      <c r="F18" s="221">
        <f>SUM(F6:F17)</f>
        <v>0</v>
      </c>
      <c r="G18" s="222">
        <v>0</v>
      </c>
      <c r="H18" s="221">
        <f>SUM(H6:H17)</f>
        <v>0</v>
      </c>
      <c r="I18" s="222">
        <v>0</v>
      </c>
      <c r="J18" s="223">
        <f>SUM(J6:J17)</f>
        <v>0</v>
      </c>
      <c r="K18" s="224">
        <v>0</v>
      </c>
      <c r="L18" s="380">
        <f>SUM(L6:L17)</f>
        <v>0</v>
      </c>
      <c r="M18" s="222">
        <v>0</v>
      </c>
    </row>
    <row r="19" spans="1:14" ht="15" customHeight="1" thickBot="1" x14ac:dyDescent="0.35">
      <c r="B19" s="658" t="s">
        <v>274</v>
      </c>
      <c r="C19" s="659"/>
      <c r="D19" s="226">
        <f>SUM(I18+F18)</f>
        <v>0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4" ht="27.6" customHeight="1" thickBot="1" x14ac:dyDescent="0.35">
      <c r="A20" s="54"/>
      <c r="B20" s="229" t="s">
        <v>251</v>
      </c>
      <c r="C20" s="230" t="s">
        <v>223</v>
      </c>
      <c r="D20" s="231" t="s">
        <v>232</v>
      </c>
      <c r="E20" s="232" t="s">
        <v>224</v>
      </c>
      <c r="F20" s="231" t="s">
        <v>225</v>
      </c>
      <c r="G20" s="231" t="s">
        <v>268</v>
      </c>
      <c r="H20" s="231" t="s">
        <v>226</v>
      </c>
      <c r="I20" s="231" t="s">
        <v>227</v>
      </c>
      <c r="J20" s="231" t="s">
        <v>228</v>
      </c>
      <c r="K20" s="232" t="s">
        <v>229</v>
      </c>
      <c r="L20" s="231" t="s">
        <v>252</v>
      </c>
      <c r="M20" s="233" t="s">
        <v>230</v>
      </c>
      <c r="N20" s="390" t="s">
        <v>321</v>
      </c>
    </row>
    <row r="21" spans="1:14" s="383" customFormat="1" ht="15" thickBot="1" x14ac:dyDescent="0.35">
      <c r="B21" s="363" t="s">
        <v>249</v>
      </c>
      <c r="C21" s="364">
        <v>21626</v>
      </c>
      <c r="D21" s="440">
        <v>3369</v>
      </c>
      <c r="E21" s="366">
        <v>46066</v>
      </c>
      <c r="F21" s="384" t="s">
        <v>254</v>
      </c>
      <c r="G21" s="365" t="s">
        <v>271</v>
      </c>
      <c r="H21" s="385">
        <v>2875.2</v>
      </c>
      <c r="I21" s="386"/>
      <c r="J21" s="387">
        <v>46066</v>
      </c>
      <c r="K21" s="444">
        <v>46066</v>
      </c>
      <c r="L21" s="367">
        <v>2875.2</v>
      </c>
      <c r="M21" s="388">
        <f>Tabela2246578[[#This Row],[VENDA]]+Tabela2246578[[#This Row],[MÃO DE OBRA]]-Tabela2246578[[#This Row],[VALOR PAGO]]</f>
        <v>0</v>
      </c>
    </row>
    <row r="22" spans="1:14" x14ac:dyDescent="0.3">
      <c r="B22" s="234" t="s">
        <v>248</v>
      </c>
      <c r="C22" s="396">
        <v>21440</v>
      </c>
      <c r="D22" s="441">
        <v>3389</v>
      </c>
      <c r="E22" s="237">
        <v>46056</v>
      </c>
      <c r="F22" s="235" t="s">
        <v>236</v>
      </c>
      <c r="G22" s="236" t="s">
        <v>270</v>
      </c>
      <c r="H22" s="311"/>
      <c r="I22" s="311">
        <v>119.35</v>
      </c>
      <c r="J22" s="310">
        <v>46084</v>
      </c>
      <c r="K22" s="333">
        <v>46071</v>
      </c>
      <c r="L22" s="255">
        <v>119.35</v>
      </c>
      <c r="M22" s="239">
        <f>Tabela2246578[[#This Row],[VENDA]]+Tabela2246578[[#This Row],[MÃO DE OBRA]]-Tabela2246578[[#This Row],[VALOR PAGO]]</f>
        <v>0</v>
      </c>
    </row>
    <row r="23" spans="1:14" x14ac:dyDescent="0.3">
      <c r="B23" s="152" t="s">
        <v>248</v>
      </c>
      <c r="C23" s="397">
        <v>21440</v>
      </c>
      <c r="D23" s="442">
        <v>3389</v>
      </c>
      <c r="E23" s="240">
        <v>46056</v>
      </c>
      <c r="F23" s="86" t="s">
        <v>236</v>
      </c>
      <c r="G23" s="8" t="s">
        <v>270</v>
      </c>
      <c r="H23" s="76"/>
      <c r="I23" s="248">
        <v>119.35</v>
      </c>
      <c r="J23" s="80">
        <v>46091</v>
      </c>
      <c r="K23" s="328">
        <v>46071</v>
      </c>
      <c r="L23" s="238">
        <v>119.35</v>
      </c>
      <c r="M23" s="302">
        <f>Tabela2246578[[#This Row],[VENDA]]+Tabela2246578[[#This Row],[MÃO DE OBRA]]-Tabela2246578[[#This Row],[VALOR PAGO]]</f>
        <v>0</v>
      </c>
    </row>
    <row r="24" spans="1:14" ht="15" thickBot="1" x14ac:dyDescent="0.35">
      <c r="B24" s="152" t="s">
        <v>248</v>
      </c>
      <c r="C24" s="397">
        <v>21440</v>
      </c>
      <c r="D24" s="442">
        <v>3389</v>
      </c>
      <c r="E24" s="240">
        <v>46056</v>
      </c>
      <c r="F24" s="86" t="s">
        <v>236</v>
      </c>
      <c r="G24" s="8" t="s">
        <v>270</v>
      </c>
      <c r="H24" s="248"/>
      <c r="I24" s="248">
        <v>119.35</v>
      </c>
      <c r="J24" s="80">
        <v>46098</v>
      </c>
      <c r="K24" s="328">
        <v>46076</v>
      </c>
      <c r="L24" s="238">
        <v>119.35</v>
      </c>
      <c r="M24" s="302">
        <f>Tabela2246578[[#This Row],[VENDA]]+Tabela2246578[[#This Row],[MÃO DE OBRA]]-Tabela2246578[[#This Row],[VALOR PAGO]]</f>
        <v>0</v>
      </c>
    </row>
    <row r="25" spans="1:14" ht="15" thickBot="1" x14ac:dyDescent="0.35">
      <c r="B25" s="234" t="s">
        <v>248</v>
      </c>
      <c r="C25" s="396">
        <v>21521</v>
      </c>
      <c r="D25" s="236">
        <v>3522</v>
      </c>
      <c r="E25" s="237">
        <v>46059</v>
      </c>
      <c r="F25" s="235" t="s">
        <v>236</v>
      </c>
      <c r="G25" s="236" t="s">
        <v>270</v>
      </c>
      <c r="H25" s="309"/>
      <c r="I25" s="309">
        <v>134.55000000000001</v>
      </c>
      <c r="J25" s="310">
        <v>46087</v>
      </c>
      <c r="K25" s="333">
        <v>46071</v>
      </c>
      <c r="L25" s="255">
        <v>134.55000000000001</v>
      </c>
      <c r="M25" s="239">
        <f>Tabela2246578[[#This Row],[VENDA]]+Tabela2246578[[#This Row],[MÃO DE OBRA]]-Tabela2246578[[#This Row],[VALOR PAGO]]</f>
        <v>0</v>
      </c>
    </row>
    <row r="26" spans="1:14" x14ac:dyDescent="0.3">
      <c r="B26" s="234" t="s">
        <v>249</v>
      </c>
      <c r="C26" s="394">
        <v>662</v>
      </c>
      <c r="D26" s="236">
        <v>624</v>
      </c>
      <c r="E26" s="237">
        <v>46059</v>
      </c>
      <c r="F26" s="235" t="s">
        <v>315</v>
      </c>
      <c r="G26" s="236" t="s">
        <v>316</v>
      </c>
      <c r="H26" s="311">
        <v>1932</v>
      </c>
      <c r="I26" s="311"/>
      <c r="J26" s="310">
        <v>46089</v>
      </c>
      <c r="K26" s="333">
        <v>46093</v>
      </c>
      <c r="L26" s="255">
        <v>1288.8800000000001</v>
      </c>
      <c r="M26" s="239">
        <f>Tabela2246578[[#This Row],[VENDA]]+Tabela2246578[[#This Row],[MÃO DE OBRA]]-Tabela2246578[[#This Row],[VALOR PAGO]]</f>
        <v>643.11999999999989</v>
      </c>
    </row>
    <row r="27" spans="1:14" ht="15" thickBot="1" x14ac:dyDescent="0.35">
      <c r="B27" s="241" t="s">
        <v>249</v>
      </c>
      <c r="C27" s="395">
        <v>662</v>
      </c>
      <c r="D27" s="126">
        <v>624</v>
      </c>
      <c r="E27" s="254">
        <v>46059</v>
      </c>
      <c r="F27" s="253" t="s">
        <v>315</v>
      </c>
      <c r="G27" s="126" t="s">
        <v>316</v>
      </c>
      <c r="H27" s="124">
        <v>1932</v>
      </c>
      <c r="I27" s="124"/>
      <c r="J27" s="125">
        <v>46104</v>
      </c>
      <c r="K27" s="335">
        <v>46101</v>
      </c>
      <c r="L27" s="247">
        <v>2577.7600000000002</v>
      </c>
      <c r="M27" s="327">
        <f>Tabela2246578[[#This Row],[VENDA]]+Tabela2246578[[#This Row],[MÃO DE OBRA]]-Tabela2246578[[#This Row],[VALOR PAGO]]</f>
        <v>-645.76000000000022</v>
      </c>
    </row>
    <row r="28" spans="1:14" ht="15" thickBot="1" x14ac:dyDescent="0.35">
      <c r="A28" s="106"/>
      <c r="B28" s="74" t="s">
        <v>249</v>
      </c>
      <c r="C28" s="329">
        <v>21607</v>
      </c>
      <c r="D28" s="8">
        <v>3643</v>
      </c>
      <c r="E28" s="240">
        <v>46065</v>
      </c>
      <c r="F28" s="86" t="s">
        <v>317</v>
      </c>
      <c r="G28" s="86" t="s">
        <v>272</v>
      </c>
      <c r="H28" s="381">
        <v>2666.77</v>
      </c>
      <c r="I28" s="381"/>
      <c r="J28" s="80">
        <v>46095</v>
      </c>
      <c r="K28" s="328">
        <v>46097</v>
      </c>
      <c r="L28" s="238">
        <v>2666.77</v>
      </c>
      <c r="M28" s="302">
        <f>Tabela2246578[[#This Row],[VENDA]]+Tabela2246578[[#This Row],[MÃO DE OBRA]]-Tabela2246578[[#This Row],[VALOR PAGO]]</f>
        <v>0</v>
      </c>
    </row>
    <row r="29" spans="1:14" ht="15" thickBot="1" x14ac:dyDescent="0.35">
      <c r="A29" s="106"/>
      <c r="B29" s="74" t="s">
        <v>249</v>
      </c>
      <c r="C29" s="329">
        <v>21607</v>
      </c>
      <c r="D29" s="8">
        <v>3643</v>
      </c>
      <c r="E29" s="240">
        <v>46065</v>
      </c>
      <c r="F29" s="86" t="s">
        <v>317</v>
      </c>
      <c r="G29" s="8" t="s">
        <v>272</v>
      </c>
      <c r="H29" s="381">
        <v>2666.77</v>
      </c>
      <c r="I29" s="381"/>
      <c r="J29" s="80">
        <v>46110</v>
      </c>
      <c r="K29" s="328">
        <v>46099</v>
      </c>
      <c r="L29" s="238">
        <v>2666.77</v>
      </c>
      <c r="M29" s="239">
        <f>Tabela2246578[[#This Row],[VENDA]]+Tabela2246578[[#This Row],[MÃO DE OBRA]]-Tabela2246578[[#This Row],[VALOR PAGO]]</f>
        <v>0</v>
      </c>
    </row>
    <row r="30" spans="1:14" ht="15" thickBot="1" x14ac:dyDescent="0.35">
      <c r="A30" s="106"/>
      <c r="B30" s="243" t="s">
        <v>249</v>
      </c>
      <c r="C30" s="331">
        <v>21607</v>
      </c>
      <c r="D30" s="126">
        <v>3643</v>
      </c>
      <c r="E30" s="254">
        <v>46065</v>
      </c>
      <c r="F30" s="253" t="s">
        <v>317</v>
      </c>
      <c r="G30" s="126" t="s">
        <v>272</v>
      </c>
      <c r="H30" s="252">
        <v>2666.77</v>
      </c>
      <c r="I30" s="252"/>
      <c r="J30" s="125">
        <v>46125</v>
      </c>
      <c r="K30" s="335">
        <v>46099</v>
      </c>
      <c r="L30" s="447">
        <v>2661.79</v>
      </c>
      <c r="M30" s="239">
        <f>Tabela2246578[[#This Row],[VENDA]]+Tabela2246578[[#This Row],[MÃO DE OBRA]]-Tabela2246578[[#This Row],[VALOR PAGO]]</f>
        <v>4.9800000000000182</v>
      </c>
    </row>
    <row r="31" spans="1:14" ht="15" thickBot="1" x14ac:dyDescent="0.35">
      <c r="B31" s="234" t="s">
        <v>248</v>
      </c>
      <c r="C31" s="326">
        <v>21590</v>
      </c>
      <c r="D31" s="236">
        <v>3524</v>
      </c>
      <c r="E31" s="237">
        <v>46065</v>
      </c>
      <c r="F31" s="235" t="s">
        <v>236</v>
      </c>
      <c r="G31" s="236" t="s">
        <v>270</v>
      </c>
      <c r="H31" s="311"/>
      <c r="I31" s="311">
        <v>901.33</v>
      </c>
      <c r="J31" s="310">
        <v>46093</v>
      </c>
      <c r="K31" s="333">
        <v>46071</v>
      </c>
      <c r="L31" s="255">
        <v>901.32</v>
      </c>
      <c r="M31" s="239">
        <f>Tabela2246578[[#This Row],[VENDA]]+Tabela2246578[[#This Row],[MÃO DE OBRA]]-Tabela2246578[[#This Row],[VALOR PAGO]]</f>
        <v>9.9999999999909051E-3</v>
      </c>
    </row>
    <row r="32" spans="1:14" ht="15" thickBot="1" x14ac:dyDescent="0.35">
      <c r="B32" s="152" t="s">
        <v>248</v>
      </c>
      <c r="C32" s="329">
        <v>21590</v>
      </c>
      <c r="D32" s="8">
        <v>3524</v>
      </c>
      <c r="E32" s="240">
        <v>46065</v>
      </c>
      <c r="F32" s="86" t="s">
        <v>236</v>
      </c>
      <c r="G32" s="8" t="s">
        <v>270</v>
      </c>
      <c r="H32" s="248"/>
      <c r="I32" s="248">
        <v>901.33</v>
      </c>
      <c r="J32" s="80">
        <v>46100</v>
      </c>
      <c r="K32" s="328">
        <v>46078</v>
      </c>
      <c r="L32" s="420">
        <v>901.32</v>
      </c>
      <c r="M32" s="239">
        <f>Tabela2246578[[#This Row],[VENDA]]+Tabela2246578[[#This Row],[MÃO DE OBRA]]-Tabela2246578[[#This Row],[VALOR PAGO]]</f>
        <v>9.9999999999909051E-3</v>
      </c>
    </row>
    <row r="33" spans="2:13" ht="15" thickBot="1" x14ac:dyDescent="0.35">
      <c r="B33" s="241" t="s">
        <v>248</v>
      </c>
      <c r="C33" s="331">
        <v>21590</v>
      </c>
      <c r="D33" s="126">
        <v>3524</v>
      </c>
      <c r="E33" s="254">
        <v>46065</v>
      </c>
      <c r="F33" s="253" t="s">
        <v>236</v>
      </c>
      <c r="G33" s="126" t="s">
        <v>270</v>
      </c>
      <c r="H33" s="252"/>
      <c r="I33" s="252">
        <v>901.34</v>
      </c>
      <c r="J33" s="125">
        <v>46107</v>
      </c>
      <c r="K33" s="335">
        <v>46098</v>
      </c>
      <c r="L33" s="247">
        <v>901.31</v>
      </c>
      <c r="M33" s="308">
        <f>Tabela2246578[[#This Row],[VENDA]]+Tabela2246578[[#This Row],[MÃO DE OBRA]]-Tabela2246578[[#This Row],[VALOR PAGO]]</f>
        <v>3.0000000000086402E-2</v>
      </c>
    </row>
    <row r="34" spans="2:13" ht="15" thickBot="1" x14ac:dyDescent="0.35">
      <c r="B34" s="234" t="s">
        <v>248</v>
      </c>
      <c r="C34" s="326">
        <v>21598</v>
      </c>
      <c r="D34" s="236">
        <v>3524</v>
      </c>
      <c r="E34" s="237">
        <v>46065</v>
      </c>
      <c r="F34" s="235" t="s">
        <v>236</v>
      </c>
      <c r="G34" s="236" t="s">
        <v>270</v>
      </c>
      <c r="H34" s="311"/>
      <c r="I34" s="311">
        <v>2295.41</v>
      </c>
      <c r="J34" s="310">
        <v>46093</v>
      </c>
      <c r="K34" s="333">
        <v>46072</v>
      </c>
      <c r="L34" s="255">
        <v>2295.39</v>
      </c>
      <c r="M34" s="239">
        <f>Tabela2246578[[#This Row],[VENDA]]+Tabela2246578[[#This Row],[MÃO DE OBRA]]-Tabela2246578[[#This Row],[VALOR PAGO]]</f>
        <v>1.999999999998181E-2</v>
      </c>
    </row>
    <row r="35" spans="2:13" ht="15" thickBot="1" x14ac:dyDescent="0.35">
      <c r="B35" s="152" t="s">
        <v>248</v>
      </c>
      <c r="C35" s="329">
        <v>21598</v>
      </c>
      <c r="D35" s="8">
        <v>3524</v>
      </c>
      <c r="E35" s="240">
        <v>46065</v>
      </c>
      <c r="F35" s="86" t="s">
        <v>236</v>
      </c>
      <c r="G35" s="8" t="s">
        <v>270</v>
      </c>
      <c r="H35" s="248"/>
      <c r="I35" s="248">
        <v>2295.41</v>
      </c>
      <c r="J35" s="80">
        <v>46100</v>
      </c>
      <c r="K35" s="328">
        <v>46078</v>
      </c>
      <c r="L35" s="420">
        <v>1737.7</v>
      </c>
      <c r="M35" s="239">
        <f>Tabela2246578[[#This Row],[VENDA]]+Tabela2246578[[#This Row],[MÃO DE OBRA]]-Tabela2246578[[#This Row],[VALOR PAGO]]</f>
        <v>557.70999999999981</v>
      </c>
    </row>
    <row r="36" spans="2:13" ht="15" thickBot="1" x14ac:dyDescent="0.35">
      <c r="B36" s="241" t="s">
        <v>248</v>
      </c>
      <c r="C36" s="331">
        <v>21598</v>
      </c>
      <c r="D36" s="126">
        <v>3524</v>
      </c>
      <c r="E36" s="254">
        <v>46065</v>
      </c>
      <c r="F36" s="253" t="s">
        <v>236</v>
      </c>
      <c r="G36" s="126" t="s">
        <v>270</v>
      </c>
      <c r="H36" s="252"/>
      <c r="I36" s="252">
        <v>2295.4</v>
      </c>
      <c r="J36" s="125">
        <v>46107</v>
      </c>
      <c r="K36" s="335">
        <v>46098</v>
      </c>
      <c r="L36" s="419">
        <v>2853.09</v>
      </c>
      <c r="M36" s="308">
        <f>Tabela2246578[[#This Row],[VENDA]]+Tabela2246578[[#This Row],[MÃO DE OBRA]]-Tabela2246578[[#This Row],[VALOR PAGO]]</f>
        <v>-557.69000000000005</v>
      </c>
    </row>
    <row r="37" spans="2:13" ht="15" thickBot="1" x14ac:dyDescent="0.35">
      <c r="B37" s="303" t="s">
        <v>248</v>
      </c>
      <c r="C37" s="313">
        <v>21608</v>
      </c>
      <c r="D37" s="283">
        <v>3524</v>
      </c>
      <c r="E37" s="305">
        <v>46065</v>
      </c>
      <c r="F37" s="304" t="s">
        <v>236</v>
      </c>
      <c r="G37" s="283" t="s">
        <v>270</v>
      </c>
      <c r="H37" s="314"/>
      <c r="I37" s="314">
        <v>131.1</v>
      </c>
      <c r="J37" s="287">
        <v>46093</v>
      </c>
      <c r="K37" s="336">
        <v>46076</v>
      </c>
      <c r="L37" s="307">
        <v>131.1</v>
      </c>
      <c r="M37" s="308">
        <f>Tabela2246578[[#This Row],[VENDA]]+Tabela2246578[[#This Row],[MÃO DE OBRA]]-Tabela2246578[[#This Row],[VALOR PAGO]]</f>
        <v>0</v>
      </c>
    </row>
    <row r="38" spans="2:13" ht="15" thickBot="1" x14ac:dyDescent="0.35">
      <c r="B38" s="234" t="s">
        <v>248</v>
      </c>
      <c r="C38" s="326">
        <v>21554</v>
      </c>
      <c r="D38" s="441">
        <v>3459</v>
      </c>
      <c r="E38" s="237">
        <v>46063</v>
      </c>
      <c r="F38" s="235" t="s">
        <v>236</v>
      </c>
      <c r="G38" s="236" t="s">
        <v>270</v>
      </c>
      <c r="H38" s="311"/>
      <c r="I38" s="311">
        <v>3026.8</v>
      </c>
      <c r="J38" s="310">
        <v>46091</v>
      </c>
      <c r="K38" s="333">
        <v>46071</v>
      </c>
      <c r="L38" s="255">
        <v>3026.8</v>
      </c>
      <c r="M38" s="239">
        <f>Tabela2246578[[#This Row],[VENDA]]+Tabela2246578[[#This Row],[MÃO DE OBRA]]-Tabela2246578[[#This Row],[VALOR PAGO]]</f>
        <v>0</v>
      </c>
    </row>
    <row r="39" spans="2:13" ht="15" thickBot="1" x14ac:dyDescent="0.35">
      <c r="B39" s="152" t="s">
        <v>248</v>
      </c>
      <c r="C39" s="329">
        <v>21554</v>
      </c>
      <c r="D39" s="442">
        <v>3459</v>
      </c>
      <c r="E39" s="240">
        <v>46063</v>
      </c>
      <c r="F39" s="86" t="s">
        <v>236</v>
      </c>
      <c r="G39" s="8" t="s">
        <v>270</v>
      </c>
      <c r="H39" s="248"/>
      <c r="I39" s="248">
        <v>3026.8</v>
      </c>
      <c r="J39" s="80">
        <v>46098</v>
      </c>
      <c r="K39" s="328">
        <v>46078</v>
      </c>
      <c r="L39" s="420">
        <v>3026.8</v>
      </c>
      <c r="M39" s="239">
        <f>Tabela2246578[[#This Row],[VENDA]]+Tabela2246578[[#This Row],[MÃO DE OBRA]]-Tabela2246578[[#This Row],[VALOR PAGO]]</f>
        <v>0</v>
      </c>
    </row>
    <row r="40" spans="2:13" ht="15" thickBot="1" x14ac:dyDescent="0.35">
      <c r="B40" s="241" t="s">
        <v>248</v>
      </c>
      <c r="C40" s="331">
        <v>21554</v>
      </c>
      <c r="D40" s="443">
        <v>3459</v>
      </c>
      <c r="E40" s="254">
        <v>46063</v>
      </c>
      <c r="F40" s="253" t="s">
        <v>236</v>
      </c>
      <c r="G40" s="126" t="s">
        <v>270</v>
      </c>
      <c r="H40" s="252"/>
      <c r="I40" s="252">
        <v>3026.81</v>
      </c>
      <c r="J40" s="125">
        <v>46105</v>
      </c>
      <c r="K40" s="335">
        <v>46098</v>
      </c>
      <c r="L40" s="419">
        <v>3026.79</v>
      </c>
      <c r="M40" s="308">
        <f>Tabela2246578[[#This Row],[VENDA]]+Tabela2246578[[#This Row],[MÃO DE OBRA]]-Tabela2246578[[#This Row],[VALOR PAGO]]</f>
        <v>1.999999999998181E-2</v>
      </c>
    </row>
    <row r="41" spans="2:13" ht="15" thickBot="1" x14ac:dyDescent="0.35">
      <c r="B41" s="234" t="s">
        <v>248</v>
      </c>
      <c r="C41" s="326">
        <v>21669</v>
      </c>
      <c r="D41" s="236">
        <v>3658</v>
      </c>
      <c r="E41" s="237">
        <v>46070</v>
      </c>
      <c r="F41" s="235" t="s">
        <v>236</v>
      </c>
      <c r="G41" s="236" t="s">
        <v>270</v>
      </c>
      <c r="H41" s="311"/>
      <c r="I41" s="421">
        <v>408.83</v>
      </c>
      <c r="J41" s="310">
        <v>46098</v>
      </c>
      <c r="K41" s="333">
        <v>46078</v>
      </c>
      <c r="L41" s="255">
        <v>408.82</v>
      </c>
      <c r="M41" s="239">
        <f>Tabela2246578[[#This Row],[VENDA]]+Tabela2246578[[#This Row],[MÃO DE OBRA]]-Tabela2246578[[#This Row],[VALOR PAGO]]</f>
        <v>9.9999999999909051E-3</v>
      </c>
    </row>
    <row r="42" spans="2:13" ht="15" thickBot="1" x14ac:dyDescent="0.35">
      <c r="B42" s="241" t="s">
        <v>248</v>
      </c>
      <c r="C42" s="331">
        <v>21669</v>
      </c>
      <c r="D42" s="126">
        <v>3658</v>
      </c>
      <c r="E42" s="254">
        <v>46070</v>
      </c>
      <c r="F42" s="253" t="s">
        <v>236</v>
      </c>
      <c r="G42" s="126" t="s">
        <v>270</v>
      </c>
      <c r="H42" s="252"/>
      <c r="I42" s="423">
        <v>408.83</v>
      </c>
      <c r="J42" s="125">
        <v>46105</v>
      </c>
      <c r="K42" s="335">
        <v>46098</v>
      </c>
      <c r="L42" s="247">
        <v>408.82</v>
      </c>
      <c r="M42" s="308">
        <f>Tabela2246578[[#This Row],[VENDA]]+Tabela2246578[[#This Row],[MÃO DE OBRA]]-Tabela2246578[[#This Row],[VALOR PAGO]]</f>
        <v>9.9999999999909051E-3</v>
      </c>
    </row>
    <row r="43" spans="2:13" ht="15" thickBot="1" x14ac:dyDescent="0.35">
      <c r="B43" s="303" t="s">
        <v>248</v>
      </c>
      <c r="C43" s="313">
        <v>21670</v>
      </c>
      <c r="D43" s="283">
        <v>3522</v>
      </c>
      <c r="E43" s="305">
        <v>46070</v>
      </c>
      <c r="F43" s="304" t="s">
        <v>236</v>
      </c>
      <c r="G43" s="283" t="s">
        <v>270</v>
      </c>
      <c r="H43" s="314"/>
      <c r="I43" s="422">
        <v>136.28</v>
      </c>
      <c r="J43" s="287">
        <v>46098</v>
      </c>
      <c r="K43" s="336">
        <v>46094</v>
      </c>
      <c r="L43" s="307">
        <v>136.27000000000001</v>
      </c>
      <c r="M43" s="308">
        <f>Tabela2246578[[#This Row],[VENDA]]+Tabela2246578[[#This Row],[MÃO DE OBRA]]-Tabela2246578[[#This Row],[VALOR PAGO]]</f>
        <v>9.9999999999909051E-3</v>
      </c>
    </row>
    <row r="44" spans="2:13" ht="15" thickBot="1" x14ac:dyDescent="0.35">
      <c r="B44" s="303" t="s">
        <v>248</v>
      </c>
      <c r="C44" s="313">
        <v>21671</v>
      </c>
      <c r="D44" s="283">
        <v>3565</v>
      </c>
      <c r="E44" s="305">
        <v>46070</v>
      </c>
      <c r="F44" s="304" t="s">
        <v>237</v>
      </c>
      <c r="G44" s="283" t="s">
        <v>270</v>
      </c>
      <c r="H44" s="314" t="s">
        <v>244</v>
      </c>
      <c r="I44" s="314">
        <v>568.79999999999995</v>
      </c>
      <c r="J44" s="287">
        <v>46105</v>
      </c>
      <c r="K44" s="336">
        <v>46105</v>
      </c>
      <c r="L44" s="449">
        <v>568.79999999999995</v>
      </c>
      <c r="M44" s="308">
        <v>0</v>
      </c>
    </row>
    <row r="45" spans="2:13" ht="15" thickBot="1" x14ac:dyDescent="0.35">
      <c r="B45" s="303" t="s">
        <v>248</v>
      </c>
      <c r="C45" s="313">
        <v>21673</v>
      </c>
      <c r="D45" s="283">
        <v>3560</v>
      </c>
      <c r="E45" s="305">
        <v>46070</v>
      </c>
      <c r="F45" s="304" t="s">
        <v>237</v>
      </c>
      <c r="G45" s="283" t="s">
        <v>270</v>
      </c>
      <c r="H45" s="314"/>
      <c r="I45" s="314">
        <v>1404.23</v>
      </c>
      <c r="J45" s="287">
        <v>46105</v>
      </c>
      <c r="K45" s="336">
        <v>46105</v>
      </c>
      <c r="L45" s="307">
        <v>1404.23</v>
      </c>
      <c r="M45" s="308">
        <f>Tabela2246578[[#This Row],[VENDA]]+Tabela2246578[[#This Row],[MÃO DE OBRA]]-Tabela2246578[[#This Row],[VALOR PAGO]]</f>
        <v>0</v>
      </c>
    </row>
    <row r="46" spans="2:13" ht="15" thickBot="1" x14ac:dyDescent="0.35">
      <c r="B46" s="303" t="s">
        <v>249</v>
      </c>
      <c r="C46" s="313">
        <v>21723</v>
      </c>
      <c r="D46" s="283">
        <v>3637</v>
      </c>
      <c r="E46" s="305">
        <v>46072</v>
      </c>
      <c r="F46" s="304" t="s">
        <v>254</v>
      </c>
      <c r="G46" s="283" t="s">
        <v>271</v>
      </c>
      <c r="H46" s="314">
        <v>2809.31</v>
      </c>
      <c r="I46" s="314"/>
      <c r="J46" s="287">
        <v>46093</v>
      </c>
      <c r="K46" s="444">
        <v>46129</v>
      </c>
      <c r="L46" s="307">
        <v>2809.31</v>
      </c>
      <c r="M46" s="308">
        <f>Tabela2246578[[#This Row],[VENDA]]+Tabela2246578[[#This Row],[MÃO DE OBRA]]-Tabela2246578[[#This Row],[VALOR PAGO]]</f>
        <v>0</v>
      </c>
    </row>
    <row r="47" spans="2:13" ht="15" thickBot="1" x14ac:dyDescent="0.35">
      <c r="B47" s="234" t="s">
        <v>248</v>
      </c>
      <c r="C47" s="326">
        <v>21746</v>
      </c>
      <c r="D47" s="236">
        <v>3524</v>
      </c>
      <c r="E47" s="237">
        <v>46073</v>
      </c>
      <c r="F47" s="235" t="s">
        <v>236</v>
      </c>
      <c r="G47" s="236" t="s">
        <v>270</v>
      </c>
      <c r="H47" s="311"/>
      <c r="I47" s="311">
        <v>369.73</v>
      </c>
      <c r="J47" s="310">
        <v>46101</v>
      </c>
      <c r="K47" s="333">
        <v>46094</v>
      </c>
      <c r="L47" s="255">
        <v>369.72</v>
      </c>
      <c r="M47" s="239">
        <f>Tabela2246578[[#This Row],[VENDA]]+Tabela2246578[[#This Row],[MÃO DE OBRA]]-Tabela2246578[[#This Row],[VALOR PAGO]]</f>
        <v>9.9999999999909051E-3</v>
      </c>
    </row>
    <row r="48" spans="2:13" ht="15" thickBot="1" x14ac:dyDescent="0.35">
      <c r="B48" s="152" t="s">
        <v>248</v>
      </c>
      <c r="C48" s="329">
        <v>21746</v>
      </c>
      <c r="D48" s="8">
        <v>3524</v>
      </c>
      <c r="E48" s="240">
        <v>46073</v>
      </c>
      <c r="F48" s="86" t="s">
        <v>236</v>
      </c>
      <c r="G48" s="8" t="s">
        <v>270</v>
      </c>
      <c r="H48" s="248"/>
      <c r="I48" s="248">
        <v>369.73</v>
      </c>
      <c r="J48" s="80">
        <v>46108</v>
      </c>
      <c r="K48" s="328">
        <v>46105</v>
      </c>
      <c r="L48" s="238">
        <v>369.72</v>
      </c>
      <c r="M48" s="239">
        <f>Tabela2246578[[#This Row],[VENDA]]+Tabela2246578[[#This Row],[MÃO DE OBRA]]-Tabela2246578[[#This Row],[VALOR PAGO]]</f>
        <v>9.9999999999909051E-3</v>
      </c>
    </row>
    <row r="49" spans="1:14" ht="15" thickBot="1" x14ac:dyDescent="0.35">
      <c r="B49" s="241" t="s">
        <v>248</v>
      </c>
      <c r="C49" s="331">
        <v>21746</v>
      </c>
      <c r="D49" s="126">
        <v>3524</v>
      </c>
      <c r="E49" s="254">
        <v>46073</v>
      </c>
      <c r="F49" s="253" t="s">
        <v>236</v>
      </c>
      <c r="G49" s="126" t="s">
        <v>270</v>
      </c>
      <c r="H49" s="252"/>
      <c r="I49" s="252">
        <v>369.72</v>
      </c>
      <c r="J49" s="125">
        <v>46115</v>
      </c>
      <c r="K49" s="335">
        <v>46108</v>
      </c>
      <c r="L49" s="247">
        <v>369.73</v>
      </c>
      <c r="M49" s="308">
        <f>Tabela2246578[[#This Row],[VENDA]]+Tabela2246578[[#This Row],[MÃO DE OBRA]]-Tabela2246578[[#This Row],[VALOR PAGO]]</f>
        <v>-9.9999999999909051E-3</v>
      </c>
    </row>
    <row r="50" spans="1:14" ht="15" thickBot="1" x14ac:dyDescent="0.35">
      <c r="B50" s="234" t="s">
        <v>248</v>
      </c>
      <c r="C50" s="326">
        <v>21747</v>
      </c>
      <c r="D50" s="236">
        <v>3697</v>
      </c>
      <c r="E50" s="237">
        <v>46073</v>
      </c>
      <c r="F50" s="235" t="s">
        <v>236</v>
      </c>
      <c r="G50" s="236" t="s">
        <v>270</v>
      </c>
      <c r="H50" s="311"/>
      <c r="I50" s="311">
        <v>439.88</v>
      </c>
      <c r="J50" s="310">
        <v>46101</v>
      </c>
      <c r="K50" s="333">
        <v>46094</v>
      </c>
      <c r="L50" s="255">
        <v>439.87</v>
      </c>
      <c r="M50" s="239">
        <f>Tabela2246578[[#This Row],[VENDA]]+Tabela2246578[[#This Row],[MÃO DE OBRA]]-Tabela2246578[[#This Row],[VALOR PAGO]]</f>
        <v>9.9999999999909051E-3</v>
      </c>
    </row>
    <row r="51" spans="1:14" ht="15" thickBot="1" x14ac:dyDescent="0.35">
      <c r="B51" s="152" t="s">
        <v>248</v>
      </c>
      <c r="C51" s="329">
        <v>21747</v>
      </c>
      <c r="D51" s="8">
        <v>3697</v>
      </c>
      <c r="E51" s="240">
        <v>46073</v>
      </c>
      <c r="F51" s="86" t="s">
        <v>236</v>
      </c>
      <c r="G51" s="8" t="s">
        <v>270</v>
      </c>
      <c r="H51" s="248"/>
      <c r="I51" s="248">
        <v>439.88</v>
      </c>
      <c r="J51" s="80">
        <v>46108</v>
      </c>
      <c r="K51" s="328">
        <v>46105</v>
      </c>
      <c r="L51" s="238">
        <v>439.87</v>
      </c>
      <c r="M51" s="239">
        <f>Tabela2246578[[#This Row],[VENDA]]+Tabela2246578[[#This Row],[MÃO DE OBRA]]-Tabela2246578[[#This Row],[VALOR PAGO]]</f>
        <v>9.9999999999909051E-3</v>
      </c>
    </row>
    <row r="52" spans="1:14" ht="15" thickBot="1" x14ac:dyDescent="0.35">
      <c r="B52" s="241" t="s">
        <v>248</v>
      </c>
      <c r="C52" s="331">
        <v>21747</v>
      </c>
      <c r="D52" s="126">
        <v>3697</v>
      </c>
      <c r="E52" s="254">
        <v>46073</v>
      </c>
      <c r="F52" s="253" t="s">
        <v>236</v>
      </c>
      <c r="G52" s="126" t="s">
        <v>270</v>
      </c>
      <c r="H52" s="252"/>
      <c r="I52" s="252">
        <v>439.87</v>
      </c>
      <c r="J52" s="125">
        <v>46115</v>
      </c>
      <c r="K52" s="335">
        <v>46105</v>
      </c>
      <c r="L52" s="247">
        <v>439.88</v>
      </c>
      <c r="M52" s="308">
        <f>Tabela2246578[[#This Row],[VENDA]]+Tabela2246578[[#This Row],[MÃO DE OBRA]]-Tabela2246578[[#This Row],[VALOR PAGO]]</f>
        <v>-9.9999999999909051E-3</v>
      </c>
    </row>
    <row r="53" spans="1:14" ht="15" thickBot="1" x14ac:dyDescent="0.35">
      <c r="B53" s="234" t="s">
        <v>248</v>
      </c>
      <c r="C53" s="326">
        <v>21753</v>
      </c>
      <c r="D53" s="236">
        <v>3697</v>
      </c>
      <c r="E53" s="237">
        <v>46073</v>
      </c>
      <c r="F53" s="235" t="s">
        <v>236</v>
      </c>
      <c r="G53" s="236" t="s">
        <v>270</v>
      </c>
      <c r="H53" s="311"/>
      <c r="I53" s="311">
        <v>226.55</v>
      </c>
      <c r="J53" s="310">
        <v>46101</v>
      </c>
      <c r="K53" s="333">
        <v>46094</v>
      </c>
      <c r="L53" s="255">
        <v>226.55</v>
      </c>
      <c r="M53" s="239">
        <f>Tabela2246578[[#This Row],[VENDA]]+Tabela2246578[[#This Row],[MÃO DE OBRA]]-Tabela2246578[[#This Row],[VALOR PAGO]]</f>
        <v>0</v>
      </c>
    </row>
    <row r="54" spans="1:14" ht="15" thickBot="1" x14ac:dyDescent="0.35">
      <c r="B54" s="152" t="s">
        <v>248</v>
      </c>
      <c r="C54" s="329">
        <v>21753</v>
      </c>
      <c r="D54" s="8">
        <v>3697</v>
      </c>
      <c r="E54" s="240">
        <v>46073</v>
      </c>
      <c r="F54" s="86" t="s">
        <v>236</v>
      </c>
      <c r="G54" s="8" t="s">
        <v>270</v>
      </c>
      <c r="H54" s="248"/>
      <c r="I54" s="248">
        <v>226.55</v>
      </c>
      <c r="J54" s="80">
        <v>46108</v>
      </c>
      <c r="K54" s="328">
        <v>46105</v>
      </c>
      <c r="L54" s="238">
        <v>226.55</v>
      </c>
      <c r="M54" s="239">
        <f>Tabela2246578[[#This Row],[VENDA]]+Tabela2246578[[#This Row],[MÃO DE OBRA]]-Tabela2246578[[#This Row],[VALOR PAGO]]</f>
        <v>0</v>
      </c>
    </row>
    <row r="55" spans="1:14" ht="15" thickBot="1" x14ac:dyDescent="0.35">
      <c r="B55" s="241" t="s">
        <v>248</v>
      </c>
      <c r="C55" s="331">
        <v>21753</v>
      </c>
      <c r="D55" s="126">
        <v>3697</v>
      </c>
      <c r="E55" s="254">
        <v>46073</v>
      </c>
      <c r="F55" s="253" t="s">
        <v>236</v>
      </c>
      <c r="G55" s="126" t="s">
        <v>270</v>
      </c>
      <c r="H55" s="252"/>
      <c r="I55" s="252">
        <v>226.55</v>
      </c>
      <c r="J55" s="125">
        <v>46115</v>
      </c>
      <c r="K55" s="335">
        <v>46106</v>
      </c>
      <c r="L55" s="419">
        <v>226.55</v>
      </c>
      <c r="M55" s="308">
        <f>Tabela2246578[[#This Row],[VENDA]]+Tabela2246578[[#This Row],[MÃO DE OBRA]]-Tabela2246578[[#This Row],[VALOR PAGO]]</f>
        <v>0</v>
      </c>
    </row>
    <row r="56" spans="1:14" ht="15" thickBot="1" x14ac:dyDescent="0.35">
      <c r="B56" s="241" t="s">
        <v>248</v>
      </c>
      <c r="C56" s="331">
        <v>21758</v>
      </c>
      <c r="D56" s="126">
        <v>3700</v>
      </c>
      <c r="E56" s="254">
        <v>46076</v>
      </c>
      <c r="F56" s="253" t="s">
        <v>236</v>
      </c>
      <c r="G56" s="126" t="s">
        <v>270</v>
      </c>
      <c r="H56" s="252"/>
      <c r="I56" s="252">
        <v>265.66000000000003</v>
      </c>
      <c r="J56" s="125">
        <v>46104</v>
      </c>
      <c r="K56" s="335">
        <v>46098</v>
      </c>
      <c r="L56" s="247">
        <v>265.64</v>
      </c>
      <c r="M56" s="239">
        <f>Tabela2246578[[#This Row],[VENDA]]+Tabela2246578[[#This Row],[MÃO DE OBRA]]-Tabela2246578[[#This Row],[VALOR PAGO]]</f>
        <v>2.0000000000038654E-2</v>
      </c>
    </row>
    <row r="57" spans="1:14" ht="15" thickBot="1" x14ac:dyDescent="0.35">
      <c r="B57" s="241" t="s">
        <v>248</v>
      </c>
      <c r="C57" s="331">
        <v>21759</v>
      </c>
      <c r="D57" s="126">
        <v>3697</v>
      </c>
      <c r="E57" s="254">
        <v>46076</v>
      </c>
      <c r="F57" s="253" t="s">
        <v>236</v>
      </c>
      <c r="G57" s="126" t="s">
        <v>270</v>
      </c>
      <c r="H57" s="252"/>
      <c r="I57" s="252">
        <v>410.55</v>
      </c>
      <c r="J57" s="125">
        <v>46104</v>
      </c>
      <c r="K57" s="335">
        <v>46098</v>
      </c>
      <c r="L57" s="247">
        <v>410.55</v>
      </c>
      <c r="M57" s="239">
        <f>Tabela2246578[[#This Row],[VENDA]]+Tabela2246578[[#This Row],[MÃO DE OBRA]]-Tabela2246578[[#This Row],[VALOR PAGO]]</f>
        <v>0</v>
      </c>
    </row>
    <row r="58" spans="1:14" ht="15" thickBot="1" x14ac:dyDescent="0.35">
      <c r="B58" s="303" t="s">
        <v>249</v>
      </c>
      <c r="C58" s="313">
        <v>21795</v>
      </c>
      <c r="D58" s="283">
        <v>3804</v>
      </c>
      <c r="E58" s="305">
        <v>46077</v>
      </c>
      <c r="F58" s="304" t="s">
        <v>317</v>
      </c>
      <c r="G58" s="283" t="s">
        <v>272</v>
      </c>
      <c r="H58" s="314">
        <v>1753.2</v>
      </c>
      <c r="I58" s="314"/>
      <c r="J58" s="287">
        <v>46107</v>
      </c>
      <c r="K58" s="336">
        <v>46097</v>
      </c>
      <c r="L58" s="307">
        <v>1753.2</v>
      </c>
      <c r="M58" s="308">
        <f>Tabela2246578[[#This Row],[VENDA]]+Tabela2246578[[#This Row],[MÃO DE OBRA]]-Tabela2246578[[#This Row],[VALOR PAGO]]</f>
        <v>0</v>
      </c>
    </row>
    <row r="59" spans="1:14" x14ac:dyDescent="0.3">
      <c r="B59" s="152" t="s">
        <v>248</v>
      </c>
      <c r="C59" s="329">
        <v>21416</v>
      </c>
      <c r="D59" s="8" t="s">
        <v>322</v>
      </c>
      <c r="E59" s="240">
        <v>46055</v>
      </c>
      <c r="F59" s="86" t="s">
        <v>312</v>
      </c>
      <c r="G59" s="8" t="s">
        <v>270</v>
      </c>
      <c r="H59" s="248"/>
      <c r="I59" s="248">
        <f>475*12.6</f>
        <v>5985</v>
      </c>
      <c r="J59" s="80" t="s">
        <v>319</v>
      </c>
      <c r="K59" s="8" t="s">
        <v>335</v>
      </c>
      <c r="L59" s="238"/>
      <c r="M59" s="302">
        <f>Tabela2246578[[#This Row],[VENDA]]+Tabela2246578[[#This Row],[MÃO DE OBRA]]-Tabela2246578[[#This Row],[VALOR PAGO]]</f>
        <v>5985</v>
      </c>
      <c r="N59" t="s">
        <v>320</v>
      </c>
    </row>
    <row r="60" spans="1:14" ht="15" thickBot="1" x14ac:dyDescent="0.35">
      <c r="B60" s="152" t="s">
        <v>248</v>
      </c>
      <c r="C60" s="329">
        <v>21636</v>
      </c>
      <c r="D60" s="8" t="s">
        <v>322</v>
      </c>
      <c r="E60" s="240">
        <v>46069</v>
      </c>
      <c r="F60" s="86" t="s">
        <v>312</v>
      </c>
      <c r="G60" s="8" t="s">
        <v>270</v>
      </c>
      <c r="H60" s="248"/>
      <c r="I60" s="248">
        <f>636*12.6</f>
        <v>8013.5999999999995</v>
      </c>
      <c r="J60" s="80" t="s">
        <v>319</v>
      </c>
      <c r="K60" s="8" t="s">
        <v>335</v>
      </c>
      <c r="L60" s="238"/>
      <c r="M60" s="302">
        <f>Tabela2246578[[#This Row],[VENDA]]+Tabela2246578[[#This Row],[MÃO DE OBRA]]-Tabela2246578[[#This Row],[VALOR PAGO]]</f>
        <v>8013.5999999999995</v>
      </c>
      <c r="N60" t="s">
        <v>320</v>
      </c>
    </row>
    <row r="61" spans="1:14" ht="15" thickBot="1" x14ac:dyDescent="0.35">
      <c r="B61" s="303" t="s">
        <v>249</v>
      </c>
      <c r="C61" s="313">
        <v>21853</v>
      </c>
      <c r="D61" s="283">
        <v>3714</v>
      </c>
      <c r="E61" s="305">
        <v>46079</v>
      </c>
      <c r="F61" s="304" t="s">
        <v>254</v>
      </c>
      <c r="G61" s="283" t="s">
        <v>271</v>
      </c>
      <c r="H61" s="314">
        <v>2899.16</v>
      </c>
      <c r="I61" s="314"/>
      <c r="J61" s="287">
        <v>46093</v>
      </c>
      <c r="K61" s="444">
        <v>46129</v>
      </c>
      <c r="L61" s="307">
        <f>2190.69+708.47</f>
        <v>2899.16</v>
      </c>
      <c r="M61" s="308">
        <f>Tabela2246578[[#This Row],[VENDA]]-Tabela2246578[[#This Row],[VALOR PAGO]]</f>
        <v>0</v>
      </c>
    </row>
    <row r="62" spans="1:14" ht="15" thickBot="1" x14ac:dyDescent="0.35">
      <c r="B62" s="241" t="s">
        <v>249</v>
      </c>
      <c r="C62" s="313">
        <v>21883</v>
      </c>
      <c r="D62" s="126">
        <v>3868</v>
      </c>
      <c r="E62" s="254">
        <v>46080</v>
      </c>
      <c r="F62" s="126" t="s">
        <v>310</v>
      </c>
      <c r="G62" s="126" t="s">
        <v>272</v>
      </c>
      <c r="H62" s="252">
        <v>1417.95</v>
      </c>
      <c r="I62" s="252"/>
      <c r="J62" s="125">
        <v>46125</v>
      </c>
      <c r="K62" s="335">
        <v>46080</v>
      </c>
      <c r="L62" s="247">
        <v>1417.95</v>
      </c>
      <c r="M62" s="327">
        <f>Tabela2246578[[#This Row],[VENDA]]+Tabela2246578[[#This Row],[MÃO DE OBRA]]-Tabela2246578[[#This Row],[VALOR PAGO]]</f>
        <v>0</v>
      </c>
    </row>
    <row r="63" spans="1:14" ht="15" thickBot="1" x14ac:dyDescent="0.35">
      <c r="A63" s="106"/>
      <c r="B63" s="74" t="s">
        <v>248</v>
      </c>
      <c r="C63" s="325">
        <v>21888</v>
      </c>
      <c r="D63" s="8">
        <v>3795</v>
      </c>
      <c r="E63" s="240">
        <v>46080</v>
      </c>
      <c r="F63" s="8" t="s">
        <v>236</v>
      </c>
      <c r="G63" s="8" t="s">
        <v>270</v>
      </c>
      <c r="H63" s="381"/>
      <c r="I63" s="381">
        <v>588.79999999999995</v>
      </c>
      <c r="J63" s="80">
        <v>46108</v>
      </c>
      <c r="K63" s="328">
        <v>46105</v>
      </c>
      <c r="L63" s="238">
        <v>588.79999999999995</v>
      </c>
      <c r="M63" s="239">
        <f>Tabela2246578[[#This Row],[VENDA]]+Tabela2246578[[#This Row],[MÃO DE OBRA]]-Tabela2246578[[#This Row],[VALOR PAGO]]</f>
        <v>0</v>
      </c>
    </row>
    <row r="64" spans="1:14" ht="15" thickBot="1" x14ac:dyDescent="0.35">
      <c r="A64" s="106"/>
      <c r="B64" s="74" t="s">
        <v>248</v>
      </c>
      <c r="C64" s="325">
        <v>21888</v>
      </c>
      <c r="D64" s="8">
        <v>3795</v>
      </c>
      <c r="E64" s="240">
        <v>46080</v>
      </c>
      <c r="F64" s="8" t="s">
        <v>236</v>
      </c>
      <c r="G64" s="8" t="s">
        <v>270</v>
      </c>
      <c r="H64" s="381"/>
      <c r="I64" s="381">
        <v>588.79999999999995</v>
      </c>
      <c r="J64" s="80">
        <v>46115</v>
      </c>
      <c r="K64" s="328">
        <v>46108</v>
      </c>
      <c r="L64" s="238">
        <v>588.79</v>
      </c>
      <c r="M64" s="239">
        <f>Tabela2246578[[#This Row],[VENDA]]+Tabela2246578[[#This Row],[MÃO DE OBRA]]-Tabela2246578[[#This Row],[VALOR PAGO]]</f>
        <v>9.9999999999909051E-3</v>
      </c>
    </row>
    <row r="65" spans="1:13" ht="15" thickBot="1" x14ac:dyDescent="0.35">
      <c r="A65" s="106"/>
      <c r="B65" s="74" t="s">
        <v>248</v>
      </c>
      <c r="C65" s="325">
        <v>21888</v>
      </c>
      <c r="D65" s="8">
        <v>3795</v>
      </c>
      <c r="E65" s="240">
        <v>46080</v>
      </c>
      <c r="F65" s="8" t="s">
        <v>236</v>
      </c>
      <c r="G65" s="8" t="s">
        <v>270</v>
      </c>
      <c r="H65" s="381"/>
      <c r="I65" s="381">
        <v>588.80999999999995</v>
      </c>
      <c r="J65" s="80">
        <v>46122</v>
      </c>
      <c r="K65" s="328">
        <v>46108</v>
      </c>
      <c r="L65" s="238">
        <v>588.79999999999995</v>
      </c>
      <c r="M65" s="239">
        <f>Tabela2246578[[#This Row],[VENDA]]+Tabela2246578[[#This Row],[MÃO DE OBRA]]-Tabela2246578[[#This Row],[VALOR PAGO]]</f>
        <v>9.9999999999909051E-3</v>
      </c>
    </row>
    <row r="66" spans="1:13" ht="15" thickBot="1" x14ac:dyDescent="0.35">
      <c r="A66" s="106"/>
      <c r="B66" s="243"/>
      <c r="C66" s="126"/>
      <c r="D66" s="126"/>
      <c r="E66" s="126"/>
      <c r="F66" s="126"/>
      <c r="G66" s="126"/>
      <c r="H66" s="252"/>
      <c r="I66" s="252"/>
      <c r="J66" s="125"/>
      <c r="K66" s="126"/>
      <c r="L66" s="247"/>
      <c r="M66" s="239">
        <f>Tabela2246578[[#This Row],[VENDA]]+Tabela2246578[[#This Row],[MÃO DE OBRA]]-Tabela2246578[[#This Row],[VALOR PAGO]]</f>
        <v>0</v>
      </c>
    </row>
    <row r="67" spans="1:13" ht="13.8" customHeight="1" thickBot="1" x14ac:dyDescent="0.35">
      <c r="B67" s="92"/>
      <c r="C67" s="8" t="s">
        <v>256</v>
      </c>
      <c r="D67" s="8"/>
      <c r="E67" s="8"/>
      <c r="F67" s="8"/>
      <c r="G67" s="8"/>
      <c r="H67" s="256">
        <f>SUM(H21:H66)</f>
        <v>23619.13</v>
      </c>
      <c r="I67" s="257">
        <f>SUM(I21:I66)</f>
        <v>41770.980000000003</v>
      </c>
      <c r="J67" s="80"/>
      <c r="K67" s="8"/>
      <c r="L67" s="258">
        <f>SUM(L21:L66)</f>
        <v>51388.970000000023</v>
      </c>
      <c r="M67" s="259">
        <f>SUM(M21:M66)</f>
        <v>14001.14</v>
      </c>
    </row>
    <row r="68" spans="1:13" ht="18.600000000000001" thickBot="1" x14ac:dyDescent="0.4">
      <c r="B68" s="660" t="s">
        <v>257</v>
      </c>
      <c r="C68" s="661"/>
      <c r="D68" s="260">
        <f>Tabela2246578[[#Totals],[VENDA]]</f>
        <v>23619.13</v>
      </c>
      <c r="E68" s="261"/>
      <c r="F68" s="321"/>
      <c r="G68" s="322"/>
      <c r="H68" s="263"/>
      <c r="I68" s="264"/>
      <c r="J68" s="261"/>
      <c r="K68" s="261"/>
      <c r="L68" s="261"/>
      <c r="M68" s="265"/>
    </row>
    <row r="69" spans="1:13" ht="18.600000000000001" thickBot="1" x14ac:dyDescent="0.4">
      <c r="B69" s="662" t="s">
        <v>258</v>
      </c>
      <c r="C69" s="663"/>
      <c r="D69" s="266">
        <f>Tabela2246578[[#Totals],[MÃO DE OBRA]]</f>
        <v>41770.980000000003</v>
      </c>
      <c r="E69" s="267"/>
      <c r="F69" s="323"/>
      <c r="G69" s="324"/>
      <c r="H69" s="269"/>
      <c r="I69" s="270"/>
      <c r="J69" s="267"/>
      <c r="K69" s="267"/>
      <c r="L69" s="267"/>
      <c r="M69" s="271"/>
    </row>
    <row r="70" spans="1:13" ht="19.8" customHeight="1" thickBot="1" x14ac:dyDescent="0.45">
      <c r="A70" s="106"/>
      <c r="B70" s="272" t="s">
        <v>259</v>
      </c>
      <c r="C70" s="664">
        <f>SUM(D68+D69)</f>
        <v>65390.11</v>
      </c>
      <c r="D70" s="665"/>
      <c r="E70" s="273"/>
      <c r="F70" s="642" t="s">
        <v>260</v>
      </c>
      <c r="G70" s="642"/>
      <c r="H70" s="642">
        <f>Tabela2246578[[#Totals],[VALOR PAGO]]</f>
        <v>51388.970000000023</v>
      </c>
      <c r="I70" s="642"/>
      <c r="J70" s="666" t="s">
        <v>261</v>
      </c>
      <c r="K70" s="666"/>
      <c r="L70" s="642">
        <f>Tabela2246578[[#Totals],[VALOR EM ABERTO]]</f>
        <v>14001.14</v>
      </c>
      <c r="M70" s="643"/>
    </row>
    <row r="73" spans="1:13" x14ac:dyDescent="0.3">
      <c r="K73" t="s">
        <v>363</v>
      </c>
      <c r="L73" s="538">
        <v>5000</v>
      </c>
    </row>
    <row r="74" spans="1:13" x14ac:dyDescent="0.3">
      <c r="L74" s="538">
        <v>2809.31</v>
      </c>
    </row>
    <row r="75" spans="1:13" x14ac:dyDescent="0.3">
      <c r="L75" s="538">
        <v>2190.69</v>
      </c>
    </row>
    <row r="76" spans="1:13" x14ac:dyDescent="0.3">
      <c r="L76" s="539">
        <f>L73-L74-L75</f>
        <v>0</v>
      </c>
    </row>
    <row r="77" spans="1:13" x14ac:dyDescent="0.3">
      <c r="K77" t="s">
        <v>364</v>
      </c>
      <c r="L77" s="539">
        <v>2000</v>
      </c>
    </row>
    <row r="78" spans="1:13" x14ac:dyDescent="0.3">
      <c r="L78" s="539">
        <v>708.47</v>
      </c>
    </row>
    <row r="79" spans="1:13" x14ac:dyDescent="0.3">
      <c r="L79" s="539">
        <f>L77-L78</f>
        <v>1291.53</v>
      </c>
    </row>
  </sheetData>
  <mergeCells count="12">
    <mergeCell ref="L70:M70"/>
    <mergeCell ref="B2:M3"/>
    <mergeCell ref="B4:B5"/>
    <mergeCell ref="C4:G4"/>
    <mergeCell ref="H4:M4"/>
    <mergeCell ref="B19:C19"/>
    <mergeCell ref="B68:C68"/>
    <mergeCell ref="B69:C69"/>
    <mergeCell ref="C70:D70"/>
    <mergeCell ref="F70:G70"/>
    <mergeCell ref="H70:I70"/>
    <mergeCell ref="J70:K70"/>
  </mergeCells>
  <pageMargins left="0.11811023622047245" right="0.11811023622047245" top="0.19685039370078741" bottom="0.19685039370078741" header="0.31496062992125984" footer="0.31496062992125984"/>
  <pageSetup paperSize="9" scale="75" orientation="landscape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E4A1-8D6B-4CBD-A80C-782D7D1C76DD}">
  <dimension ref="A1:T111"/>
  <sheetViews>
    <sheetView showGridLines="0" topLeftCell="A15" zoomScale="110" zoomScaleNormal="110" workbookViewId="0">
      <selection activeCell="H76" sqref="H76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7.33203125" customWidth="1"/>
    <col min="7" max="10" width="14.77734375" customWidth="1"/>
    <col min="11" max="11" width="15.77734375" customWidth="1"/>
    <col min="12" max="13" width="14.77734375" customWidth="1"/>
    <col min="14" max="14" width="96.77734375" bestFit="1" customWidth="1"/>
  </cols>
  <sheetData>
    <row r="1" spans="1:20" ht="16.8" customHeight="1" thickBot="1" x14ac:dyDescent="0.35"/>
    <row r="2" spans="1:20" ht="14.4" customHeight="1" x14ac:dyDescent="0.5">
      <c r="A2" s="54"/>
      <c r="B2" s="667" t="s">
        <v>239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9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70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73" t="s">
        <v>248</v>
      </c>
      <c r="D4" s="674"/>
      <c r="E4" s="674"/>
      <c r="F4" s="674"/>
      <c r="G4" s="675"/>
      <c r="H4" s="676" t="s">
        <v>249</v>
      </c>
      <c r="I4" s="677"/>
      <c r="J4" s="677"/>
      <c r="K4" s="677"/>
      <c r="L4" s="677"/>
      <c r="M4" s="678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369">
        <v>126073.37</v>
      </c>
      <c r="D6" s="370">
        <v>270562.53000000003</v>
      </c>
      <c r="E6" s="371">
        <v>49887.66</v>
      </c>
      <c r="F6" s="370">
        <v>0</v>
      </c>
      <c r="G6" s="372">
        <v>0</v>
      </c>
      <c r="H6" s="370">
        <v>0</v>
      </c>
      <c r="I6" s="372">
        <v>0</v>
      </c>
      <c r="J6" s="370">
        <v>0</v>
      </c>
      <c r="K6" s="372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373">
        <v>166235.96</v>
      </c>
      <c r="D7" s="374">
        <v>324984.96999999997</v>
      </c>
      <c r="E7" s="97">
        <v>15513.83</v>
      </c>
      <c r="F7" s="374">
        <v>0</v>
      </c>
      <c r="G7" s="375">
        <v>0</v>
      </c>
      <c r="H7" s="374">
        <v>0</v>
      </c>
      <c r="I7" s="375">
        <v>0</v>
      </c>
      <c r="J7" s="374">
        <v>0</v>
      </c>
      <c r="K7" s="375">
        <v>0</v>
      </c>
      <c r="L7" s="374">
        <v>0</v>
      </c>
      <c r="M7" s="375">
        <v>0</v>
      </c>
    </row>
    <row r="8" spans="1:20" ht="12" customHeight="1" x14ac:dyDescent="0.3">
      <c r="A8" s="54"/>
      <c r="B8" s="201" t="s">
        <v>216</v>
      </c>
      <c r="C8" s="369">
        <v>119814.85</v>
      </c>
      <c r="D8" s="370">
        <v>256001.57</v>
      </c>
      <c r="E8" s="376">
        <v>32410.22</v>
      </c>
      <c r="F8" s="370">
        <v>0</v>
      </c>
      <c r="G8" s="372">
        <v>0</v>
      </c>
      <c r="H8" s="370">
        <v>0</v>
      </c>
      <c r="I8" s="372">
        <v>0</v>
      </c>
      <c r="J8" s="370">
        <v>0</v>
      </c>
      <c r="K8" s="372">
        <v>0</v>
      </c>
      <c r="L8" s="370">
        <v>0</v>
      </c>
      <c r="M8" s="372">
        <v>0</v>
      </c>
    </row>
    <row r="9" spans="1:20" ht="12" customHeight="1" x14ac:dyDescent="0.3">
      <c r="A9" s="54"/>
      <c r="B9" s="208" t="s">
        <v>217</v>
      </c>
      <c r="C9" s="373">
        <v>112668.22</v>
      </c>
      <c r="D9" s="374">
        <v>136419.94</v>
      </c>
      <c r="E9" s="97">
        <v>23117.53</v>
      </c>
      <c r="F9" s="374">
        <v>0</v>
      </c>
      <c r="G9" s="375">
        <v>0</v>
      </c>
      <c r="H9" s="374">
        <v>0</v>
      </c>
      <c r="I9" s="375">
        <v>0</v>
      </c>
      <c r="J9" s="374">
        <v>0</v>
      </c>
      <c r="K9" s="375">
        <v>0</v>
      </c>
      <c r="L9" s="374">
        <v>0</v>
      </c>
      <c r="M9" s="375">
        <v>0</v>
      </c>
    </row>
    <row r="10" spans="1:20" ht="12" customHeight="1" x14ac:dyDescent="0.3">
      <c r="A10" s="54"/>
      <c r="B10" s="201" t="s">
        <v>218</v>
      </c>
      <c r="C10" s="369">
        <v>39597.94</v>
      </c>
      <c r="D10" s="370">
        <v>57014.400000000001</v>
      </c>
      <c r="E10" s="376">
        <v>11710.4</v>
      </c>
      <c r="F10" s="370">
        <v>0</v>
      </c>
      <c r="G10" s="372">
        <v>0</v>
      </c>
      <c r="H10" s="370">
        <v>0</v>
      </c>
      <c r="I10" s="372">
        <v>0</v>
      </c>
      <c r="J10" s="370">
        <v>0</v>
      </c>
      <c r="K10" s="372">
        <v>0</v>
      </c>
      <c r="L10" s="370">
        <v>0</v>
      </c>
      <c r="M10" s="372">
        <v>0</v>
      </c>
    </row>
    <row r="11" spans="1:20" ht="12" customHeight="1" x14ac:dyDescent="0.3">
      <c r="A11" s="54"/>
      <c r="B11" s="208" t="s">
        <v>219</v>
      </c>
      <c r="C11" s="373">
        <v>77419.240000000005</v>
      </c>
      <c r="D11" s="374">
        <v>259261.92</v>
      </c>
      <c r="E11" s="97">
        <v>32986.86</v>
      </c>
      <c r="F11" s="374">
        <v>0</v>
      </c>
      <c r="G11" s="375">
        <v>0</v>
      </c>
      <c r="H11" s="374">
        <v>0</v>
      </c>
      <c r="I11" s="375">
        <v>0</v>
      </c>
      <c r="J11" s="374">
        <v>0</v>
      </c>
      <c r="K11" s="375">
        <v>0</v>
      </c>
      <c r="L11" s="374">
        <v>0</v>
      </c>
      <c r="M11" s="375">
        <v>0</v>
      </c>
    </row>
    <row r="12" spans="1:20" ht="12" customHeight="1" x14ac:dyDescent="0.3">
      <c r="A12" s="54"/>
      <c r="B12" s="201" t="s">
        <v>220</v>
      </c>
      <c r="C12" s="369">
        <v>74963.62</v>
      </c>
      <c r="D12" s="370">
        <v>191964.91</v>
      </c>
      <c r="E12" s="376">
        <v>8086.81</v>
      </c>
      <c r="F12" s="370">
        <v>0</v>
      </c>
      <c r="G12" s="372">
        <v>0</v>
      </c>
      <c r="H12" s="370">
        <v>0</v>
      </c>
      <c r="I12" s="372">
        <v>0</v>
      </c>
      <c r="J12" s="370">
        <v>0</v>
      </c>
      <c r="K12" s="372">
        <v>0</v>
      </c>
      <c r="L12" s="370">
        <v>0</v>
      </c>
      <c r="M12" s="372">
        <v>0</v>
      </c>
    </row>
    <row r="13" spans="1:20" ht="12" customHeight="1" x14ac:dyDescent="0.3">
      <c r="A13" s="54"/>
      <c r="B13" s="208" t="s">
        <v>221</v>
      </c>
      <c r="C13" s="373">
        <v>152485.66</v>
      </c>
      <c r="D13" s="374">
        <v>273158.84999999998</v>
      </c>
      <c r="E13" s="97">
        <v>22122.22</v>
      </c>
      <c r="F13" s="374">
        <v>0</v>
      </c>
      <c r="G13" s="375">
        <v>0</v>
      </c>
      <c r="H13" s="374">
        <v>0</v>
      </c>
      <c r="I13" s="375">
        <v>0</v>
      </c>
      <c r="J13" s="374">
        <v>0</v>
      </c>
      <c r="K13" s="375">
        <v>0</v>
      </c>
      <c r="L13" s="374">
        <v>0</v>
      </c>
      <c r="M13" s="375">
        <v>0</v>
      </c>
    </row>
    <row r="14" spans="1:20" ht="12" customHeight="1" x14ac:dyDescent="0.3">
      <c r="A14" s="54"/>
      <c r="B14" s="201" t="s">
        <v>211</v>
      </c>
      <c r="C14" s="369">
        <v>171282.48</v>
      </c>
      <c r="D14" s="370">
        <v>63159.51</v>
      </c>
      <c r="E14" s="376">
        <v>36466.42</v>
      </c>
      <c r="F14" s="370">
        <v>0</v>
      </c>
      <c r="G14" s="372">
        <v>0</v>
      </c>
      <c r="H14" s="370">
        <v>0</v>
      </c>
      <c r="I14" s="372">
        <v>0</v>
      </c>
      <c r="J14" s="370">
        <v>0</v>
      </c>
      <c r="K14" s="372">
        <v>0</v>
      </c>
      <c r="L14" s="370">
        <v>0</v>
      </c>
      <c r="M14" s="372">
        <v>0</v>
      </c>
    </row>
    <row r="15" spans="1:20" ht="12" customHeight="1" x14ac:dyDescent="0.3">
      <c r="A15" s="54"/>
      <c r="B15" s="208" t="s">
        <v>222</v>
      </c>
      <c r="C15" s="373">
        <v>168433.06</v>
      </c>
      <c r="D15" s="374">
        <v>53077.38</v>
      </c>
      <c r="E15" s="97">
        <v>99828</v>
      </c>
      <c r="F15" s="374">
        <v>0</v>
      </c>
      <c r="G15" s="375">
        <v>0</v>
      </c>
      <c r="H15" s="374"/>
      <c r="I15" s="375">
        <v>0</v>
      </c>
      <c r="J15" s="374">
        <v>0</v>
      </c>
      <c r="K15" s="375">
        <v>0</v>
      </c>
      <c r="L15" s="374">
        <v>0</v>
      </c>
      <c r="M15" s="375">
        <v>0</v>
      </c>
    </row>
    <row r="16" spans="1:20" ht="12" customHeight="1" x14ac:dyDescent="0.3">
      <c r="A16" s="54"/>
      <c r="B16" s="201" t="s">
        <v>212</v>
      </c>
      <c r="C16" s="369">
        <v>155757.68</v>
      </c>
      <c r="D16" s="370">
        <v>15517.44</v>
      </c>
      <c r="E16" s="376">
        <v>0</v>
      </c>
      <c r="F16" s="370">
        <v>0</v>
      </c>
      <c r="G16" s="372">
        <v>0</v>
      </c>
      <c r="H16" s="370">
        <v>0</v>
      </c>
      <c r="I16" s="372">
        <v>0</v>
      </c>
      <c r="J16" s="370">
        <v>0</v>
      </c>
      <c r="K16" s="372">
        <v>0</v>
      </c>
      <c r="L16" s="370">
        <v>0</v>
      </c>
      <c r="M16" s="372">
        <v>0</v>
      </c>
    </row>
    <row r="17" spans="1:14" ht="12" customHeight="1" thickBot="1" x14ac:dyDescent="0.35">
      <c r="A17" s="54"/>
      <c r="B17" s="214" t="s">
        <v>213</v>
      </c>
      <c r="C17" s="377">
        <v>163379.07999999999</v>
      </c>
      <c r="D17" s="377">
        <v>9580.01</v>
      </c>
      <c r="E17" s="377">
        <v>0</v>
      </c>
      <c r="F17" s="378">
        <v>0</v>
      </c>
      <c r="G17" s="378">
        <v>0</v>
      </c>
      <c r="H17" s="378">
        <v>0</v>
      </c>
      <c r="I17" s="379">
        <v>0</v>
      </c>
      <c r="J17" s="378">
        <v>0</v>
      </c>
      <c r="K17" s="379">
        <v>0</v>
      </c>
      <c r="L17" s="378">
        <v>0</v>
      </c>
      <c r="M17" s="378">
        <v>0</v>
      </c>
    </row>
    <row r="18" spans="1:14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332129.95</v>
      </c>
      <c r="F18" s="221">
        <f>SUM(F6:F17)</f>
        <v>0</v>
      </c>
      <c r="G18" s="222">
        <v>0</v>
      </c>
      <c r="H18" s="221">
        <f>SUM(H6:H17)</f>
        <v>0</v>
      </c>
      <c r="I18" s="222">
        <v>0</v>
      </c>
      <c r="J18" s="223">
        <f>SUM(J6:J17)</f>
        <v>0</v>
      </c>
      <c r="K18" s="224">
        <v>0</v>
      </c>
      <c r="L18" s="380">
        <f>SUM(L6:L17)</f>
        <v>0</v>
      </c>
      <c r="M18" s="222">
        <v>0</v>
      </c>
    </row>
    <row r="19" spans="1:14" ht="15" customHeight="1" thickBot="1" x14ac:dyDescent="0.35">
      <c r="B19" s="658" t="s">
        <v>274</v>
      </c>
      <c r="C19" s="659"/>
      <c r="D19" s="226">
        <f>SUM(I18+F18)</f>
        <v>0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4" ht="27.6" customHeight="1" thickBot="1" x14ac:dyDescent="0.35">
      <c r="A20" s="54"/>
      <c r="B20" s="398" t="s">
        <v>251</v>
      </c>
      <c r="C20" s="68" t="s">
        <v>223</v>
      </c>
      <c r="D20" s="69" t="s">
        <v>232</v>
      </c>
      <c r="E20" s="70" t="s">
        <v>224</v>
      </c>
      <c r="F20" s="69" t="s">
        <v>225</v>
      </c>
      <c r="G20" s="69" t="s">
        <v>268</v>
      </c>
      <c r="H20" s="69" t="s">
        <v>226</v>
      </c>
      <c r="I20" s="69" t="s">
        <v>227</v>
      </c>
      <c r="J20" s="69" t="s">
        <v>228</v>
      </c>
      <c r="K20" s="70" t="s">
        <v>229</v>
      </c>
      <c r="L20" s="69" t="s">
        <v>252</v>
      </c>
      <c r="M20" s="399" t="s">
        <v>230</v>
      </c>
      <c r="N20" s="390" t="s">
        <v>321</v>
      </c>
    </row>
    <row r="21" spans="1:14" s="383" customFormat="1" hidden="1" x14ac:dyDescent="0.3">
      <c r="B21" s="408" t="s">
        <v>248</v>
      </c>
      <c r="C21" s="396">
        <v>21939</v>
      </c>
      <c r="D21" s="468">
        <v>3842</v>
      </c>
      <c r="E21" s="410">
        <v>46084</v>
      </c>
      <c r="F21" s="411" t="s">
        <v>236</v>
      </c>
      <c r="G21" s="409" t="s">
        <v>270</v>
      </c>
      <c r="H21" s="412"/>
      <c r="I21" s="413">
        <v>504.85</v>
      </c>
      <c r="J21" s="414">
        <v>46112</v>
      </c>
      <c r="K21" s="427">
        <v>46105</v>
      </c>
      <c r="L21" s="415">
        <v>504.85</v>
      </c>
      <c r="M21" s="416">
        <f>Tabela22465789[[#This Row],[VENDA]]+Tabela22465789[[#This Row],[MÃO DE OBRA]]-Tabela22465789[[#This Row],[VALOR PAGO]]</f>
        <v>0</v>
      </c>
    </row>
    <row r="22" spans="1:14" hidden="1" x14ac:dyDescent="0.3">
      <c r="B22" s="424" t="s">
        <v>248</v>
      </c>
      <c r="C22" s="397">
        <v>21939</v>
      </c>
      <c r="D22" s="469">
        <v>3842</v>
      </c>
      <c r="E22" s="407">
        <v>46084</v>
      </c>
      <c r="F22" s="405" t="s">
        <v>236</v>
      </c>
      <c r="G22" s="406" t="s">
        <v>270</v>
      </c>
      <c r="H22" s="382"/>
      <c r="I22" s="248">
        <v>504.85</v>
      </c>
      <c r="J22" s="80">
        <v>46119</v>
      </c>
      <c r="K22" s="328">
        <v>46108</v>
      </c>
      <c r="L22" s="238">
        <v>504.85</v>
      </c>
      <c r="M22" s="302">
        <f>Tabela22465789[[#This Row],[VENDA]]+Tabela22465789[[#This Row],[MÃO DE OBRA]]-Tabela22465789[[#This Row],[VALOR PAGO]]</f>
        <v>0</v>
      </c>
    </row>
    <row r="23" spans="1:14" ht="15" hidden="1" thickBot="1" x14ac:dyDescent="0.35">
      <c r="B23" s="241" t="s">
        <v>248</v>
      </c>
      <c r="C23" s="418">
        <v>21939</v>
      </c>
      <c r="D23" s="353">
        <v>3842</v>
      </c>
      <c r="E23" s="254">
        <v>46084</v>
      </c>
      <c r="F23" s="253" t="s">
        <v>236</v>
      </c>
      <c r="G23" s="126" t="s">
        <v>270</v>
      </c>
      <c r="H23" s="252"/>
      <c r="I23" s="252">
        <v>504.86</v>
      </c>
      <c r="J23" s="125">
        <v>46126</v>
      </c>
      <c r="K23" s="335">
        <v>46108</v>
      </c>
      <c r="L23" s="419">
        <v>504.84</v>
      </c>
      <c r="M23" s="327">
        <f>Tabela22465789[[#This Row],[VENDA]]+Tabela22465789[[#This Row],[MÃO DE OBRA]]-Tabela22465789[[#This Row],[VALOR PAGO]]</f>
        <v>2.0000000000038654E-2</v>
      </c>
    </row>
    <row r="24" spans="1:14" hidden="1" x14ac:dyDescent="0.3">
      <c r="B24" s="234" t="s">
        <v>249</v>
      </c>
      <c r="C24" s="396">
        <v>21938</v>
      </c>
      <c r="D24" s="468">
        <v>3818</v>
      </c>
      <c r="E24" s="237">
        <v>46084</v>
      </c>
      <c r="F24" s="235" t="s">
        <v>254</v>
      </c>
      <c r="G24" s="236" t="s">
        <v>271</v>
      </c>
      <c r="H24" s="413">
        <v>9515.57</v>
      </c>
      <c r="I24" s="311"/>
      <c r="J24" s="310">
        <v>46114</v>
      </c>
      <c r="K24" s="333">
        <v>46164</v>
      </c>
      <c r="L24" s="255">
        <f>1291.53+8224.04</f>
        <v>9515.5700000000015</v>
      </c>
      <c r="M24" s="239">
        <f>Tabela22465789[[#This Row],[VENDA]]+Tabela22465789[[#This Row],[MÃO DE OBRA]]-Tabela22465789[[#This Row],[VALOR PAGO]]</f>
        <v>0</v>
      </c>
      <c r="N24" t="s">
        <v>369</v>
      </c>
    </row>
    <row r="25" spans="1:14" ht="15" thickBot="1" x14ac:dyDescent="0.35">
      <c r="B25" s="241" t="s">
        <v>249</v>
      </c>
      <c r="C25" s="418">
        <v>21938</v>
      </c>
      <c r="D25" s="353">
        <v>3818</v>
      </c>
      <c r="E25" s="254">
        <v>46084</v>
      </c>
      <c r="F25" s="253" t="s">
        <v>254</v>
      </c>
      <c r="G25" s="126" t="s">
        <v>271</v>
      </c>
      <c r="H25" s="252">
        <v>9515.56</v>
      </c>
      <c r="I25" s="252"/>
      <c r="J25" s="125">
        <v>46144</v>
      </c>
      <c r="K25" s="335">
        <v>46164</v>
      </c>
      <c r="L25" s="247">
        <f>(9000-8224.04)+5000</f>
        <v>5775.9599999999991</v>
      </c>
      <c r="M25" s="327">
        <f>Tabela22465789[[#This Row],[VENDA]]+Tabela22465789[[#This Row],[MÃO DE OBRA]]-Tabela22465789[[#This Row],[VALOR PAGO]]</f>
        <v>3739.6000000000004</v>
      </c>
      <c r="N25" t="s">
        <v>370</v>
      </c>
    </row>
    <row r="26" spans="1:14" ht="15" hidden="1" thickBot="1" x14ac:dyDescent="0.35">
      <c r="B26" s="152" t="s">
        <v>248</v>
      </c>
      <c r="C26" s="397">
        <v>22025</v>
      </c>
      <c r="D26" s="8">
        <v>3907</v>
      </c>
      <c r="E26" s="240">
        <v>46084</v>
      </c>
      <c r="F26" s="86" t="s">
        <v>237</v>
      </c>
      <c r="G26" s="8" t="s">
        <v>270</v>
      </c>
      <c r="H26" s="248"/>
      <c r="I26" s="248">
        <v>686.12</v>
      </c>
      <c r="J26" s="80">
        <v>46125</v>
      </c>
      <c r="K26" s="328">
        <v>46125</v>
      </c>
      <c r="L26" s="238">
        <v>686.12</v>
      </c>
      <c r="M26" s="302">
        <f>Tabela22465789[[#This Row],[VENDA]]+Tabela22465789[[#This Row],[MÃO DE OBRA]]-Tabela22465789[[#This Row],[VALOR PAGO]]</f>
        <v>0</v>
      </c>
    </row>
    <row r="27" spans="1:14" ht="15" hidden="1" thickBot="1" x14ac:dyDescent="0.35">
      <c r="B27" s="451" t="s">
        <v>249</v>
      </c>
      <c r="C27" s="452">
        <v>755</v>
      </c>
      <c r="D27" s="442">
        <v>707</v>
      </c>
      <c r="E27" s="453">
        <v>46091</v>
      </c>
      <c r="F27" s="454" t="s">
        <v>336</v>
      </c>
      <c r="G27" s="442" t="s">
        <v>332</v>
      </c>
      <c r="H27" s="455">
        <f>1800*14.4</f>
        <v>25920</v>
      </c>
      <c r="I27" s="455"/>
      <c r="J27" s="456" t="s">
        <v>337</v>
      </c>
      <c r="K27" s="457">
        <v>46090</v>
      </c>
      <c r="L27" s="458">
        <v>25920</v>
      </c>
      <c r="M27" s="459">
        <f>Tabela22465789[[#This Row],[VENDA]]+Tabela22465789[[#This Row],[MÃO DE OBRA]]-Tabela22465789[[#This Row],[VALOR PAGO]]</f>
        <v>0</v>
      </c>
    </row>
    <row r="28" spans="1:14" ht="15" hidden="1" thickBot="1" x14ac:dyDescent="0.35">
      <c r="B28" s="408" t="s">
        <v>249</v>
      </c>
      <c r="C28" s="396">
        <v>22053</v>
      </c>
      <c r="D28" s="409">
        <v>3959</v>
      </c>
      <c r="E28" s="410">
        <v>46091</v>
      </c>
      <c r="F28" s="411" t="s">
        <v>325</v>
      </c>
      <c r="G28" s="409" t="s">
        <v>326</v>
      </c>
      <c r="H28" s="413">
        <v>2268</v>
      </c>
      <c r="I28" s="413"/>
      <c r="J28" s="414">
        <v>46105</v>
      </c>
      <c r="K28" s="427">
        <v>46105</v>
      </c>
      <c r="L28" s="415">
        <v>2268</v>
      </c>
      <c r="M28" s="416">
        <f>Tabela22465789[[#This Row],[VENDA]]+Tabela22465789[[#This Row],[MÃO DE OBRA]]-Tabela22465789[[#This Row],[VALOR PAGO]]</f>
        <v>0</v>
      </c>
    </row>
    <row r="29" spans="1:14" ht="15" hidden="1" thickBot="1" x14ac:dyDescent="0.35">
      <c r="B29" s="424" t="s">
        <v>249</v>
      </c>
      <c r="C29" s="397">
        <v>22053</v>
      </c>
      <c r="D29" s="406">
        <v>3959</v>
      </c>
      <c r="E29" s="407">
        <v>46091</v>
      </c>
      <c r="F29" s="405" t="s">
        <v>325</v>
      </c>
      <c r="G29" s="406" t="s">
        <v>326</v>
      </c>
      <c r="H29" s="425">
        <v>2268</v>
      </c>
      <c r="I29" s="425"/>
      <c r="J29" s="428">
        <v>46112</v>
      </c>
      <c r="K29" s="429">
        <v>46112</v>
      </c>
      <c r="L29" s="430">
        <v>2268</v>
      </c>
      <c r="M29" s="426">
        <f>Tabela22465789[[#This Row],[VENDA]]+Tabela22465789[[#This Row],[MÃO DE OBRA]]-Tabela22465789[[#This Row],[VALOR PAGO]]</f>
        <v>0</v>
      </c>
    </row>
    <row r="30" spans="1:14" ht="15" hidden="1" thickBot="1" x14ac:dyDescent="0.35">
      <c r="B30" s="424" t="s">
        <v>249</v>
      </c>
      <c r="C30" s="397">
        <v>22053</v>
      </c>
      <c r="D30" s="406">
        <v>3959</v>
      </c>
      <c r="E30" s="407">
        <v>46091</v>
      </c>
      <c r="F30" s="405" t="s">
        <v>325</v>
      </c>
      <c r="G30" s="406" t="s">
        <v>326</v>
      </c>
      <c r="H30" s="425">
        <v>2268</v>
      </c>
      <c r="I30" s="425"/>
      <c r="J30" s="428">
        <v>46119</v>
      </c>
      <c r="K30" s="429">
        <v>46129</v>
      </c>
      <c r="L30" s="430">
        <v>2268</v>
      </c>
      <c r="M30" s="426">
        <f>Tabela22465789[[#This Row],[VENDA]]+Tabela22465789[[#This Row],[MÃO DE OBRA]]-Tabela22465789[[#This Row],[VALOR PAGO]]</f>
        <v>0</v>
      </c>
    </row>
    <row r="31" spans="1:14" ht="15" hidden="1" thickBot="1" x14ac:dyDescent="0.35">
      <c r="B31" s="424" t="s">
        <v>249</v>
      </c>
      <c r="C31" s="397">
        <v>22053</v>
      </c>
      <c r="D31" s="406">
        <v>3959</v>
      </c>
      <c r="E31" s="407">
        <v>46091</v>
      </c>
      <c r="F31" s="405" t="s">
        <v>325</v>
      </c>
      <c r="G31" s="406" t="s">
        <v>326</v>
      </c>
      <c r="H31" s="425">
        <v>2268</v>
      </c>
      <c r="I31" s="425"/>
      <c r="J31" s="428">
        <v>46133</v>
      </c>
      <c r="K31" s="429">
        <v>46134</v>
      </c>
      <c r="L31" s="430">
        <v>2268</v>
      </c>
      <c r="M31" s="426">
        <f>Tabela22465789[[#This Row],[VENDA]]+Tabela22465789[[#This Row],[MÃO DE OBRA]]-Tabela22465789[[#This Row],[VALOR PAGO]]</f>
        <v>0</v>
      </c>
    </row>
    <row r="32" spans="1:14" ht="15" hidden="1" thickBot="1" x14ac:dyDescent="0.35">
      <c r="B32" s="424" t="s">
        <v>249</v>
      </c>
      <c r="C32" s="397">
        <v>22053</v>
      </c>
      <c r="D32" s="406">
        <v>3959</v>
      </c>
      <c r="E32" s="407">
        <v>46091</v>
      </c>
      <c r="F32" s="405" t="s">
        <v>325</v>
      </c>
      <c r="G32" s="406" t="s">
        <v>326</v>
      </c>
      <c r="H32" s="425">
        <v>2268</v>
      </c>
      <c r="I32" s="425"/>
      <c r="J32" s="428">
        <v>46140</v>
      </c>
      <c r="K32" s="429">
        <v>46140</v>
      </c>
      <c r="L32" s="430">
        <v>2268</v>
      </c>
      <c r="M32" s="426">
        <f>Tabela22465789[[#This Row],[VENDA]]+Tabela22465789[[#This Row],[MÃO DE OBRA]]-Tabela22465789[[#This Row],[VALOR PAGO]]</f>
        <v>0</v>
      </c>
    </row>
    <row r="33" spans="2:13" ht="15" hidden="1" thickBot="1" x14ac:dyDescent="0.35">
      <c r="B33" s="431" t="s">
        <v>249</v>
      </c>
      <c r="C33" s="418">
        <v>22053</v>
      </c>
      <c r="D33" s="432">
        <v>3959</v>
      </c>
      <c r="E33" s="433">
        <v>46091</v>
      </c>
      <c r="F33" s="434" t="s">
        <v>325</v>
      </c>
      <c r="G33" s="432" t="s">
        <v>326</v>
      </c>
      <c r="H33" s="435">
        <v>2268</v>
      </c>
      <c r="I33" s="435"/>
      <c r="J33" s="436">
        <v>46147</v>
      </c>
      <c r="K33" s="437">
        <v>46147</v>
      </c>
      <c r="L33" s="438">
        <v>2268</v>
      </c>
      <c r="M33" s="439">
        <f>Tabela22465789[[#This Row],[VENDA]]+Tabela22465789[[#This Row],[MÃO DE OBRA]]-Tabela22465789[[#This Row],[VALOR PAGO]]</f>
        <v>0</v>
      </c>
    </row>
    <row r="34" spans="2:13" ht="15" hidden="1" thickBot="1" x14ac:dyDescent="0.35">
      <c r="B34" s="363" t="s">
        <v>249</v>
      </c>
      <c r="C34" s="364">
        <v>22064</v>
      </c>
      <c r="D34" s="365">
        <v>3961</v>
      </c>
      <c r="E34" s="366">
        <v>46091</v>
      </c>
      <c r="F34" s="384" t="s">
        <v>310</v>
      </c>
      <c r="G34" s="365" t="s">
        <v>272</v>
      </c>
      <c r="H34" s="463">
        <v>662.4</v>
      </c>
      <c r="I34" s="386"/>
      <c r="J34" s="387">
        <v>46136</v>
      </c>
      <c r="K34" s="336">
        <v>46163</v>
      </c>
      <c r="L34" s="307">
        <v>662.4</v>
      </c>
      <c r="M34" s="308">
        <f>Tabela22465789[[#This Row],[VENDA]]+Tabela22465789[[#This Row],[MÃO DE OBRA]]-Tabela22465789[[#This Row],[VALOR PAGO]]</f>
        <v>0</v>
      </c>
    </row>
    <row r="35" spans="2:13" ht="15" hidden="1" thickBot="1" x14ac:dyDescent="0.35">
      <c r="B35" s="451"/>
      <c r="C35" s="460">
        <v>22072</v>
      </c>
      <c r="D35" s="440"/>
      <c r="E35" s="461">
        <v>46092</v>
      </c>
      <c r="F35" s="462" t="s">
        <v>338</v>
      </c>
      <c r="G35" s="440"/>
      <c r="H35" s="463">
        <v>594.29999999999995</v>
      </c>
      <c r="I35" s="463"/>
      <c r="J35" s="464">
        <v>46092</v>
      </c>
      <c r="K35" s="470">
        <v>46092</v>
      </c>
      <c r="L35" s="465">
        <v>594.29999999999995</v>
      </c>
      <c r="M35" s="459">
        <f>Tabela22465789[[#This Row],[VENDA]]+Tabela22465789[[#This Row],[MÃO DE OBRA]]-Tabela22465789[[#This Row],[VALOR PAGO]]</f>
        <v>0</v>
      </c>
    </row>
    <row r="36" spans="2:13" ht="15" hidden="1" thickBot="1" x14ac:dyDescent="0.35">
      <c r="B36" s="303" t="s">
        <v>249</v>
      </c>
      <c r="C36" s="364">
        <v>22115</v>
      </c>
      <c r="D36" s="283">
        <v>4018</v>
      </c>
      <c r="E36" s="305">
        <v>46093</v>
      </c>
      <c r="F36" s="304" t="s">
        <v>317</v>
      </c>
      <c r="G36" s="283" t="s">
        <v>272</v>
      </c>
      <c r="H36" s="286">
        <v>3098.62</v>
      </c>
      <c r="I36" s="286"/>
      <c r="J36" s="287">
        <v>46114</v>
      </c>
      <c r="K36" s="336">
        <v>46132</v>
      </c>
      <c r="L36" s="307">
        <v>3098.62</v>
      </c>
      <c r="M36" s="308">
        <f>Tabela22465789[[#This Row],[VENDA]]+Tabela22465789[[#This Row],[MÃO DE OBRA]]-Tabela22465789[[#This Row],[VALOR PAGO]]</f>
        <v>0</v>
      </c>
    </row>
    <row r="37" spans="2:13" ht="15" hidden="1" thickBot="1" x14ac:dyDescent="0.35">
      <c r="B37" s="408" t="s">
        <v>249</v>
      </c>
      <c r="C37" s="396">
        <v>759</v>
      </c>
      <c r="D37" s="409">
        <v>709</v>
      </c>
      <c r="E37" s="410">
        <v>46092</v>
      </c>
      <c r="F37" s="411" t="s">
        <v>327</v>
      </c>
      <c r="G37" s="409" t="s">
        <v>272</v>
      </c>
      <c r="H37" s="413">
        <v>8785</v>
      </c>
      <c r="I37" s="413"/>
      <c r="J37" s="414">
        <v>46113</v>
      </c>
      <c r="K37" s="427">
        <v>46122</v>
      </c>
      <c r="L37" s="415">
        <v>8785</v>
      </c>
      <c r="M37" s="416">
        <f>Tabela22465789[[#This Row],[VENDA]]+Tabela22465789[[#This Row],[MÃO DE OBRA]]-Tabela22465789[[#This Row],[VALOR PAGO]]</f>
        <v>0</v>
      </c>
    </row>
    <row r="38" spans="2:13" ht="15" hidden="1" thickBot="1" x14ac:dyDescent="0.35">
      <c r="B38" s="424" t="s">
        <v>249</v>
      </c>
      <c r="C38" s="405">
        <v>759</v>
      </c>
      <c r="D38" s="406">
        <v>709</v>
      </c>
      <c r="E38" s="407">
        <v>46092</v>
      </c>
      <c r="F38" s="405" t="s">
        <v>327</v>
      </c>
      <c r="G38" s="406" t="s">
        <v>272</v>
      </c>
      <c r="H38" s="445">
        <v>8783</v>
      </c>
      <c r="I38" s="445"/>
      <c r="J38" s="428">
        <v>46120</v>
      </c>
      <c r="K38" s="429">
        <v>46150</v>
      </c>
      <c r="L38" s="430">
        <v>8783</v>
      </c>
      <c r="M38" s="426">
        <f>Tabela22465789[[#This Row],[VENDA]]+Tabela22465789[[#This Row],[MÃO DE OBRA]]-Tabela22465789[[#This Row],[VALOR PAGO]]</f>
        <v>0</v>
      </c>
    </row>
    <row r="39" spans="2:13" ht="15" hidden="1" thickBot="1" x14ac:dyDescent="0.35">
      <c r="B39" s="424" t="s">
        <v>249</v>
      </c>
      <c r="C39" s="405">
        <v>759</v>
      </c>
      <c r="D39" s="406">
        <v>709</v>
      </c>
      <c r="E39" s="407">
        <v>46092</v>
      </c>
      <c r="F39" s="405" t="s">
        <v>327</v>
      </c>
      <c r="G39" s="406" t="s">
        <v>272</v>
      </c>
      <c r="H39" s="445">
        <v>8783</v>
      </c>
      <c r="I39" s="425"/>
      <c r="J39" s="428">
        <v>46127</v>
      </c>
      <c r="K39" s="429">
        <v>46160</v>
      </c>
      <c r="L39" s="430">
        <v>8783</v>
      </c>
      <c r="M39" s="426">
        <f>Tabela22465789[[#This Row],[VENDA]]+Tabela22465789[[#This Row],[MÃO DE OBRA]]-Tabela22465789[[#This Row],[VALOR PAGO]]</f>
        <v>0</v>
      </c>
    </row>
    <row r="40" spans="2:13" ht="15" hidden="1" thickBot="1" x14ac:dyDescent="0.35">
      <c r="B40" s="424" t="s">
        <v>249</v>
      </c>
      <c r="C40" s="405">
        <v>759</v>
      </c>
      <c r="D40" s="406">
        <v>709</v>
      </c>
      <c r="E40" s="407">
        <v>46092</v>
      </c>
      <c r="F40" s="405" t="s">
        <v>327</v>
      </c>
      <c r="G40" s="406" t="s">
        <v>272</v>
      </c>
      <c r="H40" s="445">
        <v>8783</v>
      </c>
      <c r="I40" s="425"/>
      <c r="J40" s="428">
        <v>46134</v>
      </c>
      <c r="K40" s="429">
        <v>46176</v>
      </c>
      <c r="L40" s="430">
        <v>8783</v>
      </c>
      <c r="M40" s="426">
        <f>Tabela22465789[[#This Row],[VENDA]]+Tabela22465789[[#This Row],[MÃO DE OBRA]]-Tabela22465789[[#This Row],[VALOR PAGO]]</f>
        <v>0</v>
      </c>
    </row>
    <row r="41" spans="2:13" ht="15" hidden="1" thickBot="1" x14ac:dyDescent="0.35">
      <c r="B41" s="424" t="s">
        <v>249</v>
      </c>
      <c r="C41" s="405">
        <v>759</v>
      </c>
      <c r="D41" s="406">
        <v>709</v>
      </c>
      <c r="E41" s="407">
        <v>46092</v>
      </c>
      <c r="F41" s="405" t="s">
        <v>327</v>
      </c>
      <c r="G41" s="406" t="s">
        <v>272</v>
      </c>
      <c r="H41" s="445">
        <v>8783</v>
      </c>
      <c r="I41" s="425"/>
      <c r="J41" s="428">
        <v>46141</v>
      </c>
      <c r="K41" s="429">
        <v>46176</v>
      </c>
      <c r="L41" s="430">
        <v>8783</v>
      </c>
      <c r="M41" s="426">
        <f>Tabela22465789[[#This Row],[VENDA]]+Tabela22465789[[#This Row],[MÃO DE OBRA]]-Tabela22465789[[#This Row],[VALOR PAGO]]</f>
        <v>0</v>
      </c>
    </row>
    <row r="42" spans="2:13" ht="15" hidden="1" thickBot="1" x14ac:dyDescent="0.35">
      <c r="B42" s="431" t="s">
        <v>249</v>
      </c>
      <c r="C42" s="434">
        <v>759</v>
      </c>
      <c r="D42" s="432">
        <v>709</v>
      </c>
      <c r="E42" s="433">
        <v>46092</v>
      </c>
      <c r="F42" s="434" t="s">
        <v>327</v>
      </c>
      <c r="G42" s="432" t="s">
        <v>272</v>
      </c>
      <c r="H42" s="548">
        <v>8783</v>
      </c>
      <c r="I42" s="435"/>
      <c r="J42" s="436">
        <v>46148</v>
      </c>
      <c r="K42" s="437">
        <v>46189</v>
      </c>
      <c r="L42" s="438">
        <v>8783</v>
      </c>
      <c r="M42" s="439">
        <f>Tabela22465789[[#This Row],[VENDA]]+Tabela22465789[[#This Row],[MÃO DE OBRA]]-Tabela22465789[[#This Row],[VALOR PAGO]]</f>
        <v>0</v>
      </c>
    </row>
    <row r="43" spans="2:13" ht="15" hidden="1" thickBot="1" x14ac:dyDescent="0.35">
      <c r="B43" s="408" t="s">
        <v>328</v>
      </c>
      <c r="C43" s="396">
        <v>760</v>
      </c>
      <c r="D43" s="409">
        <v>711</v>
      </c>
      <c r="E43" s="410">
        <v>46092</v>
      </c>
      <c r="F43" s="411" t="s">
        <v>329</v>
      </c>
      <c r="G43" s="409" t="s">
        <v>272</v>
      </c>
      <c r="H43" s="413">
        <v>6100</v>
      </c>
      <c r="I43" s="413"/>
      <c r="J43" s="414">
        <v>46113</v>
      </c>
      <c r="K43" s="427">
        <v>46150</v>
      </c>
      <c r="L43" s="415">
        <v>6100</v>
      </c>
      <c r="M43" s="416">
        <f>Tabela22465789[[#This Row],[VENDA]]+Tabela22465789[[#This Row],[MÃO DE OBRA]]-Tabela22465789[[#This Row],[VALOR PAGO]]</f>
        <v>0</v>
      </c>
    </row>
    <row r="44" spans="2:13" ht="15" hidden="1" thickBot="1" x14ac:dyDescent="0.35">
      <c r="B44" s="424" t="s">
        <v>249</v>
      </c>
      <c r="C44" s="397">
        <v>760</v>
      </c>
      <c r="D44" s="406">
        <v>711</v>
      </c>
      <c r="E44" s="407">
        <v>46092</v>
      </c>
      <c r="F44" s="405" t="s">
        <v>329</v>
      </c>
      <c r="G44" s="406" t="s">
        <v>272</v>
      </c>
      <c r="H44" s="425">
        <v>6096</v>
      </c>
      <c r="I44" s="425"/>
      <c r="J44" s="428">
        <v>46120</v>
      </c>
      <c r="K44" s="429">
        <v>46150</v>
      </c>
      <c r="L44" s="430">
        <v>6096</v>
      </c>
      <c r="M44" s="426">
        <f>Tabela22465789[[#This Row],[VENDA]]+Tabela22465789[[#This Row],[MÃO DE OBRA]]-Tabela22465789[[#This Row],[VALOR PAGO]]</f>
        <v>0</v>
      </c>
    </row>
    <row r="45" spans="2:13" ht="15" hidden="1" thickBot="1" x14ac:dyDescent="0.35">
      <c r="B45" s="424" t="s">
        <v>249</v>
      </c>
      <c r="C45" s="397">
        <v>760</v>
      </c>
      <c r="D45" s="406">
        <v>711</v>
      </c>
      <c r="E45" s="407">
        <v>46092</v>
      </c>
      <c r="F45" s="405" t="s">
        <v>329</v>
      </c>
      <c r="G45" s="406" t="s">
        <v>272</v>
      </c>
      <c r="H45" s="425">
        <v>6096</v>
      </c>
      <c r="I45" s="425"/>
      <c r="J45" s="428">
        <v>46127</v>
      </c>
      <c r="K45" s="429">
        <v>46160</v>
      </c>
      <c r="L45" s="430">
        <v>6096</v>
      </c>
      <c r="M45" s="426">
        <f>Tabela22465789[[#This Row],[VENDA]]+Tabela22465789[[#This Row],[MÃO DE OBRA]]-Tabela22465789[[#This Row],[VALOR PAGO]]</f>
        <v>0</v>
      </c>
    </row>
    <row r="46" spans="2:13" ht="15" hidden="1" thickBot="1" x14ac:dyDescent="0.35">
      <c r="B46" s="424" t="s">
        <v>249</v>
      </c>
      <c r="C46" s="397">
        <v>760</v>
      </c>
      <c r="D46" s="406">
        <v>711</v>
      </c>
      <c r="E46" s="407">
        <v>46092</v>
      </c>
      <c r="F46" s="405" t="s">
        <v>329</v>
      </c>
      <c r="G46" s="406" t="s">
        <v>272</v>
      </c>
      <c r="H46" s="425">
        <v>6096</v>
      </c>
      <c r="I46" s="425"/>
      <c r="J46" s="428">
        <v>46134</v>
      </c>
      <c r="K46" s="429">
        <v>46160</v>
      </c>
      <c r="L46" s="430">
        <v>6096.01</v>
      </c>
      <c r="M46" s="426">
        <f>Tabela22465789[[#This Row],[VENDA]]+Tabela22465789[[#This Row],[MÃO DE OBRA]]-Tabela22465789[[#This Row],[VALOR PAGO]]</f>
        <v>-1.0000000000218279E-2</v>
      </c>
    </row>
    <row r="47" spans="2:13" ht="15" hidden="1" thickBot="1" x14ac:dyDescent="0.35">
      <c r="B47" s="424" t="s">
        <v>249</v>
      </c>
      <c r="C47" s="397">
        <v>760</v>
      </c>
      <c r="D47" s="406">
        <v>711</v>
      </c>
      <c r="E47" s="407">
        <v>46092</v>
      </c>
      <c r="F47" s="405" t="s">
        <v>329</v>
      </c>
      <c r="G47" s="406" t="s">
        <v>272</v>
      </c>
      <c r="H47" s="425">
        <v>6096</v>
      </c>
      <c r="I47" s="425"/>
      <c r="J47" s="428">
        <v>46141</v>
      </c>
      <c r="K47" s="429">
        <v>46176</v>
      </c>
      <c r="L47" s="430">
        <v>6096</v>
      </c>
      <c r="M47" s="426">
        <f>Tabela22465789[[#This Row],[VENDA]]+Tabela22465789[[#This Row],[MÃO DE OBRA]]-Tabela22465789[[#This Row],[VALOR PAGO]]</f>
        <v>0</v>
      </c>
    </row>
    <row r="48" spans="2:13" ht="15" hidden="1" thickBot="1" x14ac:dyDescent="0.35">
      <c r="B48" s="431" t="s">
        <v>249</v>
      </c>
      <c r="C48" s="418">
        <v>760</v>
      </c>
      <c r="D48" s="432">
        <v>711</v>
      </c>
      <c r="E48" s="433">
        <v>46092</v>
      </c>
      <c r="F48" s="434" t="s">
        <v>329</v>
      </c>
      <c r="G48" s="432" t="s">
        <v>272</v>
      </c>
      <c r="H48" s="435">
        <v>6096</v>
      </c>
      <c r="I48" s="435"/>
      <c r="J48" s="436">
        <v>46148</v>
      </c>
      <c r="K48" s="437">
        <v>46176</v>
      </c>
      <c r="L48" s="438">
        <v>6096</v>
      </c>
      <c r="M48" s="439">
        <f>Tabela22465789[[#This Row],[VENDA]]+Tabela22465789[[#This Row],[MÃO DE OBRA]]-Tabela22465789[[#This Row],[VALOR PAGO]]</f>
        <v>0</v>
      </c>
    </row>
    <row r="49" spans="2:13" ht="15" hidden="1" thickBot="1" x14ac:dyDescent="0.35">
      <c r="B49" s="408" t="s">
        <v>249</v>
      </c>
      <c r="C49" s="396">
        <v>761</v>
      </c>
      <c r="D49" s="409">
        <v>712</v>
      </c>
      <c r="E49" s="410">
        <v>46092</v>
      </c>
      <c r="F49" s="411" t="s">
        <v>330</v>
      </c>
      <c r="G49" s="409" t="s">
        <v>272</v>
      </c>
      <c r="H49" s="413">
        <v>9045</v>
      </c>
      <c r="I49" s="413"/>
      <c r="J49" s="414">
        <v>46113</v>
      </c>
      <c r="K49" s="427">
        <v>46142</v>
      </c>
      <c r="L49" s="415">
        <v>9045</v>
      </c>
      <c r="M49" s="416">
        <f>Tabela22465789[[#This Row],[VENDA]]+Tabela22465789[[#This Row],[MÃO DE OBRA]]-Tabela22465789[[#This Row],[VALOR PAGO]]</f>
        <v>0</v>
      </c>
    </row>
    <row r="50" spans="2:13" ht="15" hidden="1" thickBot="1" x14ac:dyDescent="0.35">
      <c r="B50" s="424" t="s">
        <v>249</v>
      </c>
      <c r="C50" s="397">
        <v>761</v>
      </c>
      <c r="D50" s="406">
        <v>712</v>
      </c>
      <c r="E50" s="407">
        <v>46092</v>
      </c>
      <c r="F50" s="405" t="s">
        <v>330</v>
      </c>
      <c r="G50" s="406" t="s">
        <v>272</v>
      </c>
      <c r="H50" s="425">
        <v>9041</v>
      </c>
      <c r="I50" s="425"/>
      <c r="J50" s="428">
        <v>46120</v>
      </c>
      <c r="K50" s="429">
        <v>46150</v>
      </c>
      <c r="L50" s="430">
        <v>9041</v>
      </c>
      <c r="M50" s="426">
        <f>Tabela22465789[[#This Row],[VENDA]]+Tabela22465789[[#This Row],[MÃO DE OBRA]]-Tabela22465789[[#This Row],[VALOR PAGO]]</f>
        <v>0</v>
      </c>
    </row>
    <row r="51" spans="2:13" ht="15" hidden="1" thickBot="1" x14ac:dyDescent="0.35">
      <c r="B51" s="424" t="s">
        <v>249</v>
      </c>
      <c r="C51" s="397">
        <v>761</v>
      </c>
      <c r="D51" s="406">
        <v>712</v>
      </c>
      <c r="E51" s="407">
        <v>46092</v>
      </c>
      <c r="F51" s="405" t="s">
        <v>330</v>
      </c>
      <c r="G51" s="406" t="s">
        <v>272</v>
      </c>
      <c r="H51" s="425">
        <v>9041</v>
      </c>
      <c r="I51" s="425"/>
      <c r="J51" s="428">
        <v>46127</v>
      </c>
      <c r="K51" s="429">
        <v>46150</v>
      </c>
      <c r="L51" s="430">
        <v>9041</v>
      </c>
      <c r="M51" s="426">
        <f>Tabela22465789[[#This Row],[VENDA]]+Tabela22465789[[#This Row],[MÃO DE OBRA]]-Tabela22465789[[#This Row],[VALOR PAGO]]</f>
        <v>0</v>
      </c>
    </row>
    <row r="52" spans="2:13" ht="15" hidden="1" thickBot="1" x14ac:dyDescent="0.35">
      <c r="B52" s="424" t="s">
        <v>249</v>
      </c>
      <c r="C52" s="397">
        <v>761</v>
      </c>
      <c r="D52" s="406">
        <v>712</v>
      </c>
      <c r="E52" s="407">
        <v>46092</v>
      </c>
      <c r="F52" s="405" t="s">
        <v>330</v>
      </c>
      <c r="G52" s="406" t="s">
        <v>272</v>
      </c>
      <c r="H52" s="425">
        <v>9041</v>
      </c>
      <c r="I52" s="425"/>
      <c r="J52" s="428">
        <v>46134</v>
      </c>
      <c r="K52" s="429">
        <v>46176</v>
      </c>
      <c r="L52" s="430">
        <v>9041</v>
      </c>
      <c r="M52" s="426">
        <f>Tabela22465789[[#This Row],[VENDA]]+Tabela22465789[[#This Row],[MÃO DE OBRA]]-Tabela22465789[[#This Row],[VALOR PAGO]]</f>
        <v>0</v>
      </c>
    </row>
    <row r="53" spans="2:13" ht="15" hidden="1" thickBot="1" x14ac:dyDescent="0.35">
      <c r="B53" s="424" t="s">
        <v>249</v>
      </c>
      <c r="C53" s="397">
        <v>761</v>
      </c>
      <c r="D53" s="406">
        <v>712</v>
      </c>
      <c r="E53" s="407">
        <v>46092</v>
      </c>
      <c r="F53" s="405" t="s">
        <v>330</v>
      </c>
      <c r="G53" s="406" t="s">
        <v>272</v>
      </c>
      <c r="H53" s="425">
        <v>9041</v>
      </c>
      <c r="I53" s="425"/>
      <c r="J53" s="428">
        <v>46141</v>
      </c>
      <c r="K53" s="429">
        <v>46176</v>
      </c>
      <c r="L53" s="430">
        <v>9041</v>
      </c>
      <c r="M53" s="426">
        <f>Tabela22465789[[#This Row],[VENDA]]+Tabela22465789[[#This Row],[MÃO DE OBRA]]-Tabela22465789[[#This Row],[VALOR PAGO]]</f>
        <v>0</v>
      </c>
    </row>
    <row r="54" spans="2:13" ht="15" hidden="1" thickBot="1" x14ac:dyDescent="0.35">
      <c r="B54" s="431" t="s">
        <v>249</v>
      </c>
      <c r="C54" s="418">
        <v>761</v>
      </c>
      <c r="D54" s="432">
        <v>712</v>
      </c>
      <c r="E54" s="433">
        <v>46092</v>
      </c>
      <c r="F54" s="434" t="s">
        <v>330</v>
      </c>
      <c r="G54" s="432" t="s">
        <v>272</v>
      </c>
      <c r="H54" s="435">
        <v>9041</v>
      </c>
      <c r="I54" s="435"/>
      <c r="J54" s="436">
        <v>46148</v>
      </c>
      <c r="K54" s="437">
        <v>46189</v>
      </c>
      <c r="L54" s="438">
        <v>9041</v>
      </c>
      <c r="M54" s="439">
        <f>Tabela22465789[[#This Row],[VENDA]]+Tabela22465789[[#This Row],[MÃO DE OBRA]]-Tabela22465789[[#This Row],[VALOR PAGO]]</f>
        <v>0</v>
      </c>
    </row>
    <row r="55" spans="2:13" ht="15" hidden="1" thickBot="1" x14ac:dyDescent="0.35">
      <c r="B55" s="408" t="s">
        <v>249</v>
      </c>
      <c r="C55" s="396">
        <v>762</v>
      </c>
      <c r="D55" s="409">
        <v>713</v>
      </c>
      <c r="E55" s="410">
        <v>46092</v>
      </c>
      <c r="F55" s="411" t="s">
        <v>331</v>
      </c>
      <c r="G55" s="409" t="s">
        <v>272</v>
      </c>
      <c r="H55" s="413">
        <v>7767.5</v>
      </c>
      <c r="I55" s="413"/>
      <c r="J55" s="414">
        <v>46113</v>
      </c>
      <c r="K55" s="427">
        <v>46142</v>
      </c>
      <c r="L55" s="415">
        <v>7767.5</v>
      </c>
      <c r="M55" s="416">
        <f>Tabela22465789[[#This Row],[VENDA]]+Tabela22465789[[#This Row],[MÃO DE OBRA]]-Tabela22465789[[#This Row],[VALOR PAGO]]</f>
        <v>0</v>
      </c>
    </row>
    <row r="56" spans="2:13" ht="15" hidden="1" thickBot="1" x14ac:dyDescent="0.35">
      <c r="B56" s="424" t="s">
        <v>249</v>
      </c>
      <c r="C56" s="397">
        <v>762</v>
      </c>
      <c r="D56" s="406">
        <v>713</v>
      </c>
      <c r="E56" s="407">
        <v>46092</v>
      </c>
      <c r="F56" s="405" t="s">
        <v>331</v>
      </c>
      <c r="G56" s="406" t="s">
        <v>272</v>
      </c>
      <c r="H56" s="425">
        <v>7762</v>
      </c>
      <c r="I56" s="425"/>
      <c r="J56" s="428">
        <v>46120</v>
      </c>
      <c r="K56" s="429">
        <v>46150</v>
      </c>
      <c r="L56" s="430">
        <v>7762</v>
      </c>
      <c r="M56" s="426">
        <f>Tabela22465789[[#This Row],[VENDA]]+Tabela22465789[[#This Row],[MÃO DE OBRA]]-Tabela22465789[[#This Row],[VALOR PAGO]]</f>
        <v>0</v>
      </c>
    </row>
    <row r="57" spans="2:13" ht="15" hidden="1" thickBot="1" x14ac:dyDescent="0.35">
      <c r="B57" s="424" t="s">
        <v>249</v>
      </c>
      <c r="C57" s="397">
        <v>762</v>
      </c>
      <c r="D57" s="406">
        <v>713</v>
      </c>
      <c r="E57" s="407">
        <v>46092</v>
      </c>
      <c r="F57" s="405" t="s">
        <v>331</v>
      </c>
      <c r="G57" s="406" t="s">
        <v>272</v>
      </c>
      <c r="H57" s="425">
        <v>7762</v>
      </c>
      <c r="I57" s="425"/>
      <c r="J57" s="428">
        <v>46127</v>
      </c>
      <c r="K57" s="429">
        <v>46160</v>
      </c>
      <c r="L57" s="430">
        <v>7762</v>
      </c>
      <c r="M57" s="426">
        <f>Tabela22465789[[#This Row],[VENDA]]+Tabela22465789[[#This Row],[MÃO DE OBRA]]-Tabela22465789[[#This Row],[VALOR PAGO]]</f>
        <v>0</v>
      </c>
    </row>
    <row r="58" spans="2:13" ht="15" hidden="1" thickBot="1" x14ac:dyDescent="0.35">
      <c r="B58" s="424" t="s">
        <v>249</v>
      </c>
      <c r="C58" s="397">
        <v>762</v>
      </c>
      <c r="D58" s="406">
        <v>713</v>
      </c>
      <c r="E58" s="407">
        <v>46092</v>
      </c>
      <c r="F58" s="405" t="s">
        <v>331</v>
      </c>
      <c r="G58" s="406" t="s">
        <v>272</v>
      </c>
      <c r="H58" s="425">
        <v>7762</v>
      </c>
      <c r="I58" s="425"/>
      <c r="J58" s="428">
        <v>46134</v>
      </c>
      <c r="K58" s="429">
        <v>46176</v>
      </c>
      <c r="L58" s="430">
        <v>7762</v>
      </c>
      <c r="M58" s="426">
        <f>Tabela22465789[[#This Row],[VENDA]]+Tabela22465789[[#This Row],[MÃO DE OBRA]]-Tabela22465789[[#This Row],[VALOR PAGO]]</f>
        <v>0</v>
      </c>
    </row>
    <row r="59" spans="2:13" ht="15" hidden="1" thickBot="1" x14ac:dyDescent="0.35">
      <c r="B59" s="424" t="s">
        <v>249</v>
      </c>
      <c r="C59" s="397">
        <v>762</v>
      </c>
      <c r="D59" s="406">
        <v>713</v>
      </c>
      <c r="E59" s="407">
        <v>46092</v>
      </c>
      <c r="F59" s="405" t="s">
        <v>331</v>
      </c>
      <c r="G59" s="406" t="s">
        <v>272</v>
      </c>
      <c r="H59" s="425">
        <v>7762</v>
      </c>
      <c r="I59" s="425"/>
      <c r="J59" s="428">
        <v>46141</v>
      </c>
      <c r="K59" s="429">
        <v>46176</v>
      </c>
      <c r="L59" s="430">
        <v>7762</v>
      </c>
      <c r="M59" s="426">
        <f>Tabela22465789[[#This Row],[VENDA]]+Tabela22465789[[#This Row],[MÃO DE OBRA]]-Tabela22465789[[#This Row],[VALOR PAGO]]</f>
        <v>0</v>
      </c>
    </row>
    <row r="60" spans="2:13" ht="15" hidden="1" thickBot="1" x14ac:dyDescent="0.35">
      <c r="B60" s="431" t="s">
        <v>249</v>
      </c>
      <c r="C60" s="418">
        <v>762</v>
      </c>
      <c r="D60" s="432">
        <v>713</v>
      </c>
      <c r="E60" s="433">
        <v>46092</v>
      </c>
      <c r="F60" s="434" t="s">
        <v>331</v>
      </c>
      <c r="G60" s="432" t="s">
        <v>272</v>
      </c>
      <c r="H60" s="435">
        <v>7762</v>
      </c>
      <c r="I60" s="435"/>
      <c r="J60" s="436">
        <v>46148</v>
      </c>
      <c r="K60" s="437">
        <v>46190</v>
      </c>
      <c r="L60" s="438">
        <v>7762</v>
      </c>
      <c r="M60" s="439">
        <f>Tabela22465789[[#This Row],[VENDA]]+Tabela22465789[[#This Row],[MÃO DE OBRA]]-Tabela22465789[[#This Row],[VALOR PAGO]]</f>
        <v>0</v>
      </c>
    </row>
    <row r="61" spans="2:13" ht="15" hidden="1" thickBot="1" x14ac:dyDescent="0.35">
      <c r="B61" s="408" t="s">
        <v>248</v>
      </c>
      <c r="C61" s="396">
        <v>22138</v>
      </c>
      <c r="D61" s="409">
        <v>4017</v>
      </c>
      <c r="E61" s="410">
        <v>46094</v>
      </c>
      <c r="F61" s="411" t="s">
        <v>236</v>
      </c>
      <c r="G61" s="409" t="s">
        <v>270</v>
      </c>
      <c r="H61" s="413"/>
      <c r="I61" s="413">
        <v>411.93</v>
      </c>
      <c r="J61" s="414">
        <v>46122</v>
      </c>
      <c r="K61" s="427">
        <v>46108</v>
      </c>
      <c r="L61" s="450">
        <v>411.93</v>
      </c>
      <c r="M61" s="416">
        <f>Tabela22465789[[#This Row],[VENDA]]+Tabela22465789[[#This Row],[MÃO DE OBRA]]-Tabela22465789[[#This Row],[VALOR PAGO]]</f>
        <v>0</v>
      </c>
    </row>
    <row r="62" spans="2:13" ht="15" hidden="1" thickBot="1" x14ac:dyDescent="0.35">
      <c r="B62" s="431" t="s">
        <v>248</v>
      </c>
      <c r="C62" s="418">
        <v>22138</v>
      </c>
      <c r="D62" s="432">
        <v>4017</v>
      </c>
      <c r="E62" s="433">
        <v>46094</v>
      </c>
      <c r="F62" s="434" t="s">
        <v>236</v>
      </c>
      <c r="G62" s="432" t="s">
        <v>270</v>
      </c>
      <c r="H62" s="435"/>
      <c r="I62" s="435">
        <v>411.93</v>
      </c>
      <c r="J62" s="436">
        <v>46129</v>
      </c>
      <c r="K62" s="437">
        <v>46108</v>
      </c>
      <c r="L62" s="438">
        <v>411.93</v>
      </c>
      <c r="M62" s="439">
        <f>Tabela22465789[[#This Row],[VENDA]]+Tabela22465789[[#This Row],[MÃO DE OBRA]]-Tabela22465789[[#This Row],[VALOR PAGO]]</f>
        <v>0</v>
      </c>
    </row>
    <row r="63" spans="2:13" ht="15" hidden="1" thickBot="1" x14ac:dyDescent="0.35">
      <c r="B63" s="424" t="s">
        <v>248</v>
      </c>
      <c r="C63" s="397">
        <v>22140</v>
      </c>
      <c r="D63" s="406">
        <v>3949</v>
      </c>
      <c r="E63" s="407">
        <v>46094</v>
      </c>
      <c r="F63" s="405" t="s">
        <v>236</v>
      </c>
      <c r="G63" s="406" t="s">
        <v>270</v>
      </c>
      <c r="H63" s="425"/>
      <c r="I63" s="425">
        <v>686.78</v>
      </c>
      <c r="J63" s="428">
        <v>46122</v>
      </c>
      <c r="K63" s="429">
        <v>46108</v>
      </c>
      <c r="L63" s="430">
        <v>686.78</v>
      </c>
      <c r="M63" s="430">
        <f>Tabela22465789[[#This Row],[VENDA]]+Tabela22465789[[#This Row],[MÃO DE OBRA]]-Tabela22465789[[#This Row],[VALOR PAGO]]</f>
        <v>0</v>
      </c>
    </row>
    <row r="64" spans="2:13" ht="15" hidden="1" thickBot="1" x14ac:dyDescent="0.35">
      <c r="B64" s="424" t="s">
        <v>248</v>
      </c>
      <c r="C64" s="397">
        <v>22140</v>
      </c>
      <c r="D64" s="406">
        <v>3949</v>
      </c>
      <c r="E64" s="407">
        <v>46094</v>
      </c>
      <c r="F64" s="405" t="s">
        <v>236</v>
      </c>
      <c r="G64" s="406" t="s">
        <v>270</v>
      </c>
      <c r="H64" s="425"/>
      <c r="I64" s="425">
        <v>686.78</v>
      </c>
      <c r="J64" s="428">
        <v>46129</v>
      </c>
      <c r="K64" s="429">
        <v>46108</v>
      </c>
      <c r="L64" s="430">
        <v>686.78</v>
      </c>
      <c r="M64" s="430">
        <f>Tabela22465789[[#This Row],[VENDA]]+Tabela22465789[[#This Row],[MÃO DE OBRA]]-Tabela22465789[[#This Row],[VALOR PAGO]]</f>
        <v>0</v>
      </c>
    </row>
    <row r="65" spans="2:14" ht="15" hidden="1" thickBot="1" x14ac:dyDescent="0.35">
      <c r="B65" s="424" t="s">
        <v>248</v>
      </c>
      <c r="C65" s="418">
        <v>22140</v>
      </c>
      <c r="D65" s="432">
        <v>3949</v>
      </c>
      <c r="E65" s="433">
        <v>46094</v>
      </c>
      <c r="F65" s="434" t="s">
        <v>236</v>
      </c>
      <c r="G65" s="432" t="s">
        <v>270</v>
      </c>
      <c r="H65" s="435"/>
      <c r="I65" s="435">
        <v>686.77</v>
      </c>
      <c r="J65" s="436">
        <v>46136</v>
      </c>
      <c r="K65" s="437">
        <v>46136</v>
      </c>
      <c r="L65" s="438">
        <v>686.79</v>
      </c>
      <c r="M65" s="426">
        <f>Tabela22465789[[#This Row],[VENDA]]+Tabela22465789[[#This Row],[MÃO DE OBRA]]-Tabela22465789[[#This Row],[VALOR PAGO]]</f>
        <v>-1.999999999998181E-2</v>
      </c>
    </row>
    <row r="66" spans="2:14" ht="15" hidden="1" thickBot="1" x14ac:dyDescent="0.35">
      <c r="B66" s="363" t="s">
        <v>249</v>
      </c>
      <c r="C66" s="364">
        <v>775</v>
      </c>
      <c r="D66" s="365">
        <v>730</v>
      </c>
      <c r="E66" s="366">
        <v>46097</v>
      </c>
      <c r="F66" s="384" t="s">
        <v>264</v>
      </c>
      <c r="G66" s="365" t="s">
        <v>332</v>
      </c>
      <c r="H66" s="386">
        <v>12866.4</v>
      </c>
      <c r="I66" s="386"/>
      <c r="J66" s="387">
        <v>46111</v>
      </c>
      <c r="K66" s="444">
        <v>46111</v>
      </c>
      <c r="L66" s="367">
        <v>12866.4</v>
      </c>
      <c r="M66" s="388">
        <f>Tabela22465789[[#This Row],[VENDA]]+Tabela22465789[[#This Row],[MÃO DE OBRA]]-Tabela22465789[[#This Row],[VALOR PAGO]]</f>
        <v>0</v>
      </c>
    </row>
    <row r="67" spans="2:14" ht="15" hidden="1" thickBot="1" x14ac:dyDescent="0.35">
      <c r="B67" s="408" t="s">
        <v>328</v>
      </c>
      <c r="C67" s="396">
        <v>22158</v>
      </c>
      <c r="D67" s="409">
        <v>4059</v>
      </c>
      <c r="E67" s="410">
        <v>46097</v>
      </c>
      <c r="F67" s="411" t="s">
        <v>315</v>
      </c>
      <c r="G67" s="409" t="s">
        <v>332</v>
      </c>
      <c r="H67" s="413">
        <v>1113</v>
      </c>
      <c r="I67" s="413"/>
      <c r="J67" s="414">
        <v>46127</v>
      </c>
      <c r="K67" s="427">
        <v>46127</v>
      </c>
      <c r="L67" s="415">
        <v>1113</v>
      </c>
      <c r="M67" s="416">
        <f>Tabela22465789[[#This Row],[VENDA]]+Tabela22465789[[#This Row],[MÃO DE OBRA]]-Tabela22465789[[#This Row],[VALOR PAGO]]</f>
        <v>0</v>
      </c>
    </row>
    <row r="68" spans="2:14" ht="15" hidden="1" thickBot="1" x14ac:dyDescent="0.35">
      <c r="B68" s="424" t="s">
        <v>249</v>
      </c>
      <c r="C68" s="397">
        <v>22158</v>
      </c>
      <c r="D68" s="406">
        <v>4059</v>
      </c>
      <c r="E68" s="407">
        <v>46097</v>
      </c>
      <c r="F68" s="405" t="s">
        <v>315</v>
      </c>
      <c r="G68" s="406" t="s">
        <v>332</v>
      </c>
      <c r="H68" s="425">
        <v>1113</v>
      </c>
      <c r="I68" s="425"/>
      <c r="J68" s="428">
        <v>46142</v>
      </c>
      <c r="K68" s="429">
        <v>46142</v>
      </c>
      <c r="L68" s="430">
        <v>1113</v>
      </c>
      <c r="M68" s="426">
        <f>Tabela22465789[[#This Row],[VENDA]]+Tabela22465789[[#This Row],[MÃO DE OBRA]]-Tabela22465789[[#This Row],[VALOR PAGO]]</f>
        <v>0</v>
      </c>
    </row>
    <row r="69" spans="2:14" ht="15" hidden="1" thickBot="1" x14ac:dyDescent="0.35">
      <c r="B69" s="431" t="s">
        <v>249</v>
      </c>
      <c r="C69" s="418">
        <v>22158</v>
      </c>
      <c r="D69" s="432">
        <v>4059</v>
      </c>
      <c r="E69" s="433">
        <v>46097</v>
      </c>
      <c r="F69" s="434" t="s">
        <v>315</v>
      </c>
      <c r="G69" s="432" t="s">
        <v>332</v>
      </c>
      <c r="H69" s="435">
        <v>1124.1300000000001</v>
      </c>
      <c r="I69" s="435"/>
      <c r="J69" s="436">
        <v>46157</v>
      </c>
      <c r="K69" s="433">
        <v>46157</v>
      </c>
      <c r="L69" s="438">
        <v>1113</v>
      </c>
      <c r="M69" s="439">
        <f>Tabela22465789[[#This Row],[VENDA]]+Tabela22465789[[#This Row],[MÃO DE OBRA]]-Tabela22465789[[#This Row],[VALOR PAGO]]</f>
        <v>11.130000000000109</v>
      </c>
    </row>
    <row r="70" spans="2:14" ht="15" hidden="1" thickBot="1" x14ac:dyDescent="0.35">
      <c r="B70" s="408"/>
      <c r="C70" s="396">
        <v>22157</v>
      </c>
      <c r="D70" s="409"/>
      <c r="E70" s="410">
        <v>46097</v>
      </c>
      <c r="F70" s="411" t="s">
        <v>333</v>
      </c>
      <c r="G70" s="409" t="s">
        <v>332</v>
      </c>
      <c r="H70" s="413">
        <f>8281.75</f>
        <v>8281.75</v>
      </c>
      <c r="I70" s="413"/>
      <c r="J70" s="414">
        <v>46127</v>
      </c>
      <c r="K70" s="427">
        <v>46134</v>
      </c>
      <c r="L70" s="415">
        <v>8281.75</v>
      </c>
      <c r="M70" s="416">
        <f>Tabela22465789[[#This Row],[VENDA]]+Tabela22465789[[#This Row],[MÃO DE OBRA]]-Tabela22465789[[#This Row],[VALOR PAGO]]</f>
        <v>0</v>
      </c>
    </row>
    <row r="71" spans="2:14" ht="15" hidden="1" thickBot="1" x14ac:dyDescent="0.35">
      <c r="B71" s="424"/>
      <c r="C71" s="397">
        <v>22157</v>
      </c>
      <c r="D71" s="406"/>
      <c r="E71" s="407">
        <v>46097</v>
      </c>
      <c r="F71" s="405" t="s">
        <v>333</v>
      </c>
      <c r="G71" s="406" t="s">
        <v>332</v>
      </c>
      <c r="H71" s="494">
        <f>H70</f>
        <v>8281.75</v>
      </c>
      <c r="I71" s="494"/>
      <c r="J71" s="428">
        <v>46146</v>
      </c>
      <c r="K71" s="429">
        <v>46155</v>
      </c>
      <c r="L71" s="430">
        <v>8281.75</v>
      </c>
      <c r="M71" s="426">
        <f>Tabela22465789[[#This Row],[VENDA]]+Tabela22465789[[#This Row],[MÃO DE OBRA]]-Tabela22465789[[#This Row],[VALOR PAGO]]</f>
        <v>0</v>
      </c>
    </row>
    <row r="72" spans="2:14" ht="15" hidden="1" thickBot="1" x14ac:dyDescent="0.35">
      <c r="B72" s="446" t="s">
        <v>334</v>
      </c>
      <c r="C72" s="397">
        <v>22157</v>
      </c>
      <c r="D72" s="406"/>
      <c r="E72" s="407">
        <v>46097</v>
      </c>
      <c r="F72" s="405" t="s">
        <v>333</v>
      </c>
      <c r="G72" s="406" t="s">
        <v>332</v>
      </c>
      <c r="H72" s="425">
        <f>H71</f>
        <v>8281.75</v>
      </c>
      <c r="I72" s="425"/>
      <c r="J72" s="428">
        <v>46160</v>
      </c>
      <c r="K72" s="429">
        <v>46160</v>
      </c>
      <c r="L72" s="430">
        <v>8281.75</v>
      </c>
      <c r="M72" s="426">
        <f>Tabela22465789[[#This Row],[VENDA]]+Tabela22465789[[#This Row],[MÃO DE OBRA]]-Tabela22465789[[#This Row],[VALOR PAGO]]</f>
        <v>0</v>
      </c>
    </row>
    <row r="73" spans="2:14" ht="15" hidden="1" thickBot="1" x14ac:dyDescent="0.35">
      <c r="B73" s="431"/>
      <c r="C73" s="418">
        <v>22157</v>
      </c>
      <c r="D73" s="432"/>
      <c r="E73" s="433">
        <v>46097</v>
      </c>
      <c r="F73" s="434" t="s">
        <v>333</v>
      </c>
      <c r="G73" s="432" t="s">
        <v>332</v>
      </c>
      <c r="H73" s="435">
        <f>H72</f>
        <v>8281.75</v>
      </c>
      <c r="I73" s="435"/>
      <c r="J73" s="436">
        <v>46178</v>
      </c>
      <c r="K73" s="437">
        <v>46178</v>
      </c>
      <c r="L73" s="438">
        <v>8281.75</v>
      </c>
      <c r="M73" s="439">
        <f>Tabela22465789[[#This Row],[VENDA]]+Tabela22465789[[#This Row],[MÃO DE OBRA]]-Tabela22465789[[#This Row],[VALOR PAGO]]</f>
        <v>0</v>
      </c>
    </row>
    <row r="74" spans="2:14" ht="15" hidden="1" thickBot="1" x14ac:dyDescent="0.35">
      <c r="B74" s="363" t="s">
        <v>248</v>
      </c>
      <c r="C74" s="364">
        <v>22262</v>
      </c>
      <c r="D74" s="365">
        <v>4040</v>
      </c>
      <c r="E74" s="366">
        <v>46101</v>
      </c>
      <c r="F74" s="384" t="s">
        <v>237</v>
      </c>
      <c r="G74" s="365" t="s">
        <v>270</v>
      </c>
      <c r="H74" s="386"/>
      <c r="I74" s="386">
        <f>714*8.91</f>
        <v>6361.74</v>
      </c>
      <c r="J74" s="387">
        <v>46122</v>
      </c>
      <c r="K74" s="444">
        <v>46122</v>
      </c>
      <c r="L74" s="367">
        <v>6361.74</v>
      </c>
      <c r="M74" s="388">
        <f>Tabela22465789[[#This Row],[VENDA]]+Tabela22465789[[#This Row],[MÃO DE OBRA]]-Tabela22465789[[#This Row],[VALOR PAGO]]</f>
        <v>0</v>
      </c>
    </row>
    <row r="75" spans="2:14" x14ac:dyDescent="0.3">
      <c r="B75" s="408" t="s">
        <v>249</v>
      </c>
      <c r="C75" s="396">
        <v>22243</v>
      </c>
      <c r="D75" s="468">
        <v>3370</v>
      </c>
      <c r="E75" s="410">
        <v>46101</v>
      </c>
      <c r="F75" s="411" t="s">
        <v>254</v>
      </c>
      <c r="G75" s="409" t="s">
        <v>271</v>
      </c>
      <c r="H75" s="413">
        <v>1025.48</v>
      </c>
      <c r="I75" s="413"/>
      <c r="J75" s="414">
        <v>46115</v>
      </c>
      <c r="K75" s="409"/>
      <c r="L75" s="415"/>
      <c r="M75" s="416">
        <f>Tabela22465789[[#This Row],[VENDA]]+Tabela22465789[[#This Row],[MÃO DE OBRA]]-Tabela22465789[[#This Row],[VALOR PAGO]]</f>
        <v>1025.48</v>
      </c>
    </row>
    <row r="76" spans="2:14" x14ac:dyDescent="0.3">
      <c r="B76" s="424" t="s">
        <v>249</v>
      </c>
      <c r="C76" s="397">
        <v>22243</v>
      </c>
      <c r="D76" s="469">
        <v>3370</v>
      </c>
      <c r="E76" s="407">
        <v>46101</v>
      </c>
      <c r="F76" s="405" t="s">
        <v>254</v>
      </c>
      <c r="G76" s="406" t="s">
        <v>271</v>
      </c>
      <c r="H76" s="425">
        <v>1025.48</v>
      </c>
      <c r="I76" s="425"/>
      <c r="J76" s="428">
        <v>46122</v>
      </c>
      <c r="K76" s="406"/>
      <c r="L76" s="430"/>
      <c r="M76" s="426">
        <f>Tabela22465789[[#This Row],[VENDA]]+Tabela22465789[[#This Row],[MÃO DE OBRA]]-Tabela22465789[[#This Row],[VALOR PAGO]]</f>
        <v>1025.48</v>
      </c>
    </row>
    <row r="77" spans="2:14" x14ac:dyDescent="0.3">
      <c r="B77" s="424" t="s">
        <v>249</v>
      </c>
      <c r="C77" s="397">
        <v>22243</v>
      </c>
      <c r="D77" s="469">
        <v>3370</v>
      </c>
      <c r="E77" s="407">
        <v>46101</v>
      </c>
      <c r="F77" s="405" t="s">
        <v>254</v>
      </c>
      <c r="G77" s="406" t="s">
        <v>271</v>
      </c>
      <c r="H77" s="425">
        <v>1025.48</v>
      </c>
      <c r="I77" s="425"/>
      <c r="J77" s="428">
        <v>46129</v>
      </c>
      <c r="K77" s="406"/>
      <c r="L77" s="430"/>
      <c r="M77" s="426">
        <f>Tabela22465789[[#This Row],[VENDA]]+Tabela22465789[[#This Row],[MÃO DE OBRA]]-Tabela22465789[[#This Row],[VALOR PAGO]]</f>
        <v>1025.48</v>
      </c>
    </row>
    <row r="78" spans="2:14" x14ac:dyDescent="0.3">
      <c r="B78" s="424" t="s">
        <v>249</v>
      </c>
      <c r="C78" s="397">
        <v>22243</v>
      </c>
      <c r="D78" s="469">
        <v>3370</v>
      </c>
      <c r="E78" s="407">
        <v>46101</v>
      </c>
      <c r="F78" s="405" t="s">
        <v>254</v>
      </c>
      <c r="G78" s="406" t="s">
        <v>271</v>
      </c>
      <c r="H78" s="425">
        <v>1025.48</v>
      </c>
      <c r="I78" s="425"/>
      <c r="J78" s="428">
        <v>46136</v>
      </c>
      <c r="K78" s="406"/>
      <c r="L78" s="430"/>
      <c r="M78" s="426">
        <f>Tabela22465789[[#This Row],[VENDA]]+Tabela22465789[[#This Row],[MÃO DE OBRA]]-Tabela22465789[[#This Row],[VALOR PAGO]]</f>
        <v>1025.48</v>
      </c>
    </row>
    <row r="79" spans="2:14" ht="15" thickBot="1" x14ac:dyDescent="0.35">
      <c r="B79" s="424" t="s">
        <v>249</v>
      </c>
      <c r="C79" s="397">
        <v>22243</v>
      </c>
      <c r="D79" s="469">
        <v>3370</v>
      </c>
      <c r="E79" s="407">
        <v>46101</v>
      </c>
      <c r="F79" s="405" t="s">
        <v>254</v>
      </c>
      <c r="G79" s="406" t="s">
        <v>271</v>
      </c>
      <c r="H79" s="425">
        <v>1025.48</v>
      </c>
      <c r="I79" s="425"/>
      <c r="J79" s="428">
        <v>46143</v>
      </c>
      <c r="K79" s="406"/>
      <c r="L79" s="430"/>
      <c r="M79" s="426">
        <f>Tabela22465789[[#This Row],[VENDA]]+Tabela22465789[[#This Row],[MÃO DE OBRA]]-Tabela22465789[[#This Row],[VALOR PAGO]]</f>
        <v>1025.48</v>
      </c>
    </row>
    <row r="80" spans="2:14" ht="15" hidden="1" thickBot="1" x14ac:dyDescent="0.35">
      <c r="B80" s="408" t="s">
        <v>249</v>
      </c>
      <c r="C80" s="396">
        <v>22263</v>
      </c>
      <c r="D80" s="409">
        <v>4018</v>
      </c>
      <c r="E80" s="410">
        <v>46101</v>
      </c>
      <c r="F80" s="411" t="s">
        <v>317</v>
      </c>
      <c r="G80" s="409" t="s">
        <v>272</v>
      </c>
      <c r="H80" s="413">
        <v>2214.8200000000002</v>
      </c>
      <c r="I80" s="413"/>
      <c r="J80" s="414">
        <v>46131</v>
      </c>
      <c r="K80" s="427">
        <v>46132</v>
      </c>
      <c r="L80" s="415">
        <v>2214.8200000000002</v>
      </c>
      <c r="M80" s="416">
        <f>Tabela22465789[[#This Row],[VENDA]]+Tabela22465789[[#This Row],[MÃO DE OBRA]]-Tabela22465789[[#This Row],[VALOR PAGO]]</f>
        <v>0</v>
      </c>
      <c r="N80" s="496"/>
    </row>
    <row r="81" spans="2:14" ht="15" hidden="1" thickBot="1" x14ac:dyDescent="0.35">
      <c r="B81" s="431" t="s">
        <v>249</v>
      </c>
      <c r="C81" s="418">
        <v>22263</v>
      </c>
      <c r="D81" s="432">
        <v>4018</v>
      </c>
      <c r="E81" s="433">
        <v>46101</v>
      </c>
      <c r="F81" s="434" t="s">
        <v>317</v>
      </c>
      <c r="G81" s="432" t="s">
        <v>272</v>
      </c>
      <c r="H81" s="435">
        <v>2214.81</v>
      </c>
      <c r="I81" s="435"/>
      <c r="J81" s="436">
        <v>46146</v>
      </c>
      <c r="K81" s="437">
        <v>46132</v>
      </c>
      <c r="L81" s="438">
        <v>2247.59</v>
      </c>
      <c r="M81" s="497">
        <f>Tabela22465789[[#This Row],[VENDA]]+Tabela22465789[[#This Row],[MÃO DE OBRA]]-Tabela22465789[[#This Row],[VALOR PAGO]]</f>
        <v>-32.7800000000002</v>
      </c>
      <c r="N81" s="54"/>
    </row>
    <row r="82" spans="2:14" ht="15" hidden="1" thickBot="1" x14ac:dyDescent="0.35">
      <c r="B82" s="431" t="s">
        <v>248</v>
      </c>
      <c r="C82" s="418">
        <v>22292</v>
      </c>
      <c r="D82" s="432">
        <v>4042</v>
      </c>
      <c r="E82" s="433">
        <v>46104</v>
      </c>
      <c r="F82" s="434" t="s">
        <v>237</v>
      </c>
      <c r="G82" s="432" t="s">
        <v>270</v>
      </c>
      <c r="H82" s="435"/>
      <c r="I82" s="435">
        <v>694.98</v>
      </c>
      <c r="J82" s="436">
        <v>46125</v>
      </c>
      <c r="K82" s="437">
        <v>46125</v>
      </c>
      <c r="L82" s="438">
        <v>694.98</v>
      </c>
      <c r="M82" s="439">
        <f>Tabela22465789[[#This Row],[VENDA]]+Tabela22465789[[#This Row],[MÃO DE OBRA]]-Tabela22465789[[#This Row],[VALOR PAGO]]</f>
        <v>0</v>
      </c>
    </row>
    <row r="83" spans="2:14" ht="15" hidden="1" thickBot="1" x14ac:dyDescent="0.35">
      <c r="B83" s="408" t="s">
        <v>248</v>
      </c>
      <c r="C83" s="396">
        <v>22293</v>
      </c>
      <c r="D83" s="409">
        <v>4043</v>
      </c>
      <c r="E83" s="410">
        <v>46104</v>
      </c>
      <c r="F83" s="411" t="s">
        <v>236</v>
      </c>
      <c r="G83" s="409" t="s">
        <v>270</v>
      </c>
      <c r="H83" s="413"/>
      <c r="I83" s="413">
        <v>138</v>
      </c>
      <c r="J83" s="414">
        <v>46132</v>
      </c>
      <c r="K83" s="427">
        <v>46136</v>
      </c>
      <c r="L83" s="415">
        <v>138</v>
      </c>
      <c r="M83" s="416">
        <f>Tabela22465789[[#This Row],[VENDA]]+Tabela22465789[[#This Row],[MÃO DE OBRA]]-Tabela22465789[[#This Row],[VALOR PAGO]]</f>
        <v>0</v>
      </c>
    </row>
    <row r="84" spans="2:14" ht="15" hidden="1" thickBot="1" x14ac:dyDescent="0.35">
      <c r="B84" s="408" t="s">
        <v>248</v>
      </c>
      <c r="C84" s="396">
        <v>22311</v>
      </c>
      <c r="D84" s="409">
        <v>4095</v>
      </c>
      <c r="E84" s="410">
        <v>46105</v>
      </c>
      <c r="F84" s="411" t="s">
        <v>236</v>
      </c>
      <c r="G84" s="409" t="s">
        <v>270</v>
      </c>
      <c r="H84" s="413"/>
      <c r="I84" s="413">
        <v>1128.49</v>
      </c>
      <c r="J84" s="414">
        <v>46133</v>
      </c>
      <c r="K84" s="427">
        <v>46108</v>
      </c>
      <c r="L84" s="498">
        <v>1128.5</v>
      </c>
      <c r="M84" s="416">
        <f>Tabela22465789[[#This Row],[VENDA]]+Tabela22465789[[#This Row],[MÃO DE OBRA]]-Tabela22465789[[#This Row],[VALOR PAGO]]</f>
        <v>-9.9999999999909051E-3</v>
      </c>
    </row>
    <row r="85" spans="2:14" ht="15" hidden="1" thickBot="1" x14ac:dyDescent="0.35">
      <c r="B85" s="424" t="s">
        <v>248</v>
      </c>
      <c r="C85" s="397">
        <v>22311</v>
      </c>
      <c r="D85" s="406">
        <v>4095</v>
      </c>
      <c r="E85" s="407">
        <v>46105</v>
      </c>
      <c r="F85" s="405" t="s">
        <v>236</v>
      </c>
      <c r="G85" s="406" t="s">
        <v>270</v>
      </c>
      <c r="H85" s="425"/>
      <c r="I85" s="425">
        <v>1128.49</v>
      </c>
      <c r="J85" s="428">
        <v>46140</v>
      </c>
      <c r="K85" s="429">
        <v>46139</v>
      </c>
      <c r="L85" s="430">
        <v>1128.5</v>
      </c>
      <c r="M85" s="426">
        <f>Tabela22465789[[#This Row],[VENDA]]+Tabela22465789[[#This Row],[MÃO DE OBRA]]-Tabela22465789[[#This Row],[VALOR PAGO]]</f>
        <v>-9.9999999999909051E-3</v>
      </c>
    </row>
    <row r="86" spans="2:14" ht="15" hidden="1" thickBot="1" x14ac:dyDescent="0.35">
      <c r="B86" s="431" t="s">
        <v>248</v>
      </c>
      <c r="C86" s="418">
        <v>22311</v>
      </c>
      <c r="D86" s="432">
        <v>4095</v>
      </c>
      <c r="E86" s="433">
        <v>46105</v>
      </c>
      <c r="F86" s="434" t="s">
        <v>236</v>
      </c>
      <c r="G86" s="432" t="s">
        <v>270</v>
      </c>
      <c r="H86" s="435"/>
      <c r="I86" s="435">
        <v>1128.48</v>
      </c>
      <c r="J86" s="436">
        <v>46147</v>
      </c>
      <c r="K86" s="437">
        <v>46139</v>
      </c>
      <c r="L86" s="438">
        <v>1128.51</v>
      </c>
      <c r="M86" s="439">
        <f>Tabela22465789[[#This Row],[VENDA]]+Tabela22465789[[#This Row],[MÃO DE OBRA]]-Tabela22465789[[#This Row],[VALOR PAGO]]</f>
        <v>-2.9999999999972715E-2</v>
      </c>
    </row>
    <row r="87" spans="2:14" ht="15" hidden="1" thickBot="1" x14ac:dyDescent="0.35">
      <c r="B87" s="431" t="s">
        <v>249</v>
      </c>
      <c r="C87" s="418">
        <v>22345</v>
      </c>
      <c r="D87" s="432">
        <v>4199</v>
      </c>
      <c r="E87" s="433">
        <v>46107</v>
      </c>
      <c r="F87" s="434" t="s">
        <v>310</v>
      </c>
      <c r="G87" s="432" t="s">
        <v>272</v>
      </c>
      <c r="H87" s="435">
        <v>828</v>
      </c>
      <c r="I87" s="435"/>
      <c r="J87" s="436">
        <v>46152</v>
      </c>
      <c r="K87" s="437">
        <v>46107</v>
      </c>
      <c r="L87" s="438">
        <v>828</v>
      </c>
      <c r="M87" s="439">
        <f>Tabela22465789[[#This Row],[VENDA]]+Tabela22465789[[#This Row],[MÃO DE OBRA]]-Tabela22465789[[#This Row],[VALOR PAGO]]</f>
        <v>0</v>
      </c>
    </row>
    <row r="88" spans="2:14" x14ac:dyDescent="0.3">
      <c r="B88" s="408" t="s">
        <v>328</v>
      </c>
      <c r="C88" s="396">
        <v>22381</v>
      </c>
      <c r="D88" s="409">
        <v>4184</v>
      </c>
      <c r="E88" s="410">
        <v>46108</v>
      </c>
      <c r="F88" s="411" t="s">
        <v>254</v>
      </c>
      <c r="G88" s="409" t="s">
        <v>271</v>
      </c>
      <c r="H88" s="466">
        <v>573.84</v>
      </c>
      <c r="I88" s="466"/>
      <c r="J88" s="414">
        <v>46122</v>
      </c>
      <c r="K88" s="409"/>
      <c r="L88" s="415"/>
      <c r="M88" s="416">
        <f>Tabela22465789[[#This Row],[VENDA]]+Tabela22465789[[#This Row],[MÃO DE OBRA]]-Tabela22465789[[#This Row],[VALOR PAGO]]</f>
        <v>573.84</v>
      </c>
    </row>
    <row r="89" spans="2:14" x14ac:dyDescent="0.3">
      <c r="B89" s="424" t="s">
        <v>249</v>
      </c>
      <c r="C89" s="397">
        <v>22381</v>
      </c>
      <c r="D89" s="406">
        <v>4184</v>
      </c>
      <c r="E89" s="407">
        <v>46108</v>
      </c>
      <c r="F89" s="405" t="s">
        <v>254</v>
      </c>
      <c r="G89" s="406" t="s">
        <v>271</v>
      </c>
      <c r="H89" s="455">
        <v>573.84</v>
      </c>
      <c r="I89" s="455"/>
      <c r="J89" s="428">
        <v>46129</v>
      </c>
      <c r="K89" s="406"/>
      <c r="L89" s="430"/>
      <c r="M89" s="426">
        <f>Tabela22465789[[#This Row],[VENDA]]+Tabela22465789[[#This Row],[MÃO DE OBRA]]-Tabela22465789[[#This Row],[VALOR PAGO]]</f>
        <v>573.84</v>
      </c>
    </row>
    <row r="90" spans="2:14" x14ac:dyDescent="0.3">
      <c r="B90" s="424" t="s">
        <v>249</v>
      </c>
      <c r="C90" s="397">
        <v>22381</v>
      </c>
      <c r="D90" s="406">
        <v>4184</v>
      </c>
      <c r="E90" s="407">
        <v>46108</v>
      </c>
      <c r="F90" s="405" t="s">
        <v>254</v>
      </c>
      <c r="G90" s="406" t="s">
        <v>271</v>
      </c>
      <c r="H90" s="455">
        <v>573.84</v>
      </c>
      <c r="I90" s="455"/>
      <c r="J90" s="428">
        <v>46136</v>
      </c>
      <c r="K90" s="406"/>
      <c r="L90" s="430"/>
      <c r="M90" s="426">
        <f>Tabela22465789[[#This Row],[VENDA]]+Tabela22465789[[#This Row],[MÃO DE OBRA]]-Tabela22465789[[#This Row],[VALOR PAGO]]</f>
        <v>573.84</v>
      </c>
    </row>
    <row r="91" spans="2:14" x14ac:dyDescent="0.3">
      <c r="B91" s="424" t="s">
        <v>249</v>
      </c>
      <c r="C91" s="397">
        <v>22381</v>
      </c>
      <c r="D91" s="406">
        <v>4184</v>
      </c>
      <c r="E91" s="407">
        <v>46108</v>
      </c>
      <c r="F91" s="405" t="s">
        <v>254</v>
      </c>
      <c r="G91" s="406" t="s">
        <v>271</v>
      </c>
      <c r="H91" s="455">
        <v>573.84</v>
      </c>
      <c r="I91" s="455"/>
      <c r="J91" s="428">
        <v>46143</v>
      </c>
      <c r="K91" s="406"/>
      <c r="L91" s="430"/>
      <c r="M91" s="426">
        <f>Tabela22465789[[#This Row],[VENDA]]+Tabela22465789[[#This Row],[MÃO DE OBRA]]-Tabela22465789[[#This Row],[VALOR PAGO]]</f>
        <v>573.84</v>
      </c>
    </row>
    <row r="92" spans="2:14" ht="15" thickBot="1" x14ac:dyDescent="0.35">
      <c r="B92" s="431" t="s">
        <v>249</v>
      </c>
      <c r="C92" s="418">
        <v>22381</v>
      </c>
      <c r="D92" s="432">
        <v>4184</v>
      </c>
      <c r="E92" s="433">
        <v>46108</v>
      </c>
      <c r="F92" s="434" t="s">
        <v>254</v>
      </c>
      <c r="G92" s="432" t="s">
        <v>271</v>
      </c>
      <c r="H92" s="467">
        <v>573.84</v>
      </c>
      <c r="I92" s="467"/>
      <c r="J92" s="436">
        <v>46150</v>
      </c>
      <c r="K92" s="432"/>
      <c r="L92" s="438"/>
      <c r="M92" s="439">
        <f>Tabela22465789[[#This Row],[VENDA]]+Tabela22465789[[#This Row],[MÃO DE OBRA]]-Tabela22465789[[#This Row],[VALOR PAGO]]</f>
        <v>573.84</v>
      </c>
    </row>
    <row r="93" spans="2:14" ht="15" hidden="1" thickBot="1" x14ac:dyDescent="0.35">
      <c r="B93" s="363" t="s">
        <v>248</v>
      </c>
      <c r="C93" s="364">
        <v>22385</v>
      </c>
      <c r="D93" s="365">
        <v>4200</v>
      </c>
      <c r="E93" s="366">
        <v>46108</v>
      </c>
      <c r="F93" s="384" t="s">
        <v>237</v>
      </c>
      <c r="G93" s="365" t="s">
        <v>270</v>
      </c>
      <c r="H93" s="463"/>
      <c r="I93" s="463">
        <v>821.21</v>
      </c>
      <c r="J93" s="387">
        <v>46129</v>
      </c>
      <c r="K93" s="444">
        <v>46129</v>
      </c>
      <c r="L93" s="367">
        <v>821.21</v>
      </c>
      <c r="M93" s="388">
        <f>Tabela22465789[[#This Row],[VENDA]]+Tabela22465789[[#This Row],[MÃO DE OBRA]]-Tabela22465789[[#This Row],[VALOR PAGO]]</f>
        <v>0</v>
      </c>
    </row>
    <row r="94" spans="2:14" hidden="1" x14ac:dyDescent="0.3">
      <c r="B94" s="408" t="s">
        <v>249</v>
      </c>
      <c r="C94" s="396">
        <v>22371</v>
      </c>
      <c r="D94" s="409">
        <v>4207</v>
      </c>
      <c r="E94" s="410">
        <v>46108</v>
      </c>
      <c r="F94" s="411" t="s">
        <v>264</v>
      </c>
      <c r="G94" s="409" t="s">
        <v>271</v>
      </c>
      <c r="H94" s="466">
        <v>1892.4</v>
      </c>
      <c r="I94" s="466"/>
      <c r="J94" s="414">
        <v>46122</v>
      </c>
      <c r="K94" s="427">
        <v>46125</v>
      </c>
      <c r="L94" s="415">
        <v>1892.4</v>
      </c>
      <c r="M94" s="416">
        <f>Tabela22465789[[#This Row],[VENDA]]+Tabela22465789[[#This Row],[MÃO DE OBRA]]-Tabela22465789[[#This Row],[VALOR PAGO]]</f>
        <v>0</v>
      </c>
    </row>
    <row r="95" spans="2:14" hidden="1" x14ac:dyDescent="0.3">
      <c r="B95" s="424" t="s">
        <v>249</v>
      </c>
      <c r="C95" s="397">
        <v>22371</v>
      </c>
      <c r="D95" s="406">
        <v>4207</v>
      </c>
      <c r="E95" s="407">
        <v>46108</v>
      </c>
      <c r="F95" s="405" t="s">
        <v>264</v>
      </c>
      <c r="G95" s="406" t="s">
        <v>271</v>
      </c>
      <c r="H95" s="455">
        <v>1892.4</v>
      </c>
      <c r="I95" s="455"/>
      <c r="J95" s="428">
        <v>46129</v>
      </c>
      <c r="K95" s="429">
        <v>46129</v>
      </c>
      <c r="L95" s="430">
        <v>1892.4</v>
      </c>
      <c r="M95" s="426">
        <f>Tabela22465789[[#This Row],[VENDA]]+Tabela22465789[[#This Row],[MÃO DE OBRA]]-Tabela22465789[[#This Row],[VALOR PAGO]]</f>
        <v>0</v>
      </c>
    </row>
    <row r="96" spans="2:14" ht="15" hidden="1" thickBot="1" x14ac:dyDescent="0.35">
      <c r="B96" s="431" t="s">
        <v>249</v>
      </c>
      <c r="C96" s="418">
        <v>22371</v>
      </c>
      <c r="D96" s="432">
        <v>4207</v>
      </c>
      <c r="E96" s="433">
        <v>46108</v>
      </c>
      <c r="F96" s="434" t="s">
        <v>264</v>
      </c>
      <c r="G96" s="432" t="s">
        <v>271</v>
      </c>
      <c r="H96" s="467">
        <v>1892.4</v>
      </c>
      <c r="I96" s="467"/>
      <c r="J96" s="436">
        <v>46136</v>
      </c>
      <c r="K96" s="429">
        <v>46136</v>
      </c>
      <c r="L96" s="438">
        <v>1892.4</v>
      </c>
      <c r="M96" s="439">
        <f>Tabela22465789[[#This Row],[VENDA]]+Tabela22465789[[#This Row],[MÃO DE OBRA]]-Tabela22465789[[#This Row],[VALOR PAGO]]</f>
        <v>0</v>
      </c>
    </row>
    <row r="97" spans="1:13" hidden="1" x14ac:dyDescent="0.3">
      <c r="B97" s="408" t="s">
        <v>249</v>
      </c>
      <c r="C97" s="396">
        <v>22379</v>
      </c>
      <c r="D97" s="409">
        <v>4208</v>
      </c>
      <c r="E97" s="410">
        <v>46108</v>
      </c>
      <c r="F97" s="411" t="s">
        <v>264</v>
      </c>
      <c r="G97" s="409" t="s">
        <v>271</v>
      </c>
      <c r="H97" s="466">
        <f>400*7.07/3</f>
        <v>942.66666666666663</v>
      </c>
      <c r="I97" s="466"/>
      <c r="J97" s="414">
        <v>46125</v>
      </c>
      <c r="K97" s="427">
        <v>46125</v>
      </c>
      <c r="L97" s="415">
        <v>942.66</v>
      </c>
      <c r="M97" s="416">
        <f>Tabela22465789[[#This Row],[VENDA]]+Tabela22465789[[#This Row],[MÃO DE OBRA]]-Tabela22465789[[#This Row],[VALOR PAGO]]</f>
        <v>6.6666666666606034E-3</v>
      </c>
    </row>
    <row r="98" spans="1:13" hidden="1" x14ac:dyDescent="0.3">
      <c r="B98" s="424" t="s">
        <v>249</v>
      </c>
      <c r="C98" s="397">
        <v>22379</v>
      </c>
      <c r="D98" s="406">
        <v>4208</v>
      </c>
      <c r="E98" s="407">
        <v>46108</v>
      </c>
      <c r="F98" s="405" t="s">
        <v>264</v>
      </c>
      <c r="G98" s="406" t="s">
        <v>271</v>
      </c>
      <c r="H98" s="455">
        <f>400*7.07/3</f>
        <v>942.66666666666663</v>
      </c>
      <c r="I98" s="455"/>
      <c r="J98" s="428">
        <v>46132</v>
      </c>
      <c r="K98" s="429">
        <v>46132</v>
      </c>
      <c r="L98" s="430">
        <v>942.66</v>
      </c>
      <c r="M98" s="426">
        <f>Tabela22465789[[#This Row],[VENDA]]+Tabela22465789[[#This Row],[MÃO DE OBRA]]-Tabela22465789[[#This Row],[VALOR PAGO]]</f>
        <v>6.6666666666606034E-3</v>
      </c>
    </row>
    <row r="99" spans="1:13" ht="15" hidden="1" thickBot="1" x14ac:dyDescent="0.35">
      <c r="B99" s="431" t="s">
        <v>249</v>
      </c>
      <c r="C99" s="418">
        <v>22379</v>
      </c>
      <c r="D99" s="432">
        <v>4208</v>
      </c>
      <c r="E99" s="433">
        <v>46108</v>
      </c>
      <c r="F99" s="434" t="s">
        <v>264</v>
      </c>
      <c r="G99" s="432" t="s">
        <v>271</v>
      </c>
      <c r="H99" s="467">
        <f>400*7.07/3</f>
        <v>942.66666666666663</v>
      </c>
      <c r="I99" s="467"/>
      <c r="J99" s="436">
        <v>46139</v>
      </c>
      <c r="K99" s="429">
        <v>46139</v>
      </c>
      <c r="L99" s="438">
        <v>942.66</v>
      </c>
      <c r="M99" s="439">
        <f>Tabela22465789[[#This Row],[VENDA]]+Tabela22465789[[#This Row],[MÃO DE OBRA]]-Tabela22465789[[#This Row],[VALOR PAGO]]</f>
        <v>6.6666666666606034E-3</v>
      </c>
    </row>
    <row r="100" spans="1:13" hidden="1" x14ac:dyDescent="0.3">
      <c r="B100" s="408" t="s">
        <v>249</v>
      </c>
      <c r="C100" s="396">
        <v>22368</v>
      </c>
      <c r="D100" s="409">
        <v>4205</v>
      </c>
      <c r="E100" s="410">
        <v>46108</v>
      </c>
      <c r="F100" s="411" t="s">
        <v>264</v>
      </c>
      <c r="G100" s="409" t="s">
        <v>271</v>
      </c>
      <c r="H100" s="466">
        <f>1000*14.97/3</f>
        <v>4990</v>
      </c>
      <c r="I100" s="466"/>
      <c r="J100" s="414">
        <v>46122</v>
      </c>
      <c r="K100" s="427">
        <v>46122</v>
      </c>
      <c r="L100" s="415">
        <v>4990</v>
      </c>
      <c r="M100" s="416">
        <f>Tabela22465789[[#This Row],[VENDA]]+Tabela22465789[[#This Row],[MÃO DE OBRA]]-Tabela22465789[[#This Row],[VALOR PAGO]]</f>
        <v>0</v>
      </c>
    </row>
    <row r="101" spans="1:13" hidden="1" x14ac:dyDescent="0.3">
      <c r="B101" s="424" t="s">
        <v>249</v>
      </c>
      <c r="C101" s="397">
        <v>22368</v>
      </c>
      <c r="D101" s="406">
        <v>4205</v>
      </c>
      <c r="E101" s="407">
        <v>46108</v>
      </c>
      <c r="F101" s="405" t="s">
        <v>264</v>
      </c>
      <c r="G101" s="406" t="s">
        <v>271</v>
      </c>
      <c r="H101" s="455">
        <f t="shared" ref="H101:H102" si="0">1000*14.97/3</f>
        <v>4990</v>
      </c>
      <c r="I101" s="455"/>
      <c r="J101" s="428">
        <v>46129</v>
      </c>
      <c r="K101" s="429">
        <v>46129</v>
      </c>
      <c r="L101" s="430">
        <v>4990</v>
      </c>
      <c r="M101" s="426">
        <f>Tabela22465789[[#This Row],[VENDA]]+Tabela22465789[[#This Row],[MÃO DE OBRA]]-Tabela22465789[[#This Row],[VALOR PAGO]]</f>
        <v>0</v>
      </c>
    </row>
    <row r="102" spans="1:13" ht="15" hidden="1" thickBot="1" x14ac:dyDescent="0.35">
      <c r="B102" s="431" t="s">
        <v>249</v>
      </c>
      <c r="C102" s="418">
        <v>22368</v>
      </c>
      <c r="D102" s="432">
        <v>4205</v>
      </c>
      <c r="E102" s="433">
        <v>46108</v>
      </c>
      <c r="F102" s="434" t="s">
        <v>264</v>
      </c>
      <c r="G102" s="432" t="s">
        <v>271</v>
      </c>
      <c r="H102" s="467">
        <f t="shared" si="0"/>
        <v>4990</v>
      </c>
      <c r="I102" s="467"/>
      <c r="J102" s="436">
        <v>46136</v>
      </c>
      <c r="K102" s="429">
        <v>46136</v>
      </c>
      <c r="L102" s="438">
        <v>4990</v>
      </c>
      <c r="M102" s="439">
        <f>Tabela22465789[[#This Row],[VENDA]]+Tabela22465789[[#This Row],[MÃO DE OBRA]]-Tabela22465789[[#This Row],[VALOR PAGO]]</f>
        <v>0</v>
      </c>
    </row>
    <row r="103" spans="1:13" hidden="1" x14ac:dyDescent="0.3">
      <c r="B103" s="408" t="s">
        <v>248</v>
      </c>
      <c r="C103" s="396">
        <v>22432</v>
      </c>
      <c r="D103" s="409">
        <v>4193</v>
      </c>
      <c r="E103" s="410">
        <v>46112</v>
      </c>
      <c r="F103" s="411" t="s">
        <v>236</v>
      </c>
      <c r="G103" s="409" t="s">
        <v>270</v>
      </c>
      <c r="H103" s="413">
        <v>1583.89</v>
      </c>
      <c r="I103" s="413"/>
      <c r="J103" s="414">
        <v>46140</v>
      </c>
      <c r="K103" s="427">
        <v>46139</v>
      </c>
      <c r="L103" s="415">
        <v>1583.9</v>
      </c>
      <c r="M103" s="416">
        <f>Tabela22465789[[#This Row],[VENDA]]+Tabela22465789[[#This Row],[MÃO DE OBRA]]-Tabela22465789[[#This Row],[VALOR PAGO]]</f>
        <v>-9.9999999999909051E-3</v>
      </c>
    </row>
    <row r="104" spans="1:13" hidden="1" x14ac:dyDescent="0.3">
      <c r="B104" s="424" t="s">
        <v>248</v>
      </c>
      <c r="C104" s="397">
        <v>22432</v>
      </c>
      <c r="D104" s="406">
        <v>4193</v>
      </c>
      <c r="E104" s="407">
        <v>46112</v>
      </c>
      <c r="F104" s="405" t="s">
        <v>236</v>
      </c>
      <c r="G104" s="406" t="s">
        <v>270</v>
      </c>
      <c r="H104" s="425">
        <v>1583.89</v>
      </c>
      <c r="I104" s="425"/>
      <c r="J104" s="428">
        <v>46147</v>
      </c>
      <c r="K104" s="427">
        <v>46139</v>
      </c>
      <c r="L104" s="430">
        <v>1583.9</v>
      </c>
      <c r="M104" s="426">
        <f>Tabela22465789[[#This Row],[VENDA]]+Tabela22465789[[#This Row],[MÃO DE OBRA]]-Tabela22465789[[#This Row],[VALOR PAGO]]</f>
        <v>-9.9999999999909051E-3</v>
      </c>
    </row>
    <row r="105" spans="1:13" ht="15" hidden="1" thickBot="1" x14ac:dyDescent="0.35">
      <c r="B105" s="431" t="s">
        <v>248</v>
      </c>
      <c r="C105" s="418">
        <v>22432</v>
      </c>
      <c r="D105" s="432">
        <v>4193</v>
      </c>
      <c r="E105" s="433">
        <v>46112</v>
      </c>
      <c r="F105" s="434" t="s">
        <v>236</v>
      </c>
      <c r="G105" s="432" t="s">
        <v>270</v>
      </c>
      <c r="H105" s="435">
        <v>1583.89</v>
      </c>
      <c r="I105" s="435"/>
      <c r="J105" s="436">
        <v>46154</v>
      </c>
      <c r="K105" s="437">
        <v>46139</v>
      </c>
      <c r="L105" s="438">
        <v>1583.9</v>
      </c>
      <c r="M105" s="439">
        <f>Tabela22465789[[#This Row],[VENDA]]+Tabela22465789[[#This Row],[MÃO DE OBRA]]-Tabela22465789[[#This Row],[VALOR PAGO]]</f>
        <v>-9.9999999999909051E-3</v>
      </c>
    </row>
    <row r="106" spans="1:13" hidden="1" x14ac:dyDescent="0.3">
      <c r="A106">
        <v>27</v>
      </c>
      <c r="B106" s="424"/>
      <c r="C106" s="397"/>
      <c r="D106" s="406"/>
      <c r="E106" s="407"/>
      <c r="F106" s="405"/>
      <c r="G106" s="406"/>
      <c r="H106" s="425"/>
      <c r="I106" s="425"/>
      <c r="J106" s="428"/>
      <c r="K106" s="406"/>
      <c r="L106" s="430"/>
      <c r="M106" s="426">
        <f>Tabela22465789[[#This Row],[VENDA]]+Tabela22465789[[#This Row],[MÃO DE OBRA]]-Tabela22465789[[#This Row],[VALOR PAGO]]</f>
        <v>0</v>
      </c>
    </row>
    <row r="107" spans="1:13" hidden="1" x14ac:dyDescent="0.3">
      <c r="B107" s="152"/>
      <c r="C107" s="8"/>
      <c r="D107" s="8"/>
      <c r="E107" s="8"/>
      <c r="F107" s="8"/>
      <c r="G107" s="8"/>
      <c r="H107" s="248"/>
      <c r="I107" s="248"/>
      <c r="J107" s="80"/>
      <c r="K107" s="8"/>
      <c r="L107" s="238"/>
      <c r="M107" s="302">
        <f>Tabela22465789[[#This Row],[VENDA]]+Tabela22465789[[#This Row],[MÃO DE OBRA]]-Tabela22465789[[#This Row],[VALOR PAGO]]</f>
        <v>0</v>
      </c>
    </row>
    <row r="108" spans="1:13" ht="13.8" customHeight="1" thickBot="1" x14ac:dyDescent="0.35">
      <c r="B108" s="417"/>
      <c r="C108" s="126"/>
      <c r="D108" s="126"/>
      <c r="E108" s="126"/>
      <c r="F108" s="126"/>
      <c r="G108" s="126"/>
      <c r="H108" s="391"/>
      <c r="I108" s="391"/>
      <c r="J108" s="125"/>
      <c r="K108" s="126"/>
      <c r="L108" s="247"/>
      <c r="M108" s="327"/>
    </row>
    <row r="109" spans="1:13" ht="18.600000000000001" thickBot="1" x14ac:dyDescent="0.4">
      <c r="B109" s="679" t="s">
        <v>257</v>
      </c>
      <c r="C109" s="680"/>
      <c r="D109" s="400">
        <f>Tabela22465789[[#Totals],[VENDA]]</f>
        <v>0</v>
      </c>
      <c r="E109" s="264"/>
      <c r="F109" s="401"/>
      <c r="G109" s="402"/>
      <c r="H109" s="403">
        <f>SUM(H21:H108)</f>
        <v>343846.58000000025</v>
      </c>
      <c r="I109" s="448">
        <f>SUM(Tabela22465789[MÃO DE OBRA])</f>
        <v>16486.259999999998</v>
      </c>
      <c r="J109" s="264"/>
      <c r="K109" s="264"/>
      <c r="L109" s="264"/>
      <c r="M109" s="404"/>
    </row>
    <row r="110" spans="1:13" ht="18.600000000000001" thickBot="1" x14ac:dyDescent="0.4">
      <c r="B110" s="662" t="s">
        <v>258</v>
      </c>
      <c r="C110" s="663"/>
      <c r="D110" s="266">
        <f>Tabela22465789[[#Totals],[MÃO DE OBRA]]</f>
        <v>0</v>
      </c>
      <c r="E110" s="267"/>
      <c r="F110" s="323"/>
      <c r="G110" s="324"/>
      <c r="H110" s="269"/>
      <c r="I110" s="270"/>
      <c r="J110" s="267"/>
      <c r="K110" s="267"/>
      <c r="L110" s="267"/>
      <c r="M110" s="271"/>
    </row>
    <row r="111" spans="1:13" ht="19.8" customHeight="1" thickBot="1" x14ac:dyDescent="0.45">
      <c r="A111" s="106"/>
      <c r="B111" s="272" t="s">
        <v>259</v>
      </c>
      <c r="C111" s="664">
        <f>SUM(D109+D110)</f>
        <v>0</v>
      </c>
      <c r="D111" s="665"/>
      <c r="E111" s="273"/>
      <c r="F111" s="642" t="s">
        <v>260</v>
      </c>
      <c r="G111" s="642"/>
      <c r="H111" s="642">
        <f>SUM(Tabela22465789[VALOR PAGO])</f>
        <v>348618.3600000001</v>
      </c>
      <c r="I111" s="642"/>
      <c r="J111" s="666" t="s">
        <v>261</v>
      </c>
      <c r="K111" s="666"/>
      <c r="L111" s="642">
        <f>SUM(Tabela22465789[VALOR EM ABERTO])</f>
        <v>11714.479999999996</v>
      </c>
      <c r="M111" s="643"/>
    </row>
  </sheetData>
  <mergeCells count="12">
    <mergeCell ref="L111:M111"/>
    <mergeCell ref="B2:M3"/>
    <mergeCell ref="B4:B5"/>
    <mergeCell ref="C4:G4"/>
    <mergeCell ref="H4:M4"/>
    <mergeCell ref="B19:C19"/>
    <mergeCell ref="B109:C109"/>
    <mergeCell ref="B110:C110"/>
    <mergeCell ref="C111:D111"/>
    <mergeCell ref="F111:G111"/>
    <mergeCell ref="H111:I111"/>
    <mergeCell ref="J111:K111"/>
  </mergeCells>
  <pageMargins left="0.11811023622047245" right="0.51181102362204722" top="0.19685039370078741" bottom="0.19685039370078741" header="0" footer="0"/>
  <pageSetup paperSize="9" scale="70"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82D6-0190-4487-A4A3-33B7CEA8CADD}">
  <dimension ref="A1:T80"/>
  <sheetViews>
    <sheetView showGridLines="0" topLeftCell="A63" zoomScaleNormal="100" workbookViewId="0">
      <selection activeCell="J74" sqref="J74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7.33203125" customWidth="1"/>
    <col min="7" max="10" width="14.77734375" customWidth="1"/>
    <col min="11" max="11" width="15.77734375" customWidth="1"/>
    <col min="12" max="13" width="14.77734375" customWidth="1"/>
    <col min="14" max="14" width="96.77734375" bestFit="1" customWidth="1"/>
  </cols>
  <sheetData>
    <row r="1" spans="1:20" ht="16.8" customHeight="1" thickBot="1" x14ac:dyDescent="0.35"/>
    <row r="2" spans="1:20" ht="14.4" customHeight="1" x14ac:dyDescent="0.5">
      <c r="A2" s="54"/>
      <c r="B2" s="667" t="s">
        <v>239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9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70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73" t="s">
        <v>248</v>
      </c>
      <c r="D4" s="674"/>
      <c r="E4" s="674"/>
      <c r="F4" s="674"/>
      <c r="G4" s="675"/>
      <c r="H4" s="676" t="s">
        <v>249</v>
      </c>
      <c r="I4" s="677"/>
      <c r="J4" s="677"/>
      <c r="K4" s="677"/>
      <c r="L4" s="677"/>
      <c r="M4" s="678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369">
        <v>126073.37</v>
      </c>
      <c r="D6" s="370">
        <v>270562.53000000003</v>
      </c>
      <c r="E6" s="371">
        <v>49887.66</v>
      </c>
      <c r="F6" s="370">
        <v>0</v>
      </c>
      <c r="G6" s="372">
        <v>0</v>
      </c>
      <c r="H6" s="370">
        <v>0</v>
      </c>
      <c r="I6" s="372">
        <v>0</v>
      </c>
      <c r="J6" s="370">
        <v>0</v>
      </c>
      <c r="K6" s="372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373">
        <v>166235.96</v>
      </c>
      <c r="D7" s="374">
        <v>324984.96999999997</v>
      </c>
      <c r="E7" s="97">
        <v>15513.83</v>
      </c>
      <c r="F7" s="374">
        <v>0</v>
      </c>
      <c r="G7" s="375">
        <v>0</v>
      </c>
      <c r="H7" s="374">
        <v>0</v>
      </c>
      <c r="I7" s="375">
        <v>0</v>
      </c>
      <c r="J7" s="374">
        <v>0</v>
      </c>
      <c r="K7" s="375">
        <v>0</v>
      </c>
      <c r="L7" s="374">
        <v>0</v>
      </c>
      <c r="M7" s="375">
        <v>0</v>
      </c>
    </row>
    <row r="8" spans="1:20" ht="12" customHeight="1" x14ac:dyDescent="0.3">
      <c r="A8" s="54"/>
      <c r="B8" s="201" t="s">
        <v>216</v>
      </c>
      <c r="C8" s="369">
        <v>119814.85</v>
      </c>
      <c r="D8" s="370">
        <v>256001.57</v>
      </c>
      <c r="E8" s="376">
        <v>32410.22</v>
      </c>
      <c r="F8" s="370">
        <v>0</v>
      </c>
      <c r="G8" s="372">
        <v>0</v>
      </c>
      <c r="H8" s="370">
        <v>0</v>
      </c>
      <c r="I8" s="372">
        <v>0</v>
      </c>
      <c r="J8" s="370">
        <v>0</v>
      </c>
      <c r="K8" s="372">
        <v>0</v>
      </c>
      <c r="L8" s="370">
        <v>0</v>
      </c>
      <c r="M8" s="372">
        <v>0</v>
      </c>
    </row>
    <row r="9" spans="1:20" ht="12" customHeight="1" x14ac:dyDescent="0.3">
      <c r="A9" s="54"/>
      <c r="B9" s="208" t="s">
        <v>217</v>
      </c>
      <c r="C9" s="373">
        <v>112668.22</v>
      </c>
      <c r="D9" s="374">
        <v>136419.94</v>
      </c>
      <c r="E9" s="97">
        <v>23117.53</v>
      </c>
      <c r="F9" s="374">
        <v>0</v>
      </c>
      <c r="G9" s="375">
        <v>0</v>
      </c>
      <c r="H9" s="374">
        <v>0</v>
      </c>
      <c r="I9" s="375">
        <v>0</v>
      </c>
      <c r="J9" s="374">
        <v>0</v>
      </c>
      <c r="K9" s="375">
        <v>0</v>
      </c>
      <c r="L9" s="374">
        <v>0</v>
      </c>
      <c r="M9" s="375">
        <v>0</v>
      </c>
    </row>
    <row r="10" spans="1:20" ht="12" customHeight="1" x14ac:dyDescent="0.3">
      <c r="A10" s="54"/>
      <c r="B10" s="201" t="s">
        <v>218</v>
      </c>
      <c r="C10" s="369">
        <v>39597.94</v>
      </c>
      <c r="D10" s="370">
        <v>57014.400000000001</v>
      </c>
      <c r="E10" s="376">
        <v>11710.4</v>
      </c>
      <c r="F10" s="370">
        <v>0</v>
      </c>
      <c r="G10" s="372">
        <v>0</v>
      </c>
      <c r="H10" s="370">
        <v>0</v>
      </c>
      <c r="I10" s="372">
        <v>0</v>
      </c>
      <c r="J10" s="370">
        <v>0</v>
      </c>
      <c r="K10" s="372">
        <v>0</v>
      </c>
      <c r="L10" s="370">
        <v>0</v>
      </c>
      <c r="M10" s="372">
        <v>0</v>
      </c>
    </row>
    <row r="11" spans="1:20" ht="12" customHeight="1" x14ac:dyDescent="0.3">
      <c r="A11" s="54"/>
      <c r="B11" s="208" t="s">
        <v>219</v>
      </c>
      <c r="C11" s="373">
        <v>77419.240000000005</v>
      </c>
      <c r="D11" s="374">
        <v>259261.92</v>
      </c>
      <c r="E11" s="97">
        <v>32986.86</v>
      </c>
      <c r="F11" s="374">
        <v>0</v>
      </c>
      <c r="G11" s="375">
        <v>0</v>
      </c>
      <c r="H11" s="374">
        <v>0</v>
      </c>
      <c r="I11" s="375">
        <v>0</v>
      </c>
      <c r="J11" s="374">
        <v>0</v>
      </c>
      <c r="K11" s="375">
        <v>0</v>
      </c>
      <c r="L11" s="374">
        <v>0</v>
      </c>
      <c r="M11" s="375">
        <v>0</v>
      </c>
    </row>
    <row r="12" spans="1:20" ht="12" customHeight="1" x14ac:dyDescent="0.3">
      <c r="A12" s="54"/>
      <c r="B12" s="201" t="s">
        <v>220</v>
      </c>
      <c r="C12" s="369">
        <v>74963.62</v>
      </c>
      <c r="D12" s="370">
        <v>191964.91</v>
      </c>
      <c r="E12" s="376">
        <v>8086.81</v>
      </c>
      <c r="F12" s="370">
        <v>0</v>
      </c>
      <c r="G12" s="372">
        <v>0</v>
      </c>
      <c r="H12" s="370">
        <v>0</v>
      </c>
      <c r="I12" s="372">
        <v>0</v>
      </c>
      <c r="J12" s="370">
        <v>0</v>
      </c>
      <c r="K12" s="372">
        <v>0</v>
      </c>
      <c r="L12" s="370">
        <v>0</v>
      </c>
      <c r="M12" s="372">
        <v>0</v>
      </c>
    </row>
    <row r="13" spans="1:20" ht="12" customHeight="1" x14ac:dyDescent="0.3">
      <c r="A13" s="54"/>
      <c r="B13" s="208" t="s">
        <v>221</v>
      </c>
      <c r="C13" s="373">
        <v>152485.66</v>
      </c>
      <c r="D13" s="374">
        <v>273158.84999999998</v>
      </c>
      <c r="E13" s="97">
        <v>22122.22</v>
      </c>
      <c r="F13" s="374">
        <v>0</v>
      </c>
      <c r="G13" s="375">
        <v>0</v>
      </c>
      <c r="H13" s="374">
        <v>0</v>
      </c>
      <c r="I13" s="375">
        <v>0</v>
      </c>
      <c r="J13" s="374">
        <v>0</v>
      </c>
      <c r="K13" s="375">
        <v>0</v>
      </c>
      <c r="L13" s="374">
        <v>0</v>
      </c>
      <c r="M13" s="375">
        <v>0</v>
      </c>
    </row>
    <row r="14" spans="1:20" ht="12" customHeight="1" x14ac:dyDescent="0.3">
      <c r="A14" s="54"/>
      <c r="B14" s="201" t="s">
        <v>211</v>
      </c>
      <c r="C14" s="369">
        <v>171282.48</v>
      </c>
      <c r="D14" s="370">
        <v>63159.51</v>
      </c>
      <c r="E14" s="376">
        <v>36466.42</v>
      </c>
      <c r="F14" s="370">
        <v>0</v>
      </c>
      <c r="G14" s="372">
        <v>0</v>
      </c>
      <c r="H14" s="370">
        <v>0</v>
      </c>
      <c r="I14" s="372">
        <v>0</v>
      </c>
      <c r="J14" s="370">
        <v>0</v>
      </c>
      <c r="K14" s="372">
        <v>0</v>
      </c>
      <c r="L14" s="370">
        <v>0</v>
      </c>
      <c r="M14" s="372">
        <v>0</v>
      </c>
    </row>
    <row r="15" spans="1:20" ht="12" customHeight="1" x14ac:dyDescent="0.3">
      <c r="A15" s="54"/>
      <c r="B15" s="208" t="s">
        <v>222</v>
      </c>
      <c r="C15" s="373">
        <v>168433.06</v>
      </c>
      <c r="D15" s="374">
        <v>53077.38</v>
      </c>
      <c r="E15" s="97">
        <v>99828</v>
      </c>
      <c r="F15" s="374">
        <v>0</v>
      </c>
      <c r="G15" s="375">
        <v>0</v>
      </c>
      <c r="H15" s="374"/>
      <c r="I15" s="375">
        <v>0</v>
      </c>
      <c r="J15" s="374">
        <v>0</v>
      </c>
      <c r="K15" s="375">
        <v>0</v>
      </c>
      <c r="L15" s="374">
        <v>0</v>
      </c>
      <c r="M15" s="375">
        <v>0</v>
      </c>
    </row>
    <row r="16" spans="1:20" ht="12" customHeight="1" x14ac:dyDescent="0.3">
      <c r="A16" s="54"/>
      <c r="B16" s="201" t="s">
        <v>212</v>
      </c>
      <c r="C16" s="369">
        <v>155757.68</v>
      </c>
      <c r="D16" s="370">
        <v>15517.44</v>
      </c>
      <c r="E16" s="376">
        <v>0</v>
      </c>
      <c r="F16" s="370">
        <v>0</v>
      </c>
      <c r="G16" s="372">
        <v>0</v>
      </c>
      <c r="H16" s="370">
        <v>0</v>
      </c>
      <c r="I16" s="372">
        <v>0</v>
      </c>
      <c r="J16" s="370">
        <v>0</v>
      </c>
      <c r="K16" s="372">
        <v>0</v>
      </c>
      <c r="L16" s="370">
        <v>0</v>
      </c>
      <c r="M16" s="372">
        <v>0</v>
      </c>
    </row>
    <row r="17" spans="1:14" ht="12" customHeight="1" thickBot="1" x14ac:dyDescent="0.35">
      <c r="A17" s="54"/>
      <c r="B17" s="214" t="s">
        <v>213</v>
      </c>
      <c r="C17" s="377">
        <v>163379.07999999999</v>
      </c>
      <c r="D17" s="377">
        <v>9580.01</v>
      </c>
      <c r="E17" s="377">
        <v>0</v>
      </c>
      <c r="F17" s="378">
        <v>0</v>
      </c>
      <c r="G17" s="378">
        <v>0</v>
      </c>
      <c r="H17" s="378">
        <v>0</v>
      </c>
      <c r="I17" s="379">
        <v>0</v>
      </c>
      <c r="J17" s="378">
        <v>0</v>
      </c>
      <c r="K17" s="379">
        <v>0</v>
      </c>
      <c r="L17" s="378">
        <v>0</v>
      </c>
      <c r="M17" s="378">
        <v>0</v>
      </c>
    </row>
    <row r="18" spans="1:14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332129.95</v>
      </c>
      <c r="F18" s="221">
        <f>SUM(F6:F17)</f>
        <v>0</v>
      </c>
      <c r="G18" s="222">
        <v>0</v>
      </c>
      <c r="H18" s="221">
        <f>SUM(H6:H17)</f>
        <v>0</v>
      </c>
      <c r="I18" s="222">
        <v>0</v>
      </c>
      <c r="J18" s="223">
        <f>SUM(J6:J17)</f>
        <v>0</v>
      </c>
      <c r="K18" s="224">
        <v>0</v>
      </c>
      <c r="L18" s="380">
        <f>SUM(L6:L17)</f>
        <v>0</v>
      </c>
      <c r="M18" s="222">
        <v>0</v>
      </c>
    </row>
    <row r="19" spans="1:14" ht="15" customHeight="1" thickBot="1" x14ac:dyDescent="0.35">
      <c r="B19" s="658" t="s">
        <v>274</v>
      </c>
      <c r="C19" s="659"/>
      <c r="D19" s="226">
        <f>SUM(I18+F18)</f>
        <v>0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4" ht="27.6" customHeight="1" thickBot="1" x14ac:dyDescent="0.35">
      <c r="A20" s="54"/>
      <c r="B20" s="398" t="s">
        <v>251</v>
      </c>
      <c r="C20" s="68" t="s">
        <v>223</v>
      </c>
      <c r="D20" s="69" t="s">
        <v>232</v>
      </c>
      <c r="E20" s="70" t="s">
        <v>224</v>
      </c>
      <c r="F20" s="69" t="s">
        <v>225</v>
      </c>
      <c r="G20" s="69" t="s">
        <v>268</v>
      </c>
      <c r="H20" s="69" t="s">
        <v>226</v>
      </c>
      <c r="I20" s="69" t="s">
        <v>227</v>
      </c>
      <c r="J20" s="69" t="s">
        <v>228</v>
      </c>
      <c r="K20" s="70" t="s">
        <v>229</v>
      </c>
      <c r="L20" s="69" t="s">
        <v>252</v>
      </c>
      <c r="M20" s="399" t="s">
        <v>230</v>
      </c>
      <c r="N20" s="390" t="s">
        <v>321</v>
      </c>
    </row>
    <row r="21" spans="1:14" s="383" customFormat="1" ht="15" thickBot="1" x14ac:dyDescent="0.35">
      <c r="B21" s="408" t="s">
        <v>249</v>
      </c>
      <c r="C21" s="396">
        <v>826</v>
      </c>
      <c r="D21" s="491">
        <v>784</v>
      </c>
      <c r="E21" s="410">
        <v>46114</v>
      </c>
      <c r="F21" s="411" t="s">
        <v>264</v>
      </c>
      <c r="G21" s="409" t="s">
        <v>271</v>
      </c>
      <c r="H21" s="412">
        <v>5867.2</v>
      </c>
      <c r="I21" s="413"/>
      <c r="J21" s="414">
        <v>46142</v>
      </c>
      <c r="K21" s="427">
        <v>46141</v>
      </c>
      <c r="L21" s="415">
        <v>5867.2</v>
      </c>
      <c r="M21" s="416">
        <f>Tabela2246578910[[#This Row],[VENDA]]+Tabela2246578910[[#This Row],[MÃO DE OBRA]]-Tabela2246578910[[#This Row],[VALOR PAGO]]</f>
        <v>0</v>
      </c>
    </row>
    <row r="22" spans="1:14" ht="15" thickBot="1" x14ac:dyDescent="0.35">
      <c r="B22" s="424" t="s">
        <v>249</v>
      </c>
      <c r="C22" s="397">
        <v>826</v>
      </c>
      <c r="D22" s="492">
        <v>784</v>
      </c>
      <c r="E22" s="407">
        <v>46114</v>
      </c>
      <c r="F22" s="405" t="s">
        <v>264</v>
      </c>
      <c r="G22" s="406" t="s">
        <v>271</v>
      </c>
      <c r="H22" s="445">
        <v>5867.2</v>
      </c>
      <c r="I22" s="425"/>
      <c r="J22" s="428">
        <v>46149</v>
      </c>
      <c r="K22" s="429">
        <v>46150</v>
      </c>
      <c r="L22" s="430">
        <v>5867.2</v>
      </c>
      <c r="M22" s="416">
        <f>Tabela2246578910[[#This Row],[VENDA]]+Tabela2246578910[[#This Row],[MÃO DE OBRA]]-Tabela2246578910[[#This Row],[VALOR PAGO]]</f>
        <v>0</v>
      </c>
    </row>
    <row r="23" spans="1:14" ht="15" thickBot="1" x14ac:dyDescent="0.35">
      <c r="B23" s="431" t="s">
        <v>249</v>
      </c>
      <c r="C23" s="418">
        <v>826</v>
      </c>
      <c r="D23" s="493">
        <v>784</v>
      </c>
      <c r="E23" s="433">
        <v>46114</v>
      </c>
      <c r="F23" s="434" t="s">
        <v>264</v>
      </c>
      <c r="G23" s="432" t="s">
        <v>271</v>
      </c>
      <c r="H23" s="435">
        <v>5867.2</v>
      </c>
      <c r="I23" s="435"/>
      <c r="J23" s="436">
        <v>46156</v>
      </c>
      <c r="K23" s="437">
        <v>46157</v>
      </c>
      <c r="L23" s="489">
        <v>5867.2</v>
      </c>
      <c r="M23" s="416">
        <f>Tabela2246578910[[#This Row],[VENDA]]+Tabela2246578910[[#This Row],[MÃO DE OBRA]]-Tabela2246578910[[#This Row],[VALOR PAGO]]</f>
        <v>0</v>
      </c>
    </row>
    <row r="24" spans="1:14" ht="15" thickBot="1" x14ac:dyDescent="0.35">
      <c r="B24" s="490" t="s">
        <v>249</v>
      </c>
      <c r="C24" s="396">
        <v>829</v>
      </c>
      <c r="D24" s="491">
        <v>756</v>
      </c>
      <c r="E24" s="410">
        <v>46118</v>
      </c>
      <c r="F24" s="411" t="s">
        <v>339</v>
      </c>
      <c r="G24" s="409" t="s">
        <v>273</v>
      </c>
      <c r="H24" s="413">
        <v>2633.5</v>
      </c>
      <c r="I24" s="413"/>
      <c r="J24" s="414">
        <v>46125</v>
      </c>
      <c r="K24" s="427">
        <v>46126</v>
      </c>
      <c r="L24" s="415">
        <v>2633.5</v>
      </c>
      <c r="M24" s="416">
        <f>Tabela2246578910[[#This Row],[VENDA]]+Tabela2246578910[[#This Row],[MÃO DE OBRA]]-Tabela2246578910[[#This Row],[VALOR PAGO]]</f>
        <v>0</v>
      </c>
    </row>
    <row r="25" spans="1:14" ht="15" thickBot="1" x14ac:dyDescent="0.35">
      <c r="B25" s="424" t="s">
        <v>249</v>
      </c>
      <c r="C25" s="397">
        <v>829</v>
      </c>
      <c r="D25" s="492">
        <v>756</v>
      </c>
      <c r="E25" s="407">
        <v>46118</v>
      </c>
      <c r="F25" s="405" t="s">
        <v>339</v>
      </c>
      <c r="G25" s="406" t="s">
        <v>273</v>
      </c>
      <c r="H25" s="425">
        <v>2632</v>
      </c>
      <c r="I25" s="425"/>
      <c r="J25" s="428">
        <v>46132</v>
      </c>
      <c r="K25" s="429">
        <v>46126</v>
      </c>
      <c r="L25" s="430">
        <v>2632</v>
      </c>
      <c r="M25" s="416">
        <f>Tabela2246578910[[#This Row],[VENDA]]+Tabela2246578910[[#This Row],[MÃO DE OBRA]]-Tabela2246578910[[#This Row],[VALOR PAGO]]</f>
        <v>0</v>
      </c>
    </row>
    <row r="26" spans="1:14" ht="15" thickBot="1" x14ac:dyDescent="0.35">
      <c r="B26" s="431" t="s">
        <v>249</v>
      </c>
      <c r="C26" s="418">
        <v>829</v>
      </c>
      <c r="D26" s="493">
        <v>756</v>
      </c>
      <c r="E26" s="433">
        <v>46118</v>
      </c>
      <c r="F26" s="434" t="s">
        <v>339</v>
      </c>
      <c r="G26" s="432" t="s">
        <v>273</v>
      </c>
      <c r="H26" s="435">
        <v>2632</v>
      </c>
      <c r="I26" s="435"/>
      <c r="J26" s="436">
        <v>46139</v>
      </c>
      <c r="K26" s="437">
        <v>46126</v>
      </c>
      <c r="L26" s="438">
        <v>2632</v>
      </c>
      <c r="M26" s="416">
        <f>Tabela2246578910[[#This Row],[VENDA]]+Tabela2246578910[[#This Row],[MÃO DE OBRA]]-Tabela2246578910[[#This Row],[VALOR PAGO]]</f>
        <v>0</v>
      </c>
    </row>
    <row r="27" spans="1:14" ht="15" thickBot="1" x14ac:dyDescent="0.35">
      <c r="B27" s="408" t="s">
        <v>249</v>
      </c>
      <c r="C27" s="396">
        <v>834</v>
      </c>
      <c r="D27" s="409">
        <v>795</v>
      </c>
      <c r="E27" s="410">
        <v>46119</v>
      </c>
      <c r="F27" s="411" t="s">
        <v>264</v>
      </c>
      <c r="G27" s="409" t="s">
        <v>271</v>
      </c>
      <c r="H27" s="413">
        <v>2828</v>
      </c>
      <c r="I27" s="413"/>
      <c r="J27" s="414">
        <v>46133</v>
      </c>
      <c r="K27" s="427">
        <v>46134</v>
      </c>
      <c r="L27" s="415">
        <v>2828</v>
      </c>
      <c r="M27" s="416">
        <f>Tabela2246578910[[#This Row],[VENDA]]+Tabela2246578910[[#This Row],[MÃO DE OBRA]]-Tabela2246578910[[#This Row],[VALOR PAGO]]</f>
        <v>0</v>
      </c>
    </row>
    <row r="28" spans="1:14" ht="15" thickBot="1" x14ac:dyDescent="0.35">
      <c r="B28" s="431" t="s">
        <v>249</v>
      </c>
      <c r="C28" s="418">
        <v>834</v>
      </c>
      <c r="D28" s="432">
        <v>795</v>
      </c>
      <c r="E28" s="433">
        <v>46119</v>
      </c>
      <c r="F28" s="434" t="s">
        <v>264</v>
      </c>
      <c r="G28" s="432" t="s">
        <v>271</v>
      </c>
      <c r="H28" s="435">
        <v>2828</v>
      </c>
      <c r="I28" s="435"/>
      <c r="J28" s="436">
        <v>46140</v>
      </c>
      <c r="K28" s="437">
        <v>46140</v>
      </c>
      <c r="L28" s="438">
        <v>2828</v>
      </c>
      <c r="M28" s="416">
        <f>Tabela2246578910[[#This Row],[VENDA]]+Tabela2246578910[[#This Row],[MÃO DE OBRA]]-Tabela2246578910[[#This Row],[VALOR PAGO]]</f>
        <v>0</v>
      </c>
    </row>
    <row r="29" spans="1:14" ht="15" thickBot="1" x14ac:dyDescent="0.35">
      <c r="B29" s="408" t="s">
        <v>248</v>
      </c>
      <c r="C29" s="396">
        <v>22542</v>
      </c>
      <c r="D29" s="409" t="s">
        <v>319</v>
      </c>
      <c r="E29" s="410">
        <v>46120</v>
      </c>
      <c r="F29" s="411" t="s">
        <v>338</v>
      </c>
      <c r="G29" s="409" t="s">
        <v>319</v>
      </c>
      <c r="H29" s="413">
        <v>534.79999999999995</v>
      </c>
      <c r="I29" s="413"/>
      <c r="J29" s="414" t="s">
        <v>337</v>
      </c>
      <c r="K29" s="427">
        <v>46120</v>
      </c>
      <c r="L29" s="415">
        <v>534.79999999999995</v>
      </c>
      <c r="M29" s="416">
        <f>Tabela2246578910[[#This Row],[VENDA]]+Tabela2246578910[[#This Row],[MÃO DE OBRA]]-Tabela2246578910[[#This Row],[VALOR PAGO]]</f>
        <v>0</v>
      </c>
      <c r="N29" t="s">
        <v>340</v>
      </c>
    </row>
    <row r="30" spans="1:14" x14ac:dyDescent="0.3">
      <c r="B30" s="408" t="s">
        <v>248</v>
      </c>
      <c r="C30" s="396">
        <v>22556</v>
      </c>
      <c r="D30" s="409">
        <v>4280</v>
      </c>
      <c r="E30" s="410">
        <v>46120</v>
      </c>
      <c r="F30" s="411" t="s">
        <v>236</v>
      </c>
      <c r="G30" s="409" t="s">
        <v>270</v>
      </c>
      <c r="H30" s="413"/>
      <c r="I30" s="413">
        <v>366.85</v>
      </c>
      <c r="J30" s="414">
        <v>46148</v>
      </c>
      <c r="K30" s="427">
        <v>46139</v>
      </c>
      <c r="L30" s="415">
        <v>366.85</v>
      </c>
      <c r="M30" s="416">
        <f>Tabela2246578910[[#This Row],[VENDA]]+Tabela2246578910[[#This Row],[MÃO DE OBRA]]-Tabela2246578910[[#This Row],[VALOR PAGO]]</f>
        <v>0</v>
      </c>
    </row>
    <row r="31" spans="1:14" x14ac:dyDescent="0.3">
      <c r="B31" s="424" t="s">
        <v>248</v>
      </c>
      <c r="C31" s="397">
        <v>22556</v>
      </c>
      <c r="D31" s="406">
        <v>4280</v>
      </c>
      <c r="E31" s="407">
        <v>46120</v>
      </c>
      <c r="F31" s="405" t="s">
        <v>236</v>
      </c>
      <c r="G31" s="406" t="s">
        <v>270</v>
      </c>
      <c r="H31" s="425"/>
      <c r="I31" s="425">
        <v>366.85</v>
      </c>
      <c r="J31" s="428">
        <v>46155</v>
      </c>
      <c r="K31" s="429">
        <v>46139</v>
      </c>
      <c r="L31" s="430">
        <v>366.85</v>
      </c>
      <c r="M31" s="426">
        <f>Tabela2246578910[[#This Row],[VENDA]]+Tabela2246578910[[#This Row],[MÃO DE OBRA]]-Tabela2246578910[[#This Row],[VALOR PAGO]]</f>
        <v>0</v>
      </c>
    </row>
    <row r="32" spans="1:14" ht="15" thickBot="1" x14ac:dyDescent="0.35">
      <c r="B32" s="431" t="s">
        <v>248</v>
      </c>
      <c r="C32" s="418">
        <v>22556</v>
      </c>
      <c r="D32" s="432">
        <v>4280</v>
      </c>
      <c r="E32" s="433">
        <v>46120</v>
      </c>
      <c r="F32" s="434" t="s">
        <v>236</v>
      </c>
      <c r="G32" s="432" t="s">
        <v>270</v>
      </c>
      <c r="H32" s="435"/>
      <c r="I32" s="435">
        <v>366.84</v>
      </c>
      <c r="J32" s="436">
        <v>46162</v>
      </c>
      <c r="K32" s="437">
        <v>46162</v>
      </c>
      <c r="L32" s="438">
        <v>366.86</v>
      </c>
      <c r="M32" s="439">
        <f>Tabela2246578910[[#This Row],[VENDA]]+Tabela2246578910[[#This Row],[MÃO DE OBRA]]-Tabela2246578910[[#This Row],[VALOR PAGO]]</f>
        <v>-2.0000000000038654E-2</v>
      </c>
    </row>
    <row r="33" spans="2:13" ht="15" thickBot="1" x14ac:dyDescent="0.35">
      <c r="B33" s="408" t="s">
        <v>249</v>
      </c>
      <c r="C33" s="396">
        <v>22591</v>
      </c>
      <c r="D33" s="409">
        <v>4318</v>
      </c>
      <c r="E33" s="410">
        <v>46122</v>
      </c>
      <c r="F33" s="411" t="s">
        <v>264</v>
      </c>
      <c r="G33" s="409" t="s">
        <v>271</v>
      </c>
      <c r="H33" s="413">
        <v>4990</v>
      </c>
      <c r="I33" s="413"/>
      <c r="J33" s="414">
        <v>46129</v>
      </c>
      <c r="K33" s="427">
        <v>46129</v>
      </c>
      <c r="L33" s="415">
        <v>4990</v>
      </c>
      <c r="M33" s="439">
        <f>Tabela2246578910[[#This Row],[VENDA]]+Tabela2246578910[[#This Row],[MÃO DE OBRA]]-Tabela2246578910[[#This Row],[VALOR PAGO]]</f>
        <v>0</v>
      </c>
    </row>
    <row r="34" spans="2:13" ht="15" thickBot="1" x14ac:dyDescent="0.35">
      <c r="B34" s="424" t="s">
        <v>249</v>
      </c>
      <c r="C34" s="397">
        <v>22591</v>
      </c>
      <c r="D34" s="406">
        <v>4318</v>
      </c>
      <c r="E34" s="407">
        <v>46122</v>
      </c>
      <c r="F34" s="405" t="s">
        <v>264</v>
      </c>
      <c r="G34" s="406" t="s">
        <v>271</v>
      </c>
      <c r="H34" s="425">
        <v>4990</v>
      </c>
      <c r="I34" s="425"/>
      <c r="J34" s="428">
        <v>46136</v>
      </c>
      <c r="K34" s="429">
        <v>46136</v>
      </c>
      <c r="L34" s="430">
        <v>4990</v>
      </c>
      <c r="M34" s="439">
        <f>Tabela2246578910[[#This Row],[VENDA]]+Tabela2246578910[[#This Row],[MÃO DE OBRA]]-Tabela2246578910[[#This Row],[VALOR PAGO]]</f>
        <v>0</v>
      </c>
    </row>
    <row r="35" spans="2:13" ht="15" thickBot="1" x14ac:dyDescent="0.35">
      <c r="B35" s="431" t="s">
        <v>249</v>
      </c>
      <c r="C35" s="418">
        <v>22591</v>
      </c>
      <c r="D35" s="432">
        <v>4318</v>
      </c>
      <c r="E35" s="433">
        <v>46122</v>
      </c>
      <c r="F35" s="434" t="s">
        <v>264</v>
      </c>
      <c r="G35" s="432" t="s">
        <v>271</v>
      </c>
      <c r="H35" s="435">
        <v>4990</v>
      </c>
      <c r="I35" s="435"/>
      <c r="J35" s="436">
        <v>46143</v>
      </c>
      <c r="K35" s="437">
        <v>46146</v>
      </c>
      <c r="L35" s="438">
        <v>4990</v>
      </c>
      <c r="M35" s="439">
        <f>Tabela2246578910[[#This Row],[VENDA]]+Tabela2246578910[[#This Row],[MÃO DE OBRA]]-Tabela2246578910[[#This Row],[VALOR PAGO]]</f>
        <v>0</v>
      </c>
    </row>
    <row r="36" spans="2:13" x14ac:dyDescent="0.3">
      <c r="B36" s="408" t="s">
        <v>248</v>
      </c>
      <c r="C36" s="396">
        <v>22615</v>
      </c>
      <c r="D36" s="409">
        <v>4349</v>
      </c>
      <c r="E36" s="410">
        <v>46122</v>
      </c>
      <c r="F36" s="411" t="s">
        <v>236</v>
      </c>
      <c r="G36" s="409" t="s">
        <v>270</v>
      </c>
      <c r="H36" s="413"/>
      <c r="I36" s="413">
        <v>626.16999999999996</v>
      </c>
      <c r="J36" s="414">
        <v>46150</v>
      </c>
      <c r="K36" s="427">
        <v>46139</v>
      </c>
      <c r="L36" s="415">
        <v>626.17999999999995</v>
      </c>
      <c r="M36" s="416">
        <f>Tabela2246578910[[#This Row],[VENDA]]+Tabela2246578910[[#This Row],[MÃO DE OBRA]]-Tabela2246578910[[#This Row],[VALOR PAGO]]</f>
        <v>-9.9999999999909051E-3</v>
      </c>
    </row>
    <row r="37" spans="2:13" x14ac:dyDescent="0.3">
      <c r="B37" s="424" t="s">
        <v>248</v>
      </c>
      <c r="C37" s="397">
        <v>22615</v>
      </c>
      <c r="D37" s="406">
        <v>4349</v>
      </c>
      <c r="E37" s="407">
        <v>46122</v>
      </c>
      <c r="F37" s="405" t="s">
        <v>236</v>
      </c>
      <c r="G37" s="406" t="s">
        <v>270</v>
      </c>
      <c r="H37" s="425"/>
      <c r="I37" s="425">
        <v>626.16999999999996</v>
      </c>
      <c r="J37" s="428">
        <v>46157</v>
      </c>
      <c r="K37" s="429">
        <v>46139</v>
      </c>
      <c r="L37" s="430">
        <v>626.17999999999995</v>
      </c>
      <c r="M37" s="426">
        <f>Tabela2246578910[[#This Row],[VENDA]]+Tabela2246578910[[#This Row],[MÃO DE OBRA]]-Tabela2246578910[[#This Row],[VALOR PAGO]]</f>
        <v>-9.9999999999909051E-3</v>
      </c>
    </row>
    <row r="38" spans="2:13" ht="15" thickBot="1" x14ac:dyDescent="0.35">
      <c r="B38" s="431" t="s">
        <v>248</v>
      </c>
      <c r="C38" s="418">
        <v>22615</v>
      </c>
      <c r="D38" s="432">
        <v>4349</v>
      </c>
      <c r="E38" s="433">
        <v>46122</v>
      </c>
      <c r="F38" s="434" t="s">
        <v>236</v>
      </c>
      <c r="G38" s="432" t="s">
        <v>270</v>
      </c>
      <c r="H38" s="435"/>
      <c r="I38" s="435">
        <v>626.17999999999995</v>
      </c>
      <c r="J38" s="436">
        <v>46164</v>
      </c>
      <c r="K38" s="437">
        <v>46162</v>
      </c>
      <c r="L38" s="438">
        <v>626.16999999999996</v>
      </c>
      <c r="M38" s="439">
        <f>Tabela2246578910[[#This Row],[VENDA]]+Tabela2246578910[[#This Row],[MÃO DE OBRA]]-Tabela2246578910[[#This Row],[VALOR PAGO]]</f>
        <v>9.9999999999909051E-3</v>
      </c>
    </row>
    <row r="39" spans="2:13" ht="15" thickBot="1" x14ac:dyDescent="0.35">
      <c r="B39" s="363" t="s">
        <v>248</v>
      </c>
      <c r="C39" s="364">
        <v>22617</v>
      </c>
      <c r="D39" s="365">
        <v>4336</v>
      </c>
      <c r="E39" s="366">
        <v>46122</v>
      </c>
      <c r="F39" s="384" t="s">
        <v>341</v>
      </c>
      <c r="G39" s="365" t="s">
        <v>270</v>
      </c>
      <c r="H39" s="386"/>
      <c r="I39" s="386">
        <f>(78.5+39+38)*7.11</f>
        <v>1105.605</v>
      </c>
      <c r="J39" s="387">
        <v>46143</v>
      </c>
      <c r="K39" s="444">
        <v>46141</v>
      </c>
      <c r="L39" s="367">
        <v>1105.6099999999999</v>
      </c>
      <c r="M39" s="388">
        <f>Tabela2246578910[[#This Row],[VENDA]]+Tabela2246578910[[#This Row],[MÃO DE OBRA]]-Tabela2246578910[[#This Row],[VALOR PAGO]]</f>
        <v>-4.9999999998817657E-3</v>
      </c>
    </row>
    <row r="40" spans="2:13" x14ac:dyDescent="0.3">
      <c r="B40" s="408" t="s">
        <v>248</v>
      </c>
      <c r="C40" s="396">
        <v>22642</v>
      </c>
      <c r="D40" s="409">
        <v>4349</v>
      </c>
      <c r="E40" s="410">
        <v>46126</v>
      </c>
      <c r="F40" s="411" t="s">
        <v>236</v>
      </c>
      <c r="G40" s="409" t="s">
        <v>270</v>
      </c>
      <c r="H40" s="413"/>
      <c r="I40" s="413">
        <v>366.27</v>
      </c>
      <c r="J40" s="414">
        <v>46154</v>
      </c>
      <c r="K40" s="427">
        <v>46139</v>
      </c>
      <c r="L40" s="415">
        <v>366.28</v>
      </c>
      <c r="M40" s="416">
        <f>Tabela2246578910[[#This Row],[VENDA]]+Tabela2246578910[[#This Row],[MÃO DE OBRA]]-Tabela2246578910[[#This Row],[VALOR PAGO]]</f>
        <v>-9.9999999999909051E-3</v>
      </c>
    </row>
    <row r="41" spans="2:13" x14ac:dyDescent="0.3">
      <c r="B41" s="424" t="s">
        <v>248</v>
      </c>
      <c r="C41" s="397">
        <v>22642</v>
      </c>
      <c r="D41" s="406">
        <v>4349</v>
      </c>
      <c r="E41" s="407">
        <v>46126</v>
      </c>
      <c r="F41" s="405" t="s">
        <v>236</v>
      </c>
      <c r="G41" s="406" t="s">
        <v>270</v>
      </c>
      <c r="H41" s="425"/>
      <c r="I41" s="425">
        <v>366.27</v>
      </c>
      <c r="J41" s="428">
        <v>46161</v>
      </c>
      <c r="K41" s="429">
        <v>46162</v>
      </c>
      <c r="L41" s="430">
        <v>366.28</v>
      </c>
      <c r="M41" s="426">
        <f>Tabela2246578910[[#This Row],[VENDA]]+Tabela2246578910[[#This Row],[MÃO DE OBRA]]-Tabela2246578910[[#This Row],[VALOR PAGO]]</f>
        <v>-9.9999999999909051E-3</v>
      </c>
    </row>
    <row r="42" spans="2:13" ht="15" thickBot="1" x14ac:dyDescent="0.35">
      <c r="B42" s="431" t="s">
        <v>248</v>
      </c>
      <c r="C42" s="418">
        <v>22642</v>
      </c>
      <c r="D42" s="432">
        <v>4349</v>
      </c>
      <c r="E42" s="433">
        <v>46126</v>
      </c>
      <c r="F42" s="434" t="s">
        <v>236</v>
      </c>
      <c r="G42" s="432" t="s">
        <v>270</v>
      </c>
      <c r="H42" s="435"/>
      <c r="I42" s="435">
        <v>366.28</v>
      </c>
      <c r="J42" s="436">
        <v>46168</v>
      </c>
      <c r="K42" s="437">
        <v>46178</v>
      </c>
      <c r="L42" s="494">
        <v>366.27</v>
      </c>
      <c r="M42" s="439">
        <f>Tabela2246578910[[#This Row],[VENDA]]+Tabela2246578910[[#This Row],[MÃO DE OBRA]]-Tabela2246578910[[#This Row],[VALOR PAGO]]</f>
        <v>9.9999999999909051E-3</v>
      </c>
    </row>
    <row r="43" spans="2:13" ht="15" thickBot="1" x14ac:dyDescent="0.35">
      <c r="B43" s="363" t="s">
        <v>248</v>
      </c>
      <c r="C43" s="364">
        <v>22643</v>
      </c>
      <c r="D43" s="365">
        <v>4352</v>
      </c>
      <c r="E43" s="366">
        <v>46126</v>
      </c>
      <c r="F43" s="384" t="s">
        <v>341</v>
      </c>
      <c r="G43" s="365" t="s">
        <v>270</v>
      </c>
      <c r="H43" s="386"/>
      <c r="I43" s="386">
        <f>114.4*7.11</f>
        <v>813.38400000000013</v>
      </c>
      <c r="J43" s="387">
        <v>46147</v>
      </c>
      <c r="K43" s="444">
        <v>46147</v>
      </c>
      <c r="L43" s="367">
        <v>813.38</v>
      </c>
      <c r="M43" s="388">
        <f>Tabela2246578910[[#This Row],[VENDA]]+Tabela2246578910[[#This Row],[MÃO DE OBRA]]-Tabela2246578910[[#This Row],[VALOR PAGO]]</f>
        <v>4.0000000001327862E-3</v>
      </c>
    </row>
    <row r="44" spans="2:13" ht="15" thickBot="1" x14ac:dyDescent="0.35">
      <c r="B44" s="408" t="s">
        <v>249</v>
      </c>
      <c r="C44" s="396">
        <v>851</v>
      </c>
      <c r="D44" s="409">
        <v>947</v>
      </c>
      <c r="E44" s="410">
        <v>46127</v>
      </c>
      <c r="F44" s="411" t="s">
        <v>264</v>
      </c>
      <c r="G44" s="409" t="s">
        <v>271</v>
      </c>
      <c r="H44" s="413">
        <f>8337.6/3</f>
        <v>2779.2000000000003</v>
      </c>
      <c r="I44" s="413"/>
      <c r="J44" s="414">
        <v>46155</v>
      </c>
      <c r="K44" s="427">
        <v>46155</v>
      </c>
      <c r="L44" s="415">
        <v>2779.2</v>
      </c>
      <c r="M44" s="388">
        <f>Tabela2246578910[[#This Row],[VENDA]]+Tabela2246578910[[#This Row],[MÃO DE OBRA]]-Tabela2246578910[[#This Row],[VALOR PAGO]]</f>
        <v>0</v>
      </c>
    </row>
    <row r="45" spans="2:13" ht="15" thickBot="1" x14ac:dyDescent="0.35">
      <c r="B45" s="424" t="s">
        <v>249</v>
      </c>
      <c r="C45" s="397">
        <v>851</v>
      </c>
      <c r="D45" s="406">
        <v>947</v>
      </c>
      <c r="E45" s="407">
        <v>46127</v>
      </c>
      <c r="F45" s="405" t="s">
        <v>264</v>
      </c>
      <c r="G45" s="406" t="s">
        <v>271</v>
      </c>
      <c r="H45" s="425">
        <f t="shared" ref="H45:H46" si="0">8337.6/3</f>
        <v>2779.2000000000003</v>
      </c>
      <c r="I45" s="425"/>
      <c r="J45" s="428">
        <v>46162</v>
      </c>
      <c r="K45" s="429">
        <v>46161</v>
      </c>
      <c r="L45" s="430">
        <v>2779.2</v>
      </c>
      <c r="M45" s="388">
        <f>Tabela2246578910[[#This Row],[VENDA]]+Tabela2246578910[[#This Row],[MÃO DE OBRA]]-Tabela2246578910[[#This Row],[VALOR PAGO]]</f>
        <v>0</v>
      </c>
    </row>
    <row r="46" spans="2:13" ht="15" thickBot="1" x14ac:dyDescent="0.35">
      <c r="B46" s="431" t="s">
        <v>249</v>
      </c>
      <c r="C46" s="418">
        <v>851</v>
      </c>
      <c r="D46" s="432">
        <v>947</v>
      </c>
      <c r="E46" s="433">
        <v>46127</v>
      </c>
      <c r="F46" s="434" t="s">
        <v>264</v>
      </c>
      <c r="G46" s="432" t="s">
        <v>271</v>
      </c>
      <c r="H46" s="435">
        <f t="shared" si="0"/>
        <v>2779.2000000000003</v>
      </c>
      <c r="I46" s="435"/>
      <c r="J46" s="436">
        <v>46169</v>
      </c>
      <c r="K46" s="437">
        <v>46167</v>
      </c>
      <c r="L46" s="438">
        <v>2779.2</v>
      </c>
      <c r="M46" s="388">
        <f>Tabela2246578910[[#This Row],[VENDA]]+Tabela2246578910[[#This Row],[MÃO DE OBRA]]-Tabela2246578910[[#This Row],[VALOR PAGO]]</f>
        <v>0</v>
      </c>
    </row>
    <row r="47" spans="2:13" ht="15" thickBot="1" x14ac:dyDescent="0.35">
      <c r="B47" s="363" t="s">
        <v>248</v>
      </c>
      <c r="C47" s="364">
        <v>22711</v>
      </c>
      <c r="D47" s="365">
        <v>4349</v>
      </c>
      <c r="E47" s="366">
        <v>46128</v>
      </c>
      <c r="F47" s="384" t="s">
        <v>236</v>
      </c>
      <c r="G47" s="365" t="s">
        <v>270</v>
      </c>
      <c r="H47" s="386"/>
      <c r="I47" s="386">
        <v>272.55</v>
      </c>
      <c r="J47" s="387">
        <v>46147</v>
      </c>
      <c r="K47" s="444">
        <v>46162</v>
      </c>
      <c r="L47" s="430">
        <v>272.55</v>
      </c>
      <c r="M47" s="388">
        <f>Tabela2246578910[[#This Row],[VENDA]]+Tabela2246578910[[#This Row],[MÃO DE OBRA]]-Tabela2246578910[[#This Row],[VALOR PAGO]]</f>
        <v>0</v>
      </c>
    </row>
    <row r="48" spans="2:13" ht="15" thickBot="1" x14ac:dyDescent="0.35">
      <c r="B48" s="408" t="s">
        <v>248</v>
      </c>
      <c r="C48" s="396">
        <v>22712</v>
      </c>
      <c r="D48" s="409">
        <v>4445</v>
      </c>
      <c r="E48" s="410">
        <v>46129</v>
      </c>
      <c r="F48" s="411" t="s">
        <v>236</v>
      </c>
      <c r="G48" s="409" t="s">
        <v>270</v>
      </c>
      <c r="H48" s="413"/>
      <c r="I48" s="413">
        <v>456.55</v>
      </c>
      <c r="J48" s="414">
        <v>46157</v>
      </c>
      <c r="K48" s="427">
        <v>46139</v>
      </c>
      <c r="L48" s="415">
        <v>456.55</v>
      </c>
      <c r="M48" s="416">
        <f>Tabela2246578910[[#This Row],[VENDA]]+Tabela2246578910[[#This Row],[MÃO DE OBRA]]-Tabela2246578910[[#This Row],[VALOR PAGO]]</f>
        <v>0</v>
      </c>
    </row>
    <row r="49" spans="2:13" ht="15" thickBot="1" x14ac:dyDescent="0.35">
      <c r="B49" s="424" t="s">
        <v>248</v>
      </c>
      <c r="C49" s="397">
        <v>22712</v>
      </c>
      <c r="D49" s="406">
        <v>4445</v>
      </c>
      <c r="E49" s="407">
        <v>46129</v>
      </c>
      <c r="F49" s="405" t="s">
        <v>236</v>
      </c>
      <c r="G49" s="406" t="s">
        <v>270</v>
      </c>
      <c r="H49" s="425"/>
      <c r="I49" s="425">
        <v>456.55</v>
      </c>
      <c r="J49" s="428">
        <v>46164</v>
      </c>
      <c r="K49" s="429">
        <v>46163</v>
      </c>
      <c r="L49" s="430">
        <v>456.55</v>
      </c>
      <c r="M49" s="416">
        <f>Tabela2246578910[[#This Row],[VENDA]]+Tabela2246578910[[#This Row],[MÃO DE OBRA]]-Tabela2246578910[[#This Row],[VALOR PAGO]]</f>
        <v>0</v>
      </c>
    </row>
    <row r="50" spans="2:13" ht="15" thickBot="1" x14ac:dyDescent="0.35">
      <c r="B50" s="431" t="s">
        <v>248</v>
      </c>
      <c r="C50" s="418">
        <v>22712</v>
      </c>
      <c r="D50" s="432">
        <v>4445</v>
      </c>
      <c r="E50" s="433">
        <v>46129</v>
      </c>
      <c r="F50" s="434" t="s">
        <v>236</v>
      </c>
      <c r="G50" s="432" t="s">
        <v>270</v>
      </c>
      <c r="H50" s="435"/>
      <c r="I50" s="435">
        <v>456.54</v>
      </c>
      <c r="J50" s="436">
        <v>46171</v>
      </c>
      <c r="K50" s="437">
        <v>46178</v>
      </c>
      <c r="L50" s="438">
        <v>456.56</v>
      </c>
      <c r="M50" s="416">
        <f>Tabela2246578910[[#This Row],[VENDA]]+Tabela2246578910[[#This Row],[MÃO DE OBRA]]-Tabela2246578910[[#This Row],[VALOR PAGO]]</f>
        <v>-1.999999999998181E-2</v>
      </c>
    </row>
    <row r="51" spans="2:13" ht="15" thickBot="1" x14ac:dyDescent="0.35">
      <c r="B51" s="408" t="s">
        <v>249</v>
      </c>
      <c r="C51" s="396">
        <v>22713</v>
      </c>
      <c r="D51" s="409">
        <v>4469</v>
      </c>
      <c r="E51" s="410">
        <v>46129</v>
      </c>
      <c r="F51" s="411" t="s">
        <v>241</v>
      </c>
      <c r="G51" s="409" t="s">
        <v>275</v>
      </c>
      <c r="H51" s="413">
        <v>1324.47</v>
      </c>
      <c r="I51" s="413"/>
      <c r="J51" s="414">
        <v>46159</v>
      </c>
      <c r="K51" s="427">
        <v>46160</v>
      </c>
      <c r="L51" s="415">
        <v>1324.47</v>
      </c>
      <c r="M51" s="416">
        <f>Tabela2246578910[[#This Row],[VENDA]]+Tabela2246578910[[#This Row],[MÃO DE OBRA]]-Tabela2246578910[[#This Row],[VALOR PAGO]]</f>
        <v>0</v>
      </c>
    </row>
    <row r="52" spans="2:13" ht="15" thickBot="1" x14ac:dyDescent="0.35">
      <c r="B52" s="424" t="s">
        <v>249</v>
      </c>
      <c r="C52" s="397">
        <v>22713</v>
      </c>
      <c r="D52" s="406">
        <v>4469</v>
      </c>
      <c r="E52" s="407">
        <v>46129</v>
      </c>
      <c r="F52" s="405" t="s">
        <v>241</v>
      </c>
      <c r="G52" s="406" t="s">
        <v>275</v>
      </c>
      <c r="H52" s="425">
        <v>1324.47</v>
      </c>
      <c r="I52" s="425"/>
      <c r="J52" s="428">
        <v>46169</v>
      </c>
      <c r="K52" s="429">
        <v>46170</v>
      </c>
      <c r="L52" s="430">
        <v>1324.47</v>
      </c>
      <c r="M52" s="416">
        <f>Tabela2246578910[[#This Row],[VENDA]]+Tabela2246578910[[#This Row],[MÃO DE OBRA]]-Tabela2246578910[[#This Row],[VALOR PAGO]]</f>
        <v>0</v>
      </c>
    </row>
    <row r="53" spans="2:13" ht="15" thickBot="1" x14ac:dyDescent="0.35">
      <c r="B53" s="424" t="s">
        <v>249</v>
      </c>
      <c r="C53" s="397">
        <v>22713</v>
      </c>
      <c r="D53" s="406">
        <v>4469</v>
      </c>
      <c r="E53" s="407">
        <v>46129</v>
      </c>
      <c r="F53" s="405" t="s">
        <v>241</v>
      </c>
      <c r="G53" s="406" t="s">
        <v>275</v>
      </c>
      <c r="H53" s="425">
        <v>1324.47</v>
      </c>
      <c r="I53" s="425"/>
      <c r="J53" s="428">
        <v>46179</v>
      </c>
      <c r="K53" s="429">
        <v>46181</v>
      </c>
      <c r="L53" s="430">
        <v>1324.47</v>
      </c>
      <c r="M53" s="416">
        <f>Tabela2246578910[[#This Row],[VENDA]]+Tabela2246578910[[#This Row],[MÃO DE OBRA]]-Tabela2246578910[[#This Row],[VALOR PAGO]]</f>
        <v>0</v>
      </c>
    </row>
    <row r="54" spans="2:13" ht="15" thickBot="1" x14ac:dyDescent="0.35">
      <c r="B54" s="424" t="s">
        <v>249</v>
      </c>
      <c r="C54" s="397">
        <v>22713</v>
      </c>
      <c r="D54" s="406">
        <v>4469</v>
      </c>
      <c r="E54" s="407">
        <v>46129</v>
      </c>
      <c r="F54" s="405" t="s">
        <v>241</v>
      </c>
      <c r="G54" s="406" t="s">
        <v>275</v>
      </c>
      <c r="H54" s="425">
        <v>1324.47</v>
      </c>
      <c r="I54" s="425"/>
      <c r="J54" s="428">
        <v>46189</v>
      </c>
      <c r="K54" s="429">
        <v>46189</v>
      </c>
      <c r="L54" s="430">
        <v>1324.47</v>
      </c>
      <c r="M54" s="416">
        <f>Tabela2246578910[[#This Row],[VENDA]]+Tabela2246578910[[#This Row],[MÃO DE OBRA]]-Tabela2246578910[[#This Row],[VALOR PAGO]]</f>
        <v>0</v>
      </c>
    </row>
    <row r="55" spans="2:13" ht="15" thickBot="1" x14ac:dyDescent="0.35">
      <c r="B55" s="363" t="s">
        <v>248</v>
      </c>
      <c r="C55" s="364">
        <v>22738</v>
      </c>
      <c r="D55" s="365">
        <v>4445</v>
      </c>
      <c r="E55" s="366">
        <v>46129</v>
      </c>
      <c r="F55" s="384" t="s">
        <v>236</v>
      </c>
      <c r="G55" s="365" t="s">
        <v>270</v>
      </c>
      <c r="H55" s="386"/>
      <c r="I55" s="386">
        <v>403.65</v>
      </c>
      <c r="J55" s="387">
        <v>46157</v>
      </c>
      <c r="K55" s="444">
        <v>46162</v>
      </c>
      <c r="L55" s="367">
        <v>403.65</v>
      </c>
      <c r="M55" s="416">
        <f>Tabela2246578910[[#This Row],[VENDA]]+Tabela2246578910[[#This Row],[MÃO DE OBRA]]-Tabela2246578910[[#This Row],[VALOR PAGO]]</f>
        <v>0</v>
      </c>
    </row>
    <row r="56" spans="2:13" ht="15" thickBot="1" x14ac:dyDescent="0.35">
      <c r="B56" s="408" t="s">
        <v>249</v>
      </c>
      <c r="C56" s="396">
        <v>858</v>
      </c>
      <c r="D56" s="409">
        <v>822</v>
      </c>
      <c r="E56" s="410">
        <v>46129</v>
      </c>
      <c r="F56" s="411" t="s">
        <v>264</v>
      </c>
      <c r="G56" s="409" t="s">
        <v>271</v>
      </c>
      <c r="H56" s="413">
        <f>7.07*1000/3</f>
        <v>2356.6666666666665</v>
      </c>
      <c r="I56" s="413"/>
      <c r="J56" s="414">
        <v>46143</v>
      </c>
      <c r="K56" s="427">
        <v>46146</v>
      </c>
      <c r="L56" s="415">
        <v>2356.66</v>
      </c>
      <c r="M56" s="416">
        <f>Tabela2246578910[[#This Row],[VENDA]]+Tabela2246578910[[#This Row],[MÃO DE OBRA]]-Tabela2246578910[[#This Row],[VALOR PAGO]]</f>
        <v>6.6666666666606034E-3</v>
      </c>
    </row>
    <row r="57" spans="2:13" ht="15" thickBot="1" x14ac:dyDescent="0.35">
      <c r="B57" s="424" t="s">
        <v>249</v>
      </c>
      <c r="C57" s="397">
        <v>858</v>
      </c>
      <c r="D57" s="406">
        <v>822</v>
      </c>
      <c r="E57" s="407">
        <v>46129</v>
      </c>
      <c r="F57" s="405" t="s">
        <v>264</v>
      </c>
      <c r="G57" s="406" t="s">
        <v>271</v>
      </c>
      <c r="H57" s="425">
        <f>7.07*1000/3</f>
        <v>2356.6666666666665</v>
      </c>
      <c r="I57" s="425"/>
      <c r="J57" s="428">
        <v>46150</v>
      </c>
      <c r="K57" s="429">
        <v>46150</v>
      </c>
      <c r="L57" s="430">
        <v>2356.66</v>
      </c>
      <c r="M57" s="416">
        <f>Tabela2246578910[[#This Row],[VENDA]]+Tabela2246578910[[#This Row],[MÃO DE OBRA]]-Tabela2246578910[[#This Row],[VALOR PAGO]]</f>
        <v>6.6666666666606034E-3</v>
      </c>
    </row>
    <row r="58" spans="2:13" ht="15" thickBot="1" x14ac:dyDescent="0.35">
      <c r="B58" s="424" t="s">
        <v>249</v>
      </c>
      <c r="C58" s="397">
        <v>858</v>
      </c>
      <c r="D58" s="406">
        <v>822</v>
      </c>
      <c r="E58" s="407">
        <v>46129</v>
      </c>
      <c r="F58" s="405" t="s">
        <v>264</v>
      </c>
      <c r="G58" s="406" t="s">
        <v>271</v>
      </c>
      <c r="H58" s="425">
        <f>7.07*1000/3</f>
        <v>2356.6666666666665</v>
      </c>
      <c r="I58" s="425"/>
      <c r="J58" s="428">
        <v>46157</v>
      </c>
      <c r="K58" s="429">
        <v>46156</v>
      </c>
      <c r="L58" s="430">
        <v>2356.66</v>
      </c>
      <c r="M58" s="416">
        <f>Tabela2246578910[[#This Row],[VENDA]]+Tabela2246578910[[#This Row],[MÃO DE OBRA]]-Tabela2246578910[[#This Row],[VALOR PAGO]]</f>
        <v>6.6666666666606034E-3</v>
      </c>
    </row>
    <row r="59" spans="2:13" ht="15" thickBot="1" x14ac:dyDescent="0.35">
      <c r="B59" s="363" t="s">
        <v>249</v>
      </c>
      <c r="C59" s="364">
        <v>22745</v>
      </c>
      <c r="D59" s="365">
        <v>4491</v>
      </c>
      <c r="E59" s="366">
        <v>46129</v>
      </c>
      <c r="F59" s="384" t="s">
        <v>317</v>
      </c>
      <c r="G59" s="365" t="s">
        <v>272</v>
      </c>
      <c r="H59" s="386">
        <v>7102.1</v>
      </c>
      <c r="I59" s="386"/>
      <c r="J59" s="387">
        <v>46143</v>
      </c>
      <c r="K59" s="444">
        <v>46146</v>
      </c>
      <c r="L59" s="367">
        <v>7102.1</v>
      </c>
      <c r="M59" s="388">
        <f>Tabela2246578910[[#This Row],[VENDA]]+Tabela2246578910[[#This Row],[MÃO DE OBRA]]-Tabela2246578910[[#This Row],[VALOR PAGO]]</f>
        <v>0</v>
      </c>
    </row>
    <row r="60" spans="2:13" ht="15" thickBot="1" x14ac:dyDescent="0.35">
      <c r="B60" s="408" t="s">
        <v>249</v>
      </c>
      <c r="C60" s="396">
        <v>865</v>
      </c>
      <c r="D60" s="409">
        <v>820</v>
      </c>
      <c r="E60" s="410">
        <v>46132</v>
      </c>
      <c r="F60" s="411" t="s">
        <v>339</v>
      </c>
      <c r="G60" s="409" t="s">
        <v>273</v>
      </c>
      <c r="H60" s="413">
        <v>1755</v>
      </c>
      <c r="I60" s="413"/>
      <c r="J60" s="414">
        <v>46143</v>
      </c>
      <c r="K60" s="427">
        <v>46154</v>
      </c>
      <c r="L60" s="415">
        <v>1755</v>
      </c>
      <c r="M60" s="416">
        <f>Tabela2246578910[[#This Row],[VENDA]]+Tabela2246578910[[#This Row],[MÃO DE OBRA]]-Tabela2246578910[[#This Row],[VALOR PAGO]]</f>
        <v>0</v>
      </c>
    </row>
    <row r="61" spans="2:13" ht="15" thickBot="1" x14ac:dyDescent="0.35">
      <c r="B61" s="424" t="s">
        <v>249</v>
      </c>
      <c r="C61" s="397">
        <v>865</v>
      </c>
      <c r="D61" s="406">
        <v>820</v>
      </c>
      <c r="E61" s="407">
        <v>46132</v>
      </c>
      <c r="F61" s="405" t="s">
        <v>339</v>
      </c>
      <c r="G61" s="406" t="s">
        <v>273</v>
      </c>
      <c r="H61" s="425">
        <v>1755</v>
      </c>
      <c r="I61" s="425"/>
      <c r="J61" s="428">
        <v>46150</v>
      </c>
      <c r="K61" s="429">
        <v>46154</v>
      </c>
      <c r="L61" s="430">
        <v>1755</v>
      </c>
      <c r="M61" s="416">
        <f>Tabela2246578910[[#This Row],[VENDA]]+Tabela2246578910[[#This Row],[MÃO DE OBRA]]-Tabela2246578910[[#This Row],[VALOR PAGO]]</f>
        <v>0</v>
      </c>
    </row>
    <row r="62" spans="2:13" ht="15" thickBot="1" x14ac:dyDescent="0.35">
      <c r="B62" s="431" t="s">
        <v>249</v>
      </c>
      <c r="C62" s="418">
        <v>865</v>
      </c>
      <c r="D62" s="432">
        <v>820</v>
      </c>
      <c r="E62" s="433">
        <v>46132</v>
      </c>
      <c r="F62" s="434" t="s">
        <v>339</v>
      </c>
      <c r="G62" s="432" t="s">
        <v>273</v>
      </c>
      <c r="H62" s="435">
        <v>1755</v>
      </c>
      <c r="I62" s="435"/>
      <c r="J62" s="436">
        <v>46157</v>
      </c>
      <c r="K62" s="437">
        <v>46154</v>
      </c>
      <c r="L62" s="438">
        <v>1755</v>
      </c>
      <c r="M62" s="416">
        <f>Tabela2246578910[[#This Row],[VENDA]]+Tabela2246578910[[#This Row],[MÃO DE OBRA]]-Tabela2246578910[[#This Row],[VALOR PAGO]]</f>
        <v>0</v>
      </c>
    </row>
    <row r="63" spans="2:13" ht="15" thickBot="1" x14ac:dyDescent="0.35">
      <c r="B63" s="363" t="s">
        <v>248</v>
      </c>
      <c r="C63" s="364">
        <v>22832</v>
      </c>
      <c r="D63" s="365">
        <v>4548</v>
      </c>
      <c r="E63" s="366">
        <v>46136</v>
      </c>
      <c r="F63" s="384" t="s">
        <v>236</v>
      </c>
      <c r="G63" s="365" t="s">
        <v>270</v>
      </c>
      <c r="H63" s="386"/>
      <c r="I63" s="386">
        <v>410.55</v>
      </c>
      <c r="J63" s="387">
        <v>46164</v>
      </c>
      <c r="K63" s="444">
        <v>46162</v>
      </c>
      <c r="L63" s="367">
        <v>410.55</v>
      </c>
      <c r="M63" s="416">
        <f>Tabela2246578910[[#This Row],[VENDA]]+Tabela2246578910[[#This Row],[MÃO DE OBRA]]-Tabela2246578910[[#This Row],[VALOR PAGO]]</f>
        <v>0</v>
      </c>
    </row>
    <row r="64" spans="2:13" ht="15" thickBot="1" x14ac:dyDescent="0.35">
      <c r="B64" s="363" t="s">
        <v>249</v>
      </c>
      <c r="C64" s="364">
        <v>22842</v>
      </c>
      <c r="D64" s="365">
        <v>4593</v>
      </c>
      <c r="E64" s="366">
        <v>46139</v>
      </c>
      <c r="F64" s="384" t="s">
        <v>354</v>
      </c>
      <c r="G64" s="365" t="s">
        <v>332</v>
      </c>
      <c r="H64" s="386">
        <v>8553.6</v>
      </c>
      <c r="I64" s="386"/>
      <c r="J64" s="387" t="s">
        <v>337</v>
      </c>
      <c r="K64" s="444">
        <v>46139</v>
      </c>
      <c r="L64" s="367">
        <v>8553.6</v>
      </c>
      <c r="M64" s="416">
        <f>Tabela2246578910[[#This Row],[VENDA]]+Tabela2246578910[[#This Row],[MÃO DE OBRA]]-Tabela2246578910[[#This Row],[VALOR PAGO]]</f>
        <v>0</v>
      </c>
    </row>
    <row r="65" spans="1:14" ht="15" thickBot="1" x14ac:dyDescent="0.35">
      <c r="B65" s="408" t="s">
        <v>248</v>
      </c>
      <c r="C65" s="396">
        <v>22845</v>
      </c>
      <c r="D65" s="409">
        <v>4558</v>
      </c>
      <c r="E65" s="410">
        <v>46139</v>
      </c>
      <c r="F65" s="411" t="s">
        <v>236</v>
      </c>
      <c r="G65" s="409" t="s">
        <v>270</v>
      </c>
      <c r="H65" s="413"/>
      <c r="I65" s="413">
        <v>407.1</v>
      </c>
      <c r="J65" s="414">
        <v>46167</v>
      </c>
      <c r="K65" s="427">
        <v>46162</v>
      </c>
      <c r="L65" s="415">
        <v>407.1</v>
      </c>
      <c r="M65" s="416">
        <f>Tabela2246578910[[#This Row],[VENDA]]+Tabela2246578910[[#This Row],[MÃO DE OBRA]]-Tabela2246578910[[#This Row],[VALOR PAGO]]</f>
        <v>0</v>
      </c>
    </row>
    <row r="66" spans="1:14" ht="15" thickBot="1" x14ac:dyDescent="0.35">
      <c r="B66" s="424" t="s">
        <v>248</v>
      </c>
      <c r="C66" s="397">
        <v>22845</v>
      </c>
      <c r="D66" s="406">
        <v>4558</v>
      </c>
      <c r="E66" s="407">
        <v>46139</v>
      </c>
      <c r="F66" s="405" t="s">
        <v>236</v>
      </c>
      <c r="G66" s="406" t="s">
        <v>270</v>
      </c>
      <c r="H66" s="425"/>
      <c r="I66" s="425">
        <v>407.1</v>
      </c>
      <c r="J66" s="428">
        <v>46174</v>
      </c>
      <c r="K66" s="429">
        <v>46178</v>
      </c>
      <c r="L66" s="430">
        <v>407.1</v>
      </c>
      <c r="M66" s="416">
        <f>Tabela2246578910[[#This Row],[VENDA]]+Tabela2246578910[[#This Row],[MÃO DE OBRA]]-Tabela2246578910[[#This Row],[VALOR PAGO]]</f>
        <v>0</v>
      </c>
    </row>
    <row r="67" spans="1:14" ht="15" thickBot="1" x14ac:dyDescent="0.35">
      <c r="B67" s="431" t="s">
        <v>248</v>
      </c>
      <c r="C67" s="418">
        <v>22845</v>
      </c>
      <c r="D67" s="432">
        <v>4558</v>
      </c>
      <c r="E67" s="433">
        <v>46139</v>
      </c>
      <c r="F67" s="434" t="s">
        <v>236</v>
      </c>
      <c r="G67" s="432" t="s">
        <v>270</v>
      </c>
      <c r="H67" s="435"/>
      <c r="I67" s="435">
        <v>407.1</v>
      </c>
      <c r="J67" s="436">
        <v>46181</v>
      </c>
      <c r="K67" s="437">
        <v>46188</v>
      </c>
      <c r="L67" s="438">
        <v>407.1</v>
      </c>
      <c r="M67" s="416">
        <f>Tabela2246578910[[#This Row],[VENDA]]+Tabela2246578910[[#This Row],[MÃO DE OBRA]]-Tabela2246578910[[#This Row],[VALOR PAGO]]</f>
        <v>0</v>
      </c>
    </row>
    <row r="68" spans="1:14" ht="15" thickBot="1" x14ac:dyDescent="0.35">
      <c r="B68" s="363" t="s">
        <v>248</v>
      </c>
      <c r="C68" s="364">
        <v>22867</v>
      </c>
      <c r="D68" s="365">
        <v>4557</v>
      </c>
      <c r="E68" s="366">
        <v>46139</v>
      </c>
      <c r="F68" s="384" t="s">
        <v>341</v>
      </c>
      <c r="G68" s="365" t="s">
        <v>270</v>
      </c>
      <c r="H68" s="386">
        <v>5279.1750000000002</v>
      </c>
      <c r="I68" s="386"/>
      <c r="J68" s="387">
        <v>46160</v>
      </c>
      <c r="K68" s="444">
        <v>46160</v>
      </c>
      <c r="L68" s="367">
        <v>5279.18</v>
      </c>
      <c r="M68" s="416">
        <f>Tabela2246578910[[#This Row],[VENDA]]+Tabela2246578910[[#This Row],[MÃO DE OBRA]]-Tabela2246578910[[#This Row],[VALOR PAGO]]</f>
        <v>-5.0000000001091394E-3</v>
      </c>
    </row>
    <row r="69" spans="1:14" ht="15" thickBot="1" x14ac:dyDescent="0.35">
      <c r="B69" s="408" t="s">
        <v>249</v>
      </c>
      <c r="C69" s="396">
        <v>885</v>
      </c>
      <c r="D69" s="409">
        <v>846</v>
      </c>
      <c r="E69" s="410">
        <v>46141</v>
      </c>
      <c r="F69" s="411" t="s">
        <v>264</v>
      </c>
      <c r="G69" s="409" t="s">
        <v>271</v>
      </c>
      <c r="H69" s="413">
        <v>1702.8</v>
      </c>
      <c r="I69" s="466"/>
      <c r="J69" s="414">
        <v>46154</v>
      </c>
      <c r="K69" s="427">
        <v>46154</v>
      </c>
      <c r="L69" s="416">
        <v>1702.8</v>
      </c>
      <c r="M69" s="416">
        <f>Tabela2246578910[[#This Row],[VENDA]]+Tabela2246578910[[#This Row],[MÃO DE OBRA]]-Tabela2246578910[[#This Row],[VALOR PAGO]]</f>
        <v>0</v>
      </c>
    </row>
    <row r="70" spans="1:14" ht="15" thickBot="1" x14ac:dyDescent="0.35">
      <c r="B70" s="152" t="s">
        <v>249</v>
      </c>
      <c r="C70" s="397">
        <v>885</v>
      </c>
      <c r="D70" s="406">
        <v>846</v>
      </c>
      <c r="E70" s="407">
        <v>46141</v>
      </c>
      <c r="F70" s="405" t="s">
        <v>264</v>
      </c>
      <c r="G70" s="406" t="s">
        <v>271</v>
      </c>
      <c r="H70" s="425">
        <v>1702.8</v>
      </c>
      <c r="I70" s="455"/>
      <c r="J70" s="428">
        <v>46161</v>
      </c>
      <c r="K70" s="429">
        <v>46161</v>
      </c>
      <c r="L70" s="426">
        <v>1702.8</v>
      </c>
      <c r="M70" s="416">
        <f>Tabela2246578910[[#This Row],[VENDA]]+Tabela2246578910[[#This Row],[MÃO DE OBRA]]-Tabela2246578910[[#This Row],[VALOR PAGO]]</f>
        <v>0</v>
      </c>
    </row>
    <row r="71" spans="1:14" ht="15" thickBot="1" x14ac:dyDescent="0.35">
      <c r="B71" s="431" t="s">
        <v>249</v>
      </c>
      <c r="C71" s="418">
        <v>885</v>
      </c>
      <c r="D71" s="432">
        <v>846</v>
      </c>
      <c r="E71" s="433">
        <v>46141</v>
      </c>
      <c r="F71" s="434" t="s">
        <v>264</v>
      </c>
      <c r="G71" s="432" t="s">
        <v>271</v>
      </c>
      <c r="H71" s="435">
        <v>1702.8</v>
      </c>
      <c r="I71" s="467"/>
      <c r="J71" s="436">
        <v>46168</v>
      </c>
      <c r="K71" s="429">
        <v>46168</v>
      </c>
      <c r="L71" s="439">
        <v>1702.8</v>
      </c>
      <c r="M71" s="416">
        <f>Tabela2246578910[[#This Row],[VENDA]]+Tabela2246578910[[#This Row],[MÃO DE OBRA]]-Tabela2246578910[[#This Row],[VALOR PAGO]]</f>
        <v>0</v>
      </c>
    </row>
    <row r="72" spans="1:14" ht="15" thickBot="1" x14ac:dyDescent="0.35">
      <c r="B72" s="408" t="s">
        <v>249</v>
      </c>
      <c r="C72" s="396">
        <v>22910</v>
      </c>
      <c r="D72" s="409">
        <v>4659</v>
      </c>
      <c r="E72" s="410">
        <v>46142</v>
      </c>
      <c r="F72" s="411" t="s">
        <v>365</v>
      </c>
      <c r="G72" s="409" t="s">
        <v>326</v>
      </c>
      <c r="H72" s="413">
        <v>1880</v>
      </c>
      <c r="I72" s="466"/>
      <c r="J72" s="414">
        <v>46157</v>
      </c>
      <c r="K72" s="427">
        <v>46157</v>
      </c>
      <c r="L72" s="415">
        <v>1880</v>
      </c>
      <c r="M72" s="416">
        <f>Tabela2246578910[[#This Row],[VENDA]]+Tabela2246578910[[#This Row],[MÃO DE OBRA]]-Tabela2246578910[[#This Row],[VALOR PAGO]]</f>
        <v>0</v>
      </c>
    </row>
    <row r="73" spans="1:14" ht="15" thickBot="1" x14ac:dyDescent="0.35">
      <c r="B73" s="424" t="s">
        <v>249</v>
      </c>
      <c r="C73" s="397">
        <v>22910</v>
      </c>
      <c r="D73" s="406">
        <v>4659</v>
      </c>
      <c r="E73" s="407">
        <v>46142</v>
      </c>
      <c r="F73" s="405" t="s">
        <v>365</v>
      </c>
      <c r="G73" s="406" t="s">
        <v>326</v>
      </c>
      <c r="H73" s="425">
        <v>1880</v>
      </c>
      <c r="I73" s="455"/>
      <c r="J73" s="428">
        <v>46172</v>
      </c>
      <c r="K73" s="429">
        <v>46174</v>
      </c>
      <c r="L73" s="430">
        <v>1880</v>
      </c>
      <c r="M73" s="416">
        <f>Tabela2246578910[[#This Row],[VENDA]]+Tabela2246578910[[#This Row],[MÃO DE OBRA]]-Tabela2246578910[[#This Row],[VALOR PAGO]]</f>
        <v>0</v>
      </c>
    </row>
    <row r="74" spans="1:14" ht="15" thickBot="1" x14ac:dyDescent="0.35">
      <c r="B74" s="431" t="s">
        <v>249</v>
      </c>
      <c r="C74" s="418">
        <v>22910</v>
      </c>
      <c r="D74" s="432">
        <v>4659</v>
      </c>
      <c r="E74" s="433">
        <v>46142</v>
      </c>
      <c r="F74" s="434" t="s">
        <v>365</v>
      </c>
      <c r="G74" s="432" t="s">
        <v>326</v>
      </c>
      <c r="H74" s="435">
        <v>1128</v>
      </c>
      <c r="I74" s="467"/>
      <c r="J74" s="436">
        <v>46187</v>
      </c>
      <c r="K74" s="437">
        <v>46188</v>
      </c>
      <c r="L74" s="438">
        <v>1128</v>
      </c>
      <c r="M74" s="388">
        <f>Tabela2246578910[[#This Row],[VENDA]]+Tabela2246578910[[#This Row],[MÃO DE OBRA]]-Tabela2246578910[[#This Row],[VALOR PAGO]]</f>
        <v>0</v>
      </c>
    </row>
    <row r="75" spans="1:14" x14ac:dyDescent="0.3">
      <c r="B75" s="424"/>
      <c r="C75" s="397"/>
      <c r="D75" s="406"/>
      <c r="E75" s="407"/>
      <c r="F75" s="405"/>
      <c r="G75" s="406"/>
      <c r="H75" s="455"/>
      <c r="I75" s="455"/>
      <c r="J75" s="428"/>
      <c r="K75" s="406"/>
      <c r="L75" s="430"/>
      <c r="M75" s="426">
        <f>Tabela2246578910[[#This Row],[VENDA]]+Tabela2246578910[[#This Row],[MÃO DE OBRA]]-Tabela2246578910[[#This Row],[VALOR PAGO]]</f>
        <v>0</v>
      </c>
    </row>
    <row r="76" spans="1:14" ht="15" thickBot="1" x14ac:dyDescent="0.35">
      <c r="B76" s="241"/>
      <c r="C76" s="126"/>
      <c r="D76" s="126"/>
      <c r="E76" s="126"/>
      <c r="F76" s="126"/>
      <c r="G76" s="126"/>
      <c r="H76" s="252"/>
      <c r="I76" s="252"/>
      <c r="J76" s="125"/>
      <c r="K76" s="126"/>
      <c r="L76" s="247"/>
      <c r="M76" s="327">
        <f>Tabela2246578910[[#This Row],[VENDA]]+Tabela2246578910[[#This Row],[MÃO DE OBRA]]-Tabela2246578910[[#This Row],[VALOR PAGO]]</f>
        <v>0</v>
      </c>
    </row>
    <row r="77" spans="1:14" ht="13.8" customHeight="1" thickBot="1" x14ac:dyDescent="0.35">
      <c r="B77" s="417"/>
      <c r="C77" s="126"/>
      <c r="D77" s="126"/>
      <c r="E77" s="126"/>
      <c r="F77" s="126"/>
      <c r="G77" s="126"/>
      <c r="H77" s="391"/>
      <c r="I77" s="391"/>
      <c r="J77" s="125"/>
      <c r="K77" s="126"/>
      <c r="L77" s="247"/>
      <c r="M77" s="327"/>
      <c r="N77" t="s">
        <v>373</v>
      </c>
    </row>
    <row r="78" spans="1:14" ht="18.600000000000001" thickBot="1" x14ac:dyDescent="0.4">
      <c r="B78" s="679" t="s">
        <v>257</v>
      </c>
      <c r="C78" s="680"/>
      <c r="D78" s="400">
        <f>Tabela2246578910[[#Totals],[VENDA]]</f>
        <v>0</v>
      </c>
      <c r="E78" s="264"/>
      <c r="F78" s="401"/>
      <c r="G78" s="402"/>
      <c r="H78" s="403">
        <f>SUM(H21:H77)</f>
        <v>103561.65500000001</v>
      </c>
      <c r="I78" s="448">
        <f>SUM(Tabela2246578910[MÃO DE OBRA])</f>
        <v>9674.5590000000011</v>
      </c>
      <c r="J78" s="264"/>
      <c r="K78" s="264"/>
      <c r="L78" s="264"/>
      <c r="M78" s="404"/>
    </row>
    <row r="79" spans="1:14" ht="18.600000000000001" thickBot="1" x14ac:dyDescent="0.4">
      <c r="B79" s="662" t="s">
        <v>258</v>
      </c>
      <c r="C79" s="663"/>
      <c r="D79" s="266">
        <f>Tabela2246578910[[#Totals],[MÃO DE OBRA]]</f>
        <v>0</v>
      </c>
      <c r="E79" s="267"/>
      <c r="F79" s="323"/>
      <c r="G79" s="324"/>
      <c r="H79" s="269"/>
      <c r="I79" s="270"/>
      <c r="J79" s="267"/>
      <c r="K79" s="267"/>
      <c r="L79" s="267"/>
      <c r="M79" s="271"/>
    </row>
    <row r="80" spans="1:14" ht="19.8" customHeight="1" thickBot="1" x14ac:dyDescent="0.45">
      <c r="A80" s="106"/>
      <c r="B80" s="272" t="s">
        <v>259</v>
      </c>
      <c r="C80" s="664">
        <f>SUM(D78+D79)</f>
        <v>0</v>
      </c>
      <c r="D80" s="665"/>
      <c r="E80" s="273"/>
      <c r="F80" s="642" t="s">
        <v>260</v>
      </c>
      <c r="G80" s="642"/>
      <c r="H80" s="642">
        <f>SUM(Tabela2246578910[VALOR PAGO])</f>
        <v>113236.26000000002</v>
      </c>
      <c r="I80" s="642"/>
      <c r="J80" s="666" t="s">
        <v>261</v>
      </c>
      <c r="K80" s="666"/>
      <c r="L80" s="642">
        <f>SUM(Tabela2246578910[VALOR EM ABERTO])</f>
        <v>-4.5999999999878582E-2</v>
      </c>
      <c r="M80" s="643"/>
    </row>
  </sheetData>
  <mergeCells count="12">
    <mergeCell ref="L80:M80"/>
    <mergeCell ref="B2:M3"/>
    <mergeCell ref="B4:B5"/>
    <mergeCell ref="C4:G4"/>
    <mergeCell ref="H4:M4"/>
    <mergeCell ref="B19:C19"/>
    <mergeCell ref="B78:C78"/>
    <mergeCell ref="B79:C79"/>
    <mergeCell ref="C80:D80"/>
    <mergeCell ref="F80:G80"/>
    <mergeCell ref="H80:I80"/>
    <mergeCell ref="J80:K80"/>
  </mergeCells>
  <pageMargins left="0.11811023622047245" right="0.51181102362204722" top="0.19685039370078741" bottom="0.19685039370078741" header="0" footer="0"/>
  <pageSetup paperSize="9" scale="70" orientation="landscape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E9A0-E42B-46D8-9EDE-3AB113808DFA}">
  <dimension ref="A1:T84"/>
  <sheetViews>
    <sheetView showGridLines="0" topLeftCell="A57" zoomScale="110" zoomScaleNormal="110" workbookViewId="0">
      <selection activeCell="G54" sqref="G54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7.33203125" customWidth="1"/>
    <col min="7" max="10" width="14.77734375" customWidth="1"/>
    <col min="11" max="11" width="15.77734375" customWidth="1"/>
    <col min="12" max="13" width="14.77734375" customWidth="1"/>
    <col min="14" max="14" width="96.77734375" bestFit="1" customWidth="1"/>
  </cols>
  <sheetData>
    <row r="1" spans="1:20" ht="16.8" customHeight="1" thickBot="1" x14ac:dyDescent="0.35"/>
    <row r="2" spans="1:20" ht="14.4" customHeight="1" x14ac:dyDescent="0.5">
      <c r="A2" s="54"/>
      <c r="B2" s="644" t="s">
        <v>239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6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47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52" t="s">
        <v>248</v>
      </c>
      <c r="D4" s="653"/>
      <c r="E4" s="653"/>
      <c r="F4" s="653"/>
      <c r="G4" s="654"/>
      <c r="H4" s="655" t="s">
        <v>249</v>
      </c>
      <c r="I4" s="656"/>
      <c r="J4" s="656"/>
      <c r="K4" s="656"/>
      <c r="L4" s="656"/>
      <c r="M4" s="657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369">
        <v>126073.37</v>
      </c>
      <c r="D6" s="370">
        <v>270562.53000000003</v>
      </c>
      <c r="E6" s="371">
        <v>49887.66</v>
      </c>
      <c r="F6" s="370">
        <f>Tabela224657[[#Totals],[VENDA]]+Tabela224657[[#Totals],[MÃO DE OBRA]]</f>
        <v>50516.042000000001</v>
      </c>
      <c r="G6" s="372">
        <v>0</v>
      </c>
      <c r="H6" s="370">
        <v>0</v>
      </c>
      <c r="I6" s="372">
        <v>0</v>
      </c>
      <c r="J6" s="370">
        <v>0</v>
      </c>
      <c r="K6" s="372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373">
        <v>166235.96</v>
      </c>
      <c r="D7" s="374">
        <v>324984.96999999997</v>
      </c>
      <c r="E7" s="97">
        <v>15513.83</v>
      </c>
      <c r="F7" s="374">
        <f>Tabela2246578[[#Totals],[VENDA]]+Tabela2246578[[#Totals],[MÃO DE OBRA]]</f>
        <v>65390.11</v>
      </c>
      <c r="G7" s="375">
        <v>0</v>
      </c>
      <c r="H7" s="374">
        <v>0</v>
      </c>
      <c r="I7" s="375">
        <v>0</v>
      </c>
      <c r="J7" s="374">
        <v>0</v>
      </c>
      <c r="K7" s="375">
        <v>0</v>
      </c>
      <c r="L7" s="374">
        <v>0</v>
      </c>
      <c r="M7" s="375">
        <v>0</v>
      </c>
    </row>
    <row r="8" spans="1:20" ht="12" customHeight="1" x14ac:dyDescent="0.3">
      <c r="A8" s="54"/>
      <c r="B8" s="201" t="s">
        <v>216</v>
      </c>
      <c r="C8" s="369">
        <v>119814.85</v>
      </c>
      <c r="D8" s="370">
        <v>256001.57</v>
      </c>
      <c r="E8" s="376">
        <v>32410.22</v>
      </c>
      <c r="F8" s="370">
        <f>'Março 2026'!H109+'Março 2026'!I109</f>
        <v>360332.84000000026</v>
      </c>
      <c r="G8" s="372">
        <v>0</v>
      </c>
      <c r="H8" s="370">
        <v>0</v>
      </c>
      <c r="I8" s="372">
        <v>0</v>
      </c>
      <c r="J8" s="370">
        <v>0</v>
      </c>
      <c r="K8" s="372">
        <v>0</v>
      </c>
      <c r="L8" s="370">
        <v>0</v>
      </c>
      <c r="M8" s="372">
        <v>0</v>
      </c>
    </row>
    <row r="9" spans="1:20" ht="12" customHeight="1" x14ac:dyDescent="0.3">
      <c r="A9" s="54"/>
      <c r="B9" s="208" t="s">
        <v>217</v>
      </c>
      <c r="C9" s="373">
        <v>112668.22</v>
      </c>
      <c r="D9" s="374">
        <v>136419.94</v>
      </c>
      <c r="E9" s="97">
        <v>23117.53</v>
      </c>
      <c r="F9" s="374">
        <f>'Abril 2026'!H78+'Abril 2026'!I78</f>
        <v>113236.21400000001</v>
      </c>
      <c r="G9" s="375">
        <v>0</v>
      </c>
      <c r="H9" s="374">
        <v>0</v>
      </c>
      <c r="I9" s="375">
        <v>0</v>
      </c>
      <c r="J9" s="374">
        <v>0</v>
      </c>
      <c r="K9" s="375">
        <v>0</v>
      </c>
      <c r="L9" s="374">
        <v>0</v>
      </c>
      <c r="M9" s="375">
        <v>0</v>
      </c>
    </row>
    <row r="10" spans="1:20" ht="12" customHeight="1" x14ac:dyDescent="0.3">
      <c r="A10" s="54"/>
      <c r="B10" s="201" t="s">
        <v>218</v>
      </c>
      <c r="C10" s="369">
        <v>39597.94</v>
      </c>
      <c r="D10" s="370">
        <v>57014.400000000001</v>
      </c>
      <c r="E10" s="376">
        <v>11710.4</v>
      </c>
      <c r="F10" s="370">
        <f>H82+I82</f>
        <v>107479.18499999997</v>
      </c>
      <c r="G10" s="372">
        <v>0</v>
      </c>
      <c r="H10" s="370">
        <v>0</v>
      </c>
      <c r="I10" s="372">
        <v>0</v>
      </c>
      <c r="J10" s="370">
        <v>0</v>
      </c>
      <c r="K10" s="372">
        <v>0</v>
      </c>
      <c r="L10" s="370">
        <v>0</v>
      </c>
      <c r="M10" s="372">
        <v>0</v>
      </c>
    </row>
    <row r="11" spans="1:20" ht="12" customHeight="1" x14ac:dyDescent="0.3">
      <c r="A11" s="54"/>
      <c r="B11" s="208" t="s">
        <v>219</v>
      </c>
      <c r="C11" s="373">
        <v>77419.240000000005</v>
      </c>
      <c r="D11" s="374">
        <v>259261.92</v>
      </c>
      <c r="E11" s="97">
        <v>32986.86</v>
      </c>
      <c r="F11" s="374">
        <v>0</v>
      </c>
      <c r="G11" s="375">
        <v>0</v>
      </c>
      <c r="H11" s="374">
        <v>0</v>
      </c>
      <c r="I11" s="375">
        <v>0</v>
      </c>
      <c r="J11" s="374">
        <v>0</v>
      </c>
      <c r="K11" s="375">
        <v>0</v>
      </c>
      <c r="L11" s="374">
        <v>0</v>
      </c>
      <c r="M11" s="375">
        <v>0</v>
      </c>
    </row>
    <row r="12" spans="1:20" ht="12" customHeight="1" x14ac:dyDescent="0.3">
      <c r="A12" s="54"/>
      <c r="B12" s="201" t="s">
        <v>220</v>
      </c>
      <c r="C12" s="369">
        <v>74963.62</v>
      </c>
      <c r="D12" s="370">
        <v>191964.91</v>
      </c>
      <c r="E12" s="376">
        <v>8086.81</v>
      </c>
      <c r="F12" s="370">
        <v>0</v>
      </c>
      <c r="G12" s="372">
        <v>0</v>
      </c>
      <c r="H12" s="370">
        <v>0</v>
      </c>
      <c r="I12" s="372">
        <v>0</v>
      </c>
      <c r="J12" s="370">
        <v>0</v>
      </c>
      <c r="K12" s="372">
        <v>0</v>
      </c>
      <c r="L12" s="370">
        <v>0</v>
      </c>
      <c r="M12" s="372">
        <v>0</v>
      </c>
    </row>
    <row r="13" spans="1:20" ht="12" customHeight="1" x14ac:dyDescent="0.3">
      <c r="A13" s="54"/>
      <c r="B13" s="208" t="s">
        <v>221</v>
      </c>
      <c r="C13" s="373">
        <v>152485.66</v>
      </c>
      <c r="D13" s="374">
        <v>273158.84999999998</v>
      </c>
      <c r="E13" s="97">
        <v>22122.22</v>
      </c>
      <c r="F13" s="374">
        <v>0</v>
      </c>
      <c r="G13" s="375">
        <v>0</v>
      </c>
      <c r="H13" s="374">
        <v>0</v>
      </c>
      <c r="I13" s="375">
        <v>0</v>
      </c>
      <c r="J13" s="374">
        <v>0</v>
      </c>
      <c r="K13" s="375">
        <v>0</v>
      </c>
      <c r="L13" s="374">
        <v>0</v>
      </c>
      <c r="M13" s="375">
        <v>0</v>
      </c>
    </row>
    <row r="14" spans="1:20" ht="12" customHeight="1" x14ac:dyDescent="0.3">
      <c r="A14" s="54"/>
      <c r="B14" s="201" t="s">
        <v>211</v>
      </c>
      <c r="C14" s="369">
        <v>171282.48</v>
      </c>
      <c r="D14" s="370">
        <v>63159.51</v>
      </c>
      <c r="E14" s="376">
        <v>36466.42</v>
      </c>
      <c r="F14" s="370">
        <v>0</v>
      </c>
      <c r="G14" s="372">
        <v>0</v>
      </c>
      <c r="H14" s="370">
        <v>0</v>
      </c>
      <c r="I14" s="372">
        <v>0</v>
      </c>
      <c r="J14" s="370">
        <v>0</v>
      </c>
      <c r="K14" s="372">
        <v>0</v>
      </c>
      <c r="L14" s="370">
        <v>0</v>
      </c>
      <c r="M14" s="372">
        <v>0</v>
      </c>
    </row>
    <row r="15" spans="1:20" ht="12" customHeight="1" x14ac:dyDescent="0.3">
      <c r="A15" s="54"/>
      <c r="B15" s="208" t="s">
        <v>222</v>
      </c>
      <c r="C15" s="373">
        <v>168433.06</v>
      </c>
      <c r="D15" s="374">
        <v>53077.38</v>
      </c>
      <c r="E15" s="97">
        <v>99828</v>
      </c>
      <c r="F15" s="374">
        <v>0</v>
      </c>
      <c r="G15" s="375">
        <v>0</v>
      </c>
      <c r="H15" s="374"/>
      <c r="I15" s="375">
        <v>0</v>
      </c>
      <c r="J15" s="374">
        <v>0</v>
      </c>
      <c r="K15" s="375">
        <v>0</v>
      </c>
      <c r="L15" s="374">
        <v>0</v>
      </c>
      <c r="M15" s="375">
        <v>0</v>
      </c>
    </row>
    <row r="16" spans="1:20" ht="12" customHeight="1" x14ac:dyDescent="0.3">
      <c r="A16" s="54"/>
      <c r="B16" s="201" t="s">
        <v>212</v>
      </c>
      <c r="C16" s="369">
        <v>155757.68</v>
      </c>
      <c r="D16" s="370">
        <v>15517.44</v>
      </c>
      <c r="E16" s="376">
        <f>Tabela2246[[#Totals],[VENDA]]+Tabela2246[[#Totals],[MÃO DE OBRA]]</f>
        <v>381690.36000000004</v>
      </c>
      <c r="F16" s="370">
        <v>0</v>
      </c>
      <c r="G16" s="372">
        <v>0</v>
      </c>
      <c r="H16" s="370">
        <v>0</v>
      </c>
      <c r="I16" s="372">
        <v>0</v>
      </c>
      <c r="J16" s="370">
        <v>0</v>
      </c>
      <c r="K16" s="372">
        <v>0</v>
      </c>
      <c r="L16" s="370">
        <v>0</v>
      </c>
      <c r="M16" s="372">
        <v>0</v>
      </c>
    </row>
    <row r="17" spans="1:14" ht="12" customHeight="1" thickBot="1" x14ac:dyDescent="0.35">
      <c r="A17" s="54"/>
      <c r="B17" s="214" t="s">
        <v>213</v>
      </c>
      <c r="C17" s="377">
        <v>163379.07999999999</v>
      </c>
      <c r="D17" s="377">
        <v>9580.01</v>
      </c>
      <c r="E17" s="377">
        <f>Tabela22465[[#Totals],[VENDA]]+Tabela22465[[#Totals],[MÃO DE OBRA]]</f>
        <v>148680.26</v>
      </c>
      <c r="F17" s="378">
        <v>0</v>
      </c>
      <c r="G17" s="378">
        <v>0</v>
      </c>
      <c r="H17" s="378">
        <v>0</v>
      </c>
      <c r="I17" s="379">
        <v>0</v>
      </c>
      <c r="J17" s="378">
        <v>0</v>
      </c>
      <c r="K17" s="379">
        <v>0</v>
      </c>
      <c r="L17" s="378">
        <v>0</v>
      </c>
      <c r="M17" s="378">
        <v>0</v>
      </c>
    </row>
    <row r="18" spans="1:14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862500.57000000007</v>
      </c>
      <c r="F18" s="221">
        <f>SUM(F6:F17)</f>
        <v>696954.39100000018</v>
      </c>
      <c r="G18" s="222">
        <v>0</v>
      </c>
      <c r="H18" s="221">
        <f>SUM(H6:H17)</f>
        <v>0</v>
      </c>
      <c r="I18" s="222">
        <v>0</v>
      </c>
      <c r="J18" s="223">
        <f>SUM(J6:J17)</f>
        <v>0</v>
      </c>
      <c r="K18" s="224">
        <v>0</v>
      </c>
      <c r="L18" s="380">
        <f>SUM(L6:L17)</f>
        <v>0</v>
      </c>
      <c r="M18" s="222">
        <v>0</v>
      </c>
    </row>
    <row r="19" spans="1:14" ht="15" customHeight="1" thickBot="1" x14ac:dyDescent="0.35">
      <c r="B19" s="658" t="s">
        <v>274</v>
      </c>
      <c r="C19" s="659"/>
      <c r="D19" s="226">
        <f>SUM(I18+F18)</f>
        <v>696954.39100000018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4" ht="27.6" customHeight="1" thickBot="1" x14ac:dyDescent="0.35">
      <c r="A20" s="54"/>
      <c r="B20" s="398" t="s">
        <v>251</v>
      </c>
      <c r="C20" s="68" t="s">
        <v>223</v>
      </c>
      <c r="D20" s="69" t="s">
        <v>232</v>
      </c>
      <c r="E20" s="70" t="s">
        <v>224</v>
      </c>
      <c r="F20" s="69" t="s">
        <v>225</v>
      </c>
      <c r="G20" s="69" t="s">
        <v>268</v>
      </c>
      <c r="H20" s="69" t="s">
        <v>226</v>
      </c>
      <c r="I20" s="69" t="s">
        <v>227</v>
      </c>
      <c r="J20" s="69" t="s">
        <v>228</v>
      </c>
      <c r="K20" s="70" t="s">
        <v>229</v>
      </c>
      <c r="L20" s="69" t="s">
        <v>252</v>
      </c>
      <c r="M20" s="399" t="s">
        <v>230</v>
      </c>
      <c r="N20" s="390" t="s">
        <v>321</v>
      </c>
    </row>
    <row r="21" spans="1:14" ht="14.4" customHeight="1" thickBot="1" x14ac:dyDescent="0.35">
      <c r="B21" s="152"/>
      <c r="C21" s="236"/>
      <c r="D21" s="236"/>
      <c r="E21" s="237">
        <v>46146</v>
      </c>
      <c r="F21" s="236" t="s">
        <v>371</v>
      </c>
      <c r="G21" s="236"/>
      <c r="H21" s="311">
        <v>4590.5</v>
      </c>
      <c r="I21" s="311"/>
      <c r="J21" s="310">
        <v>46160</v>
      </c>
      <c r="K21" s="237">
        <v>46146</v>
      </c>
      <c r="L21" s="255">
        <f>2295.25+2295.25</f>
        <v>4590.5</v>
      </c>
      <c r="M21" s="302">
        <f>Tabela224657891011[[#This Row],[VENDA]]+Tabela224657891011[[#This Row],[MÃO DE OBRA]]-Tabela224657891011[[#This Row],[VALOR PAGO]]</f>
        <v>0</v>
      </c>
      <c r="N21" t="s">
        <v>374</v>
      </c>
    </row>
    <row r="22" spans="1:14" s="383" customFormat="1" x14ac:dyDescent="0.3">
      <c r="B22" s="408" t="s">
        <v>248</v>
      </c>
      <c r="C22" s="396">
        <v>22964</v>
      </c>
      <c r="D22" s="554">
        <v>4669</v>
      </c>
      <c r="E22" s="410">
        <v>46146</v>
      </c>
      <c r="F22" s="411" t="s">
        <v>236</v>
      </c>
      <c r="G22" s="409" t="s">
        <v>270</v>
      </c>
      <c r="H22" s="412"/>
      <c r="I22" s="413">
        <v>407.1</v>
      </c>
      <c r="J22" s="414">
        <v>46174</v>
      </c>
      <c r="K22" s="427">
        <v>46178</v>
      </c>
      <c r="L22" s="415">
        <v>407.1</v>
      </c>
      <c r="M22" s="416">
        <f>Tabela224657891011[[#This Row],[VENDA]]+Tabela224657891011[[#This Row],[MÃO DE OBRA]]-Tabela224657891011[[#This Row],[VALOR PAGO]]</f>
        <v>0</v>
      </c>
    </row>
    <row r="23" spans="1:14" ht="15" thickBot="1" x14ac:dyDescent="0.35">
      <c r="B23" s="431" t="s">
        <v>248</v>
      </c>
      <c r="C23" s="418">
        <v>22964</v>
      </c>
      <c r="D23" s="555">
        <v>4669</v>
      </c>
      <c r="E23" s="433">
        <v>46146</v>
      </c>
      <c r="F23" s="434" t="s">
        <v>236</v>
      </c>
      <c r="G23" s="432" t="s">
        <v>270</v>
      </c>
      <c r="H23" s="548"/>
      <c r="I23" s="435">
        <v>407.1</v>
      </c>
      <c r="J23" s="436">
        <v>46181</v>
      </c>
      <c r="K23" s="437">
        <v>46188</v>
      </c>
      <c r="L23" s="438">
        <v>407.1</v>
      </c>
      <c r="M23" s="439">
        <f>Tabela224657891011[[#This Row],[VENDA]]+Tabela224657891011[[#This Row],[MÃO DE OBRA]]-Tabela224657891011[[#This Row],[VALOR PAGO]]</f>
        <v>0</v>
      </c>
    </row>
    <row r="24" spans="1:14" x14ac:dyDescent="0.3">
      <c r="B24" s="408" t="s">
        <v>249</v>
      </c>
      <c r="C24" s="396">
        <v>900</v>
      </c>
      <c r="D24" s="409">
        <v>871</v>
      </c>
      <c r="E24" s="410">
        <v>46148</v>
      </c>
      <c r="F24" s="411" t="s">
        <v>264</v>
      </c>
      <c r="G24" s="409" t="s">
        <v>271</v>
      </c>
      <c r="H24" s="311">
        <v>1602.53</v>
      </c>
      <c r="I24" s="413"/>
      <c r="J24" s="414">
        <v>46162</v>
      </c>
      <c r="K24" s="427">
        <v>46162</v>
      </c>
      <c r="L24" s="415">
        <v>1602.53</v>
      </c>
      <c r="M24" s="416">
        <f>Tabela224657891011[[#This Row],[VENDA]]+Tabela224657891011[[#This Row],[MÃO DE OBRA]]-Tabela224657891011[[#This Row],[VALOR PAGO]]</f>
        <v>0</v>
      </c>
    </row>
    <row r="25" spans="1:14" x14ac:dyDescent="0.3">
      <c r="B25" s="553" t="s">
        <v>249</v>
      </c>
      <c r="C25" s="397">
        <v>900</v>
      </c>
      <c r="D25" s="406">
        <v>871</v>
      </c>
      <c r="E25" s="407">
        <v>46148</v>
      </c>
      <c r="F25" s="405" t="s">
        <v>264</v>
      </c>
      <c r="G25" s="406" t="s">
        <v>271</v>
      </c>
      <c r="H25" s="425">
        <v>1602.53</v>
      </c>
      <c r="I25" s="425"/>
      <c r="J25" s="428">
        <v>46169</v>
      </c>
      <c r="K25" s="429">
        <v>46167</v>
      </c>
      <c r="L25" s="430">
        <v>1602.53</v>
      </c>
      <c r="M25" s="426">
        <f>Tabela224657891011[[#This Row],[VENDA]]+Tabela224657891011[[#This Row],[MÃO DE OBRA]]-Tabela224657891011[[#This Row],[VALOR PAGO]]</f>
        <v>0</v>
      </c>
    </row>
    <row r="26" spans="1:14" ht="15" thickBot="1" x14ac:dyDescent="0.35">
      <c r="B26" s="431" t="s">
        <v>249</v>
      </c>
      <c r="C26" s="418">
        <v>900</v>
      </c>
      <c r="D26" s="432">
        <v>871</v>
      </c>
      <c r="E26" s="433">
        <v>46148</v>
      </c>
      <c r="F26" s="434" t="s">
        <v>264</v>
      </c>
      <c r="G26" s="432" t="s">
        <v>271</v>
      </c>
      <c r="H26" s="435">
        <v>1602.54</v>
      </c>
      <c r="I26" s="435"/>
      <c r="J26" s="436">
        <v>46176</v>
      </c>
      <c r="K26" s="437">
        <v>46175</v>
      </c>
      <c r="L26" s="438">
        <v>1602.53</v>
      </c>
      <c r="M26" s="439">
        <f>Tabela224657891011[[#This Row],[VENDA]]+Tabela224657891011[[#This Row],[MÃO DE OBRA]]-Tabela224657891011[[#This Row],[VALOR PAGO]]</f>
        <v>9.9999999999909051E-3</v>
      </c>
    </row>
    <row r="27" spans="1:14" ht="15" thickBot="1" x14ac:dyDescent="0.35">
      <c r="B27" s="363" t="s">
        <v>248</v>
      </c>
      <c r="C27" s="364">
        <v>23021</v>
      </c>
      <c r="D27" s="365">
        <v>4681</v>
      </c>
      <c r="E27" s="366">
        <v>46148</v>
      </c>
      <c r="F27" s="384" t="s">
        <v>236</v>
      </c>
      <c r="G27" s="365" t="s">
        <v>270</v>
      </c>
      <c r="H27" s="386"/>
      <c r="I27" s="386">
        <v>526.12</v>
      </c>
      <c r="J27" s="387">
        <v>46183</v>
      </c>
      <c r="K27" s="444">
        <v>46178</v>
      </c>
      <c r="L27" s="367">
        <v>526.12</v>
      </c>
      <c r="M27" s="388">
        <f>Tabela224657891011[[#This Row],[VENDA]]+Tabela224657891011[[#This Row],[MÃO DE OBRA]]-Tabela224657891011[[#This Row],[VALOR PAGO]]</f>
        <v>0</v>
      </c>
    </row>
    <row r="28" spans="1:14" ht="15" thickBot="1" x14ac:dyDescent="0.35">
      <c r="B28" s="363" t="s">
        <v>248</v>
      </c>
      <c r="C28" s="364">
        <v>23022</v>
      </c>
      <c r="D28" s="365">
        <v>4680</v>
      </c>
      <c r="E28" s="366">
        <v>46148</v>
      </c>
      <c r="F28" s="384" t="s">
        <v>236</v>
      </c>
      <c r="G28" s="365" t="s">
        <v>270</v>
      </c>
      <c r="H28" s="386"/>
      <c r="I28" s="386">
        <v>403.64</v>
      </c>
      <c r="J28" s="387">
        <v>46183</v>
      </c>
      <c r="K28" s="444">
        <v>46178</v>
      </c>
      <c r="L28" s="367">
        <v>403.66</v>
      </c>
      <c r="M28" s="388">
        <f>Tabela224657891011[[#This Row],[VENDA]]+Tabela224657891011[[#This Row],[MÃO DE OBRA]]-Tabela224657891011[[#This Row],[VALOR PAGO]]</f>
        <v>-2.0000000000038654E-2</v>
      </c>
    </row>
    <row r="29" spans="1:14" ht="15" thickBot="1" x14ac:dyDescent="0.35">
      <c r="B29" s="408" t="s">
        <v>248</v>
      </c>
      <c r="C29" s="396">
        <v>23072</v>
      </c>
      <c r="D29" s="409">
        <v>4717</v>
      </c>
      <c r="E29" s="410">
        <v>46150</v>
      </c>
      <c r="F29" s="411" t="s">
        <v>236</v>
      </c>
      <c r="G29" s="409" t="s">
        <v>270</v>
      </c>
      <c r="H29" s="413"/>
      <c r="I29" s="413">
        <v>1001.65</v>
      </c>
      <c r="J29" s="414">
        <v>46178</v>
      </c>
      <c r="K29" s="427">
        <v>46188</v>
      </c>
      <c r="L29" s="438">
        <v>1001.65</v>
      </c>
      <c r="M29" s="416">
        <f>Tabela224657891011[[#This Row],[VENDA]]+Tabela224657891011[[#This Row],[MÃO DE OBRA]]-Tabela224657891011[[#This Row],[VALOR PAGO]]</f>
        <v>0</v>
      </c>
    </row>
    <row r="30" spans="1:14" x14ac:dyDescent="0.3">
      <c r="B30" s="424" t="s">
        <v>248</v>
      </c>
      <c r="C30" s="397">
        <v>23072</v>
      </c>
      <c r="D30" s="406">
        <v>4717</v>
      </c>
      <c r="E30" s="407">
        <v>46150</v>
      </c>
      <c r="F30" s="405" t="s">
        <v>236</v>
      </c>
      <c r="G30" s="406" t="s">
        <v>270</v>
      </c>
      <c r="H30" s="425"/>
      <c r="I30" s="425">
        <v>1001.645</v>
      </c>
      <c r="J30" s="428">
        <v>46185</v>
      </c>
      <c r="K30" s="429">
        <v>46188</v>
      </c>
      <c r="L30" s="430">
        <v>1001.65</v>
      </c>
      <c r="M30" s="426">
        <f>Tabela224657891011[[#This Row],[VENDA]]+Tabela224657891011[[#This Row],[MÃO DE OBRA]]-Tabela224657891011[[#This Row],[VALOR PAGO]]</f>
        <v>-4.9999999999954525E-3</v>
      </c>
    </row>
    <row r="31" spans="1:14" ht="15" thickBot="1" x14ac:dyDescent="0.35">
      <c r="B31" s="431" t="s">
        <v>248</v>
      </c>
      <c r="C31" s="418">
        <v>23072</v>
      </c>
      <c r="D31" s="432">
        <v>4717</v>
      </c>
      <c r="E31" s="433">
        <v>46150</v>
      </c>
      <c r="F31" s="434" t="s">
        <v>236</v>
      </c>
      <c r="G31" s="432" t="s">
        <v>270</v>
      </c>
      <c r="H31" s="435"/>
      <c r="I31" s="435">
        <v>1001.64</v>
      </c>
      <c r="J31" s="436">
        <v>46192</v>
      </c>
      <c r="K31" s="437">
        <v>46191</v>
      </c>
      <c r="L31" s="438">
        <v>1001.66</v>
      </c>
      <c r="M31" s="439">
        <f>Tabela224657891011[[#This Row],[VENDA]]+Tabela224657891011[[#This Row],[MÃO DE OBRA]]-Tabela224657891011[[#This Row],[VALOR PAGO]]</f>
        <v>-1.999999999998181E-2</v>
      </c>
    </row>
    <row r="32" spans="1:14" ht="15" thickBot="1" x14ac:dyDescent="0.35">
      <c r="B32" s="363" t="s">
        <v>249</v>
      </c>
      <c r="C32" s="364">
        <v>23068</v>
      </c>
      <c r="D32" s="365">
        <v>4781</v>
      </c>
      <c r="E32" s="366">
        <v>46150</v>
      </c>
      <c r="F32" s="384" t="s">
        <v>368</v>
      </c>
      <c r="G32" s="365" t="s">
        <v>272</v>
      </c>
      <c r="H32" s="386"/>
      <c r="I32" s="386">
        <v>109.75</v>
      </c>
      <c r="J32" s="387" t="s">
        <v>337</v>
      </c>
      <c r="K32" s="444">
        <v>46161</v>
      </c>
      <c r="L32" s="367">
        <v>109.75</v>
      </c>
      <c r="M32" s="388">
        <f>Tabela224657891011[[#This Row],[VENDA]]+Tabela224657891011[[#This Row],[MÃO DE OBRA]]-Tabela224657891011[[#This Row],[VALOR PAGO]]</f>
        <v>0</v>
      </c>
    </row>
    <row r="33" spans="2:13" x14ac:dyDescent="0.3">
      <c r="B33" s="234" t="s">
        <v>249</v>
      </c>
      <c r="C33" s="396">
        <v>23133</v>
      </c>
      <c r="D33" s="409">
        <v>4837</v>
      </c>
      <c r="E33" s="410">
        <v>46155</v>
      </c>
      <c r="F33" s="411" t="s">
        <v>264</v>
      </c>
      <c r="G33" s="409" t="s">
        <v>271</v>
      </c>
      <c r="H33" s="413">
        <v>2073.86</v>
      </c>
      <c r="I33" s="311"/>
      <c r="J33" s="414">
        <v>46176</v>
      </c>
      <c r="K33" s="427">
        <v>46176</v>
      </c>
      <c r="L33" s="415">
        <v>2073.86</v>
      </c>
      <c r="M33" s="416">
        <f>Tabela224657891011[[#This Row],[VENDA]]+Tabela224657891011[[#This Row],[MÃO DE OBRA]]-Tabela224657891011[[#This Row],[VALOR PAGO]]</f>
        <v>0</v>
      </c>
    </row>
    <row r="34" spans="2:13" x14ac:dyDescent="0.3">
      <c r="B34" s="424" t="s">
        <v>249</v>
      </c>
      <c r="C34" s="397">
        <v>23133</v>
      </c>
      <c r="D34" s="406">
        <v>4837</v>
      </c>
      <c r="E34" s="407">
        <v>46155</v>
      </c>
      <c r="F34" s="405" t="s">
        <v>264</v>
      </c>
      <c r="G34" s="406" t="s">
        <v>271</v>
      </c>
      <c r="H34" s="425">
        <v>2073.87</v>
      </c>
      <c r="I34" s="248"/>
      <c r="J34" s="428">
        <v>46183</v>
      </c>
      <c r="K34" s="429">
        <v>46183</v>
      </c>
      <c r="L34" s="430">
        <v>2073.87</v>
      </c>
      <c r="M34" s="426">
        <f>Tabela224657891011[[#This Row],[VENDA]]+Tabela224657891011[[#This Row],[MÃO DE OBRA]]-Tabela224657891011[[#This Row],[VALOR PAGO]]</f>
        <v>0</v>
      </c>
    </row>
    <row r="35" spans="2:13" ht="15" thickBot="1" x14ac:dyDescent="0.35">
      <c r="B35" s="431" t="s">
        <v>249</v>
      </c>
      <c r="C35" s="418">
        <v>23133</v>
      </c>
      <c r="D35" s="432">
        <v>4837</v>
      </c>
      <c r="E35" s="433">
        <v>46155</v>
      </c>
      <c r="F35" s="434" t="s">
        <v>264</v>
      </c>
      <c r="G35" s="432" t="s">
        <v>271</v>
      </c>
      <c r="H35" s="435">
        <v>2073.87</v>
      </c>
      <c r="I35" s="252"/>
      <c r="J35" s="436">
        <v>46190</v>
      </c>
      <c r="K35" s="437">
        <v>46190</v>
      </c>
      <c r="L35" s="438">
        <v>2073</v>
      </c>
      <c r="M35" s="439">
        <f>Tabela224657891011[[#This Row],[VENDA]]+Tabela224657891011[[#This Row],[MÃO DE OBRA]]-Tabela224657891011[[#This Row],[VALOR PAGO]]</f>
        <v>0.86999999999989086</v>
      </c>
    </row>
    <row r="36" spans="2:13" x14ac:dyDescent="0.3">
      <c r="B36" s="408" t="s">
        <v>249</v>
      </c>
      <c r="C36" s="396">
        <v>23134</v>
      </c>
      <c r="D36" s="409">
        <v>4838</v>
      </c>
      <c r="E36" s="410">
        <v>46155</v>
      </c>
      <c r="F36" s="411" t="s">
        <v>264</v>
      </c>
      <c r="G36" s="409" t="s">
        <v>271</v>
      </c>
      <c r="H36" s="413">
        <v>2073.86</v>
      </c>
      <c r="I36" s="413"/>
      <c r="J36" s="414">
        <v>46185</v>
      </c>
      <c r="K36" s="427">
        <v>46185</v>
      </c>
      <c r="L36" s="415">
        <v>2073.86</v>
      </c>
      <c r="M36" s="416">
        <f>Tabela224657891011[[#This Row],[VENDA]]+Tabela224657891011[[#This Row],[MÃO DE OBRA]]-Tabela224657891011[[#This Row],[VALOR PAGO]]</f>
        <v>0</v>
      </c>
    </row>
    <row r="37" spans="2:13" x14ac:dyDescent="0.3">
      <c r="B37" s="424" t="s">
        <v>249</v>
      </c>
      <c r="C37" s="397">
        <v>23134</v>
      </c>
      <c r="D37" s="406">
        <v>4838</v>
      </c>
      <c r="E37" s="407">
        <v>46155</v>
      </c>
      <c r="F37" s="405" t="s">
        <v>264</v>
      </c>
      <c r="G37" s="406" t="s">
        <v>271</v>
      </c>
      <c r="H37" s="425">
        <v>2073.87</v>
      </c>
      <c r="I37" s="425"/>
      <c r="J37" s="428">
        <v>46192</v>
      </c>
      <c r="K37" s="429">
        <v>46199</v>
      </c>
      <c r="L37" s="430">
        <v>2073.87</v>
      </c>
      <c r="M37" s="426">
        <f>Tabela224657891011[[#This Row],[VENDA]]+Tabela224657891011[[#This Row],[MÃO DE OBRA]]-Tabela224657891011[[#This Row],[VALOR PAGO]]</f>
        <v>0</v>
      </c>
    </row>
    <row r="38" spans="2:13" ht="15" thickBot="1" x14ac:dyDescent="0.35">
      <c r="B38" s="431" t="s">
        <v>249</v>
      </c>
      <c r="C38" s="418">
        <v>23134</v>
      </c>
      <c r="D38" s="432">
        <v>4838</v>
      </c>
      <c r="E38" s="433">
        <v>46155</v>
      </c>
      <c r="F38" s="434" t="s">
        <v>264</v>
      </c>
      <c r="G38" s="432" t="s">
        <v>271</v>
      </c>
      <c r="H38" s="435">
        <v>2073.87</v>
      </c>
      <c r="I38" s="435"/>
      <c r="J38" s="436">
        <v>46199</v>
      </c>
      <c r="K38" s="437">
        <v>46199</v>
      </c>
      <c r="L38" s="438">
        <v>2073.87</v>
      </c>
      <c r="M38" s="439">
        <f>Tabela224657891011[[#This Row],[VENDA]]+Tabela224657891011[[#This Row],[MÃO DE OBRA]]-Tabela224657891011[[#This Row],[VALOR PAGO]]</f>
        <v>0</v>
      </c>
    </row>
    <row r="39" spans="2:13" x14ac:dyDescent="0.3">
      <c r="B39" s="408" t="s">
        <v>249</v>
      </c>
      <c r="C39" s="396">
        <v>23135</v>
      </c>
      <c r="D39" s="409">
        <v>4839</v>
      </c>
      <c r="E39" s="410">
        <v>46155</v>
      </c>
      <c r="F39" s="411" t="s">
        <v>264</v>
      </c>
      <c r="G39" s="409" t="s">
        <v>271</v>
      </c>
      <c r="H39" s="413">
        <v>2170.4899999999998</v>
      </c>
      <c r="I39" s="413"/>
      <c r="J39" s="414">
        <v>46197</v>
      </c>
      <c r="K39" s="427">
        <v>46197</v>
      </c>
      <c r="L39" s="415">
        <v>2170.4899999999998</v>
      </c>
      <c r="M39" s="416">
        <f>Tabela224657891011[[#This Row],[VENDA]]+Tabela224657891011[[#This Row],[MÃO DE OBRA]]-Tabela224657891011[[#This Row],[VALOR PAGO]]</f>
        <v>0</v>
      </c>
    </row>
    <row r="40" spans="2:13" x14ac:dyDescent="0.3">
      <c r="B40" s="424" t="s">
        <v>249</v>
      </c>
      <c r="C40" s="397">
        <v>23135</v>
      </c>
      <c r="D40" s="406">
        <v>4839</v>
      </c>
      <c r="E40" s="407">
        <v>46155</v>
      </c>
      <c r="F40" s="405" t="s">
        <v>264</v>
      </c>
      <c r="G40" s="406" t="s">
        <v>271</v>
      </c>
      <c r="H40" s="425">
        <v>2171.4899999999998</v>
      </c>
      <c r="I40" s="425"/>
      <c r="J40" s="428">
        <v>46204</v>
      </c>
      <c r="K40" s="429"/>
      <c r="L40" s="430"/>
      <c r="M40" s="426">
        <f>Tabela224657891011[[#This Row],[VENDA]]+Tabela224657891011[[#This Row],[MÃO DE OBRA]]-Tabela224657891011[[#This Row],[VALOR PAGO]]</f>
        <v>2171.4899999999998</v>
      </c>
    </row>
    <row r="41" spans="2:13" ht="15" thickBot="1" x14ac:dyDescent="0.35">
      <c r="B41" s="424" t="s">
        <v>249</v>
      </c>
      <c r="C41" s="397">
        <v>23135</v>
      </c>
      <c r="D41" s="406">
        <v>4839</v>
      </c>
      <c r="E41" s="407">
        <v>46155</v>
      </c>
      <c r="F41" s="405" t="s">
        <v>264</v>
      </c>
      <c r="G41" s="406" t="s">
        <v>271</v>
      </c>
      <c r="H41" s="425">
        <v>2172.4899999999998</v>
      </c>
      <c r="I41" s="425"/>
      <c r="J41" s="428">
        <v>46211</v>
      </c>
      <c r="K41" s="429"/>
      <c r="L41" s="430"/>
      <c r="M41" s="426">
        <f>Tabela224657891011[[#This Row],[VENDA]]+Tabela224657891011[[#This Row],[MÃO DE OBRA]]-Tabela224657891011[[#This Row],[VALOR PAGO]]</f>
        <v>2172.4899999999998</v>
      </c>
    </row>
    <row r="42" spans="2:13" ht="15" thickBot="1" x14ac:dyDescent="0.35">
      <c r="B42" s="408" t="s">
        <v>248</v>
      </c>
      <c r="C42" s="396">
        <v>23203</v>
      </c>
      <c r="D42" s="409">
        <v>4812</v>
      </c>
      <c r="E42" s="410">
        <v>46156</v>
      </c>
      <c r="F42" s="411" t="s">
        <v>236</v>
      </c>
      <c r="G42" s="409" t="s">
        <v>270</v>
      </c>
      <c r="H42" s="413"/>
      <c r="I42" s="413">
        <v>112.06</v>
      </c>
      <c r="J42" s="414">
        <v>46191</v>
      </c>
      <c r="K42" s="427">
        <v>46188</v>
      </c>
      <c r="L42" s="415">
        <v>112.19</v>
      </c>
      <c r="M42" s="416">
        <f>Tabela224657891011[[#This Row],[VENDA]]+Tabela224657891011[[#This Row],[MÃO DE OBRA]]-Tabela224657891011[[#This Row],[VALOR PAGO]]</f>
        <v>-0.12999999999999545</v>
      </c>
    </row>
    <row r="43" spans="2:13" x14ac:dyDescent="0.3">
      <c r="B43" s="408" t="s">
        <v>248</v>
      </c>
      <c r="C43" s="396">
        <v>23202</v>
      </c>
      <c r="D43" s="409">
        <v>4840</v>
      </c>
      <c r="E43" s="410">
        <v>46156</v>
      </c>
      <c r="F43" s="411" t="s">
        <v>236</v>
      </c>
      <c r="G43" s="409" t="s">
        <v>270</v>
      </c>
      <c r="H43" s="413"/>
      <c r="I43" s="413">
        <v>457.7</v>
      </c>
      <c r="J43" s="414">
        <v>46184</v>
      </c>
      <c r="K43" s="427">
        <v>46188</v>
      </c>
      <c r="L43" s="415">
        <v>457.7</v>
      </c>
      <c r="M43" s="416">
        <f>Tabela224657891011[[#This Row],[VENDA]]+Tabela224657891011[[#This Row],[MÃO DE OBRA]]-Tabela224657891011[[#This Row],[VALOR PAGO]]</f>
        <v>0</v>
      </c>
    </row>
    <row r="44" spans="2:13" x14ac:dyDescent="0.3">
      <c r="B44" s="424" t="s">
        <v>248</v>
      </c>
      <c r="C44" s="397">
        <v>23202</v>
      </c>
      <c r="D44" s="406">
        <v>4840</v>
      </c>
      <c r="E44" s="407">
        <v>46156</v>
      </c>
      <c r="F44" s="405" t="s">
        <v>236</v>
      </c>
      <c r="G44" s="406" t="s">
        <v>270</v>
      </c>
      <c r="H44" s="425"/>
      <c r="I44" s="425">
        <v>457.7</v>
      </c>
      <c r="J44" s="428">
        <v>46191</v>
      </c>
      <c r="K44" s="429">
        <v>46191</v>
      </c>
      <c r="L44" s="430">
        <v>457.7</v>
      </c>
      <c r="M44" s="426">
        <f>Tabela224657891011[[#This Row],[VENDA]]+Tabela224657891011[[#This Row],[MÃO DE OBRA]]-Tabela224657891011[[#This Row],[VALOR PAGO]]</f>
        <v>0</v>
      </c>
    </row>
    <row r="45" spans="2:13" ht="15" thickBot="1" x14ac:dyDescent="0.35">
      <c r="B45" s="431" t="s">
        <v>248</v>
      </c>
      <c r="C45" s="418">
        <v>23202</v>
      </c>
      <c r="D45" s="432">
        <v>4840</v>
      </c>
      <c r="E45" s="433">
        <v>46156</v>
      </c>
      <c r="F45" s="434" t="s">
        <v>236</v>
      </c>
      <c r="G45" s="432" t="s">
        <v>270</v>
      </c>
      <c r="H45" s="435"/>
      <c r="I45" s="435">
        <v>457.7</v>
      </c>
      <c r="J45" s="436">
        <v>46198</v>
      </c>
      <c r="K45" s="437">
        <v>46195</v>
      </c>
      <c r="L45" s="438">
        <v>457.7</v>
      </c>
      <c r="M45" s="439">
        <f>Tabela224657891011[[#This Row],[VENDA]]+Tabela224657891011[[#This Row],[MÃO DE OBRA]]-Tabela224657891011[[#This Row],[VALOR PAGO]]</f>
        <v>0</v>
      </c>
    </row>
    <row r="46" spans="2:13" x14ac:dyDescent="0.3">
      <c r="B46" s="408" t="s">
        <v>248</v>
      </c>
      <c r="C46" s="396">
        <v>23240</v>
      </c>
      <c r="D46" s="409">
        <v>4840</v>
      </c>
      <c r="E46" s="410">
        <v>46157</v>
      </c>
      <c r="F46" s="411" t="s">
        <v>236</v>
      </c>
      <c r="G46" s="409" t="s">
        <v>270</v>
      </c>
      <c r="H46" s="413"/>
      <c r="I46" s="413">
        <v>883.2</v>
      </c>
      <c r="J46" s="414">
        <v>46185</v>
      </c>
      <c r="K46" s="427">
        <v>46188</v>
      </c>
      <c r="L46" s="415">
        <v>883.2</v>
      </c>
      <c r="M46" s="416">
        <f>Tabela224657891011[[#This Row],[VENDA]]+Tabela224657891011[[#This Row],[MÃO DE OBRA]]-Tabela224657891011[[#This Row],[VALOR PAGO]]</f>
        <v>0</v>
      </c>
    </row>
    <row r="47" spans="2:13" x14ac:dyDescent="0.3">
      <c r="B47" s="424" t="s">
        <v>248</v>
      </c>
      <c r="C47" s="397">
        <v>23240</v>
      </c>
      <c r="D47" s="406">
        <v>4840</v>
      </c>
      <c r="E47" s="407">
        <v>46157</v>
      </c>
      <c r="F47" s="405" t="s">
        <v>236</v>
      </c>
      <c r="G47" s="406" t="s">
        <v>270</v>
      </c>
      <c r="H47" s="425"/>
      <c r="I47" s="425">
        <v>883.2</v>
      </c>
      <c r="J47" s="428">
        <v>46192</v>
      </c>
      <c r="K47" s="429">
        <v>46191</v>
      </c>
      <c r="L47" s="430">
        <v>883.2</v>
      </c>
      <c r="M47" s="426">
        <f>Tabela224657891011[[#This Row],[VENDA]]+Tabela224657891011[[#This Row],[MÃO DE OBRA]]-Tabela224657891011[[#This Row],[VALOR PAGO]]</f>
        <v>0</v>
      </c>
    </row>
    <row r="48" spans="2:13" ht="15" thickBot="1" x14ac:dyDescent="0.35">
      <c r="B48" s="431" t="s">
        <v>248</v>
      </c>
      <c r="C48" s="418">
        <v>23240</v>
      </c>
      <c r="D48" s="432">
        <v>4840</v>
      </c>
      <c r="E48" s="433">
        <v>46157</v>
      </c>
      <c r="F48" s="434" t="s">
        <v>236</v>
      </c>
      <c r="G48" s="432" t="s">
        <v>270</v>
      </c>
      <c r="H48" s="435"/>
      <c r="I48" s="435">
        <v>883.19</v>
      </c>
      <c r="J48" s="436">
        <v>46199</v>
      </c>
      <c r="K48" s="437">
        <v>46196</v>
      </c>
      <c r="L48" s="435">
        <v>883.21</v>
      </c>
      <c r="M48" s="439">
        <f>Tabela224657891011[[#This Row],[VENDA]]+Tabela224657891011[[#This Row],[MÃO DE OBRA]]-Tabela224657891011[[#This Row],[VALOR PAGO]]</f>
        <v>-1.999999999998181E-2</v>
      </c>
    </row>
    <row r="49" spans="2:13" x14ac:dyDescent="0.3">
      <c r="B49" s="424" t="s">
        <v>249</v>
      </c>
      <c r="C49" s="397">
        <v>23234</v>
      </c>
      <c r="D49" s="406">
        <v>4872</v>
      </c>
      <c r="E49" s="407">
        <v>46157</v>
      </c>
      <c r="F49" s="405" t="s">
        <v>236</v>
      </c>
      <c r="G49" s="406" t="s">
        <v>270</v>
      </c>
      <c r="H49" s="425">
        <v>12510</v>
      </c>
      <c r="I49" s="425"/>
      <c r="J49" s="428">
        <v>46185</v>
      </c>
      <c r="K49" s="429">
        <v>46191</v>
      </c>
      <c r="L49" s="494">
        <v>12510</v>
      </c>
      <c r="M49" s="426">
        <f>Tabela224657891011[[#This Row],[VENDA]]+Tabela224657891011[[#This Row],[MÃO DE OBRA]]-Tabela224657891011[[#This Row],[VALOR PAGO]]</f>
        <v>0</v>
      </c>
    </row>
    <row r="50" spans="2:13" x14ac:dyDescent="0.3">
      <c r="B50" s="424" t="s">
        <v>249</v>
      </c>
      <c r="C50" s="397">
        <v>23234</v>
      </c>
      <c r="D50" s="406">
        <v>4872</v>
      </c>
      <c r="E50" s="407">
        <v>46157</v>
      </c>
      <c r="F50" s="405" t="s">
        <v>236</v>
      </c>
      <c r="G50" s="406" t="s">
        <v>270</v>
      </c>
      <c r="H50" s="425">
        <v>12510</v>
      </c>
      <c r="I50" s="425"/>
      <c r="J50" s="428">
        <v>46192</v>
      </c>
      <c r="K50" s="429">
        <v>46195</v>
      </c>
      <c r="L50" s="494">
        <v>12510</v>
      </c>
      <c r="M50" s="426">
        <f>Tabela224657891011[[#This Row],[VENDA]]+Tabela224657891011[[#This Row],[MÃO DE OBRA]]-Tabela224657891011[[#This Row],[VALOR PAGO]]</f>
        <v>0</v>
      </c>
    </row>
    <row r="51" spans="2:13" ht="15" thickBot="1" x14ac:dyDescent="0.35">
      <c r="B51" s="424" t="s">
        <v>249</v>
      </c>
      <c r="C51" s="397">
        <v>23234</v>
      </c>
      <c r="D51" s="406">
        <v>4872</v>
      </c>
      <c r="E51" s="407">
        <v>46157</v>
      </c>
      <c r="F51" s="405" t="s">
        <v>236</v>
      </c>
      <c r="G51" s="406" t="s">
        <v>270</v>
      </c>
      <c r="H51" s="425">
        <v>12510</v>
      </c>
      <c r="I51" s="425"/>
      <c r="J51" s="428">
        <v>46199</v>
      </c>
      <c r="K51" s="429">
        <v>46197</v>
      </c>
      <c r="L51" s="494">
        <v>12510</v>
      </c>
      <c r="M51" s="426">
        <f>Tabela224657891011[[#This Row],[VENDA]]+Tabela224657891011[[#This Row],[MÃO DE OBRA]]-Tabela224657891011[[#This Row],[VALOR PAGO]]</f>
        <v>0</v>
      </c>
    </row>
    <row r="52" spans="2:13" x14ac:dyDescent="0.3">
      <c r="B52" s="408" t="s">
        <v>249</v>
      </c>
      <c r="C52" s="396">
        <v>23260</v>
      </c>
      <c r="D52" s="409">
        <v>4879</v>
      </c>
      <c r="E52" s="410">
        <v>46160</v>
      </c>
      <c r="F52" s="411" t="s">
        <v>264</v>
      </c>
      <c r="G52" s="409" t="s">
        <v>271</v>
      </c>
      <c r="H52" s="413">
        <v>2262.4</v>
      </c>
      <c r="I52" s="413"/>
      <c r="J52" s="414">
        <v>46174</v>
      </c>
      <c r="K52" s="427">
        <v>46170</v>
      </c>
      <c r="L52" s="415">
        <v>2262.4</v>
      </c>
      <c r="M52" s="416">
        <f>Tabela224657891011[[#This Row],[VENDA]]+Tabela224657891011[[#This Row],[MÃO DE OBRA]]-Tabela224657891011[[#This Row],[VALOR PAGO]]</f>
        <v>0</v>
      </c>
    </row>
    <row r="53" spans="2:13" x14ac:dyDescent="0.3">
      <c r="B53" s="424" t="s">
        <v>249</v>
      </c>
      <c r="C53" s="397">
        <v>23260</v>
      </c>
      <c r="D53" s="406">
        <v>4879</v>
      </c>
      <c r="E53" s="407">
        <v>46160</v>
      </c>
      <c r="F53" s="405" t="s">
        <v>264</v>
      </c>
      <c r="G53" s="406" t="s">
        <v>271</v>
      </c>
      <c r="H53" s="425">
        <v>2262.4</v>
      </c>
      <c r="I53" s="425"/>
      <c r="J53" s="428">
        <v>46181</v>
      </c>
      <c r="K53" s="429">
        <v>46181</v>
      </c>
      <c r="L53" s="430">
        <v>2262.4</v>
      </c>
      <c r="M53" s="426">
        <f>Tabela224657891011[[#This Row],[VENDA]]+Tabela224657891011[[#This Row],[MÃO DE OBRA]]-Tabela224657891011[[#This Row],[VALOR PAGO]]</f>
        <v>0</v>
      </c>
    </row>
    <row r="54" spans="2:13" ht="15" thickBot="1" x14ac:dyDescent="0.35">
      <c r="B54" s="431" t="s">
        <v>249</v>
      </c>
      <c r="C54" s="397">
        <v>23260</v>
      </c>
      <c r="D54" s="432">
        <v>4879</v>
      </c>
      <c r="E54" s="433">
        <v>46160</v>
      </c>
      <c r="F54" s="434" t="s">
        <v>264</v>
      </c>
      <c r="G54" s="432" t="s">
        <v>271</v>
      </c>
      <c r="H54" s="435">
        <v>2262.4</v>
      </c>
      <c r="I54" s="435"/>
      <c r="J54" s="436">
        <v>46188</v>
      </c>
      <c r="K54" s="437">
        <v>46188</v>
      </c>
      <c r="L54" s="438">
        <v>2262.4</v>
      </c>
      <c r="M54" s="439">
        <f>Tabela224657891011[[#This Row],[VENDA]]+Tabela224657891011[[#This Row],[MÃO DE OBRA]]-Tabela224657891011[[#This Row],[VALOR PAGO]]</f>
        <v>0</v>
      </c>
    </row>
    <row r="55" spans="2:13" ht="15" thickBot="1" x14ac:dyDescent="0.35">
      <c r="B55" s="363" t="s">
        <v>248</v>
      </c>
      <c r="C55" s="364">
        <v>23263</v>
      </c>
      <c r="D55" s="365">
        <v>4829</v>
      </c>
      <c r="E55" s="366">
        <v>46160</v>
      </c>
      <c r="F55" s="384" t="s">
        <v>237</v>
      </c>
      <c r="G55" s="365" t="s">
        <v>270</v>
      </c>
      <c r="H55" s="386"/>
      <c r="I55" s="386">
        <v>1407.78</v>
      </c>
      <c r="J55" s="387">
        <v>46181</v>
      </c>
      <c r="K55" s="444">
        <v>46181</v>
      </c>
      <c r="L55" s="367">
        <v>1407.78</v>
      </c>
      <c r="M55" s="388">
        <f>Tabela224657891011[[#This Row],[VENDA]]+Tabela224657891011[[#This Row],[MÃO DE OBRA]]-Tabela224657891011[[#This Row],[VALOR PAGO]]</f>
        <v>0</v>
      </c>
    </row>
    <row r="56" spans="2:13" ht="15" thickBot="1" x14ac:dyDescent="0.35">
      <c r="B56" s="363" t="s">
        <v>248</v>
      </c>
      <c r="C56" s="364">
        <v>23303</v>
      </c>
      <c r="D56" s="365">
        <v>4894</v>
      </c>
      <c r="E56" s="366">
        <v>46162</v>
      </c>
      <c r="F56" s="384" t="s">
        <v>236</v>
      </c>
      <c r="G56" s="365" t="s">
        <v>270</v>
      </c>
      <c r="H56" s="386"/>
      <c r="I56" s="386">
        <v>598.41999999999996</v>
      </c>
      <c r="J56" s="387">
        <v>46197</v>
      </c>
      <c r="K56" s="444">
        <v>46195</v>
      </c>
      <c r="L56" s="367">
        <v>598.42999999999995</v>
      </c>
      <c r="M56" s="388">
        <f>Tabela224657891011[[#This Row],[VENDA]]+Tabela224657891011[[#This Row],[MÃO DE OBRA]]-Tabela224657891011[[#This Row],[VALOR PAGO]]</f>
        <v>-9.9999999999909051E-3</v>
      </c>
    </row>
    <row r="57" spans="2:13" x14ac:dyDescent="0.3">
      <c r="B57" s="408" t="s">
        <v>249</v>
      </c>
      <c r="C57" s="396">
        <v>23316</v>
      </c>
      <c r="D57" s="409">
        <v>4939</v>
      </c>
      <c r="E57" s="410">
        <v>46163</v>
      </c>
      <c r="F57" s="411" t="s">
        <v>264</v>
      </c>
      <c r="G57" s="409" t="s">
        <v>271</v>
      </c>
      <c r="H57" s="413">
        <v>2994</v>
      </c>
      <c r="I57" s="413"/>
      <c r="J57" s="414">
        <v>46177</v>
      </c>
      <c r="K57" s="427">
        <v>46178</v>
      </c>
      <c r="L57" s="415">
        <v>2994</v>
      </c>
      <c r="M57" s="416">
        <f>Tabela224657891011[[#This Row],[VENDA]]+Tabela224657891011[[#This Row],[MÃO DE OBRA]]-Tabela224657891011[[#This Row],[VALOR PAGO]]</f>
        <v>0</v>
      </c>
    </row>
    <row r="58" spans="2:13" x14ac:dyDescent="0.3">
      <c r="B58" s="424" t="s">
        <v>249</v>
      </c>
      <c r="C58" s="397">
        <v>23316</v>
      </c>
      <c r="D58" s="406">
        <v>4939</v>
      </c>
      <c r="E58" s="407">
        <v>46163</v>
      </c>
      <c r="F58" s="405" t="s">
        <v>264</v>
      </c>
      <c r="G58" s="406" t="s">
        <v>271</v>
      </c>
      <c r="H58" s="425">
        <v>2994</v>
      </c>
      <c r="I58" s="425"/>
      <c r="J58" s="428">
        <v>46184</v>
      </c>
      <c r="K58" s="429">
        <v>46184</v>
      </c>
      <c r="L58" s="430">
        <v>2994</v>
      </c>
      <c r="M58" s="426">
        <f>Tabela224657891011[[#This Row],[VENDA]]+Tabela224657891011[[#This Row],[MÃO DE OBRA]]-Tabela224657891011[[#This Row],[VALOR PAGO]]</f>
        <v>0</v>
      </c>
    </row>
    <row r="59" spans="2:13" ht="15" thickBot="1" x14ac:dyDescent="0.35">
      <c r="B59" s="431" t="s">
        <v>249</v>
      </c>
      <c r="C59" s="418">
        <v>23316</v>
      </c>
      <c r="D59" s="432">
        <v>4939</v>
      </c>
      <c r="E59" s="433">
        <v>46163</v>
      </c>
      <c r="F59" s="434" t="s">
        <v>264</v>
      </c>
      <c r="G59" s="432" t="s">
        <v>271</v>
      </c>
      <c r="H59" s="435">
        <v>2994</v>
      </c>
      <c r="I59" s="435"/>
      <c r="J59" s="436">
        <v>46191</v>
      </c>
      <c r="K59" s="437">
        <v>46191</v>
      </c>
      <c r="L59" s="438">
        <v>2994</v>
      </c>
      <c r="M59" s="439">
        <f>Tabela224657891011[[#This Row],[VENDA]]+Tabela224657891011[[#This Row],[MÃO DE OBRA]]-Tabela224657891011[[#This Row],[VALOR PAGO]]</f>
        <v>0</v>
      </c>
    </row>
    <row r="60" spans="2:13" x14ac:dyDescent="0.3">
      <c r="B60" s="408" t="s">
        <v>248</v>
      </c>
      <c r="C60" s="396">
        <v>23326</v>
      </c>
      <c r="D60" s="409">
        <v>4933</v>
      </c>
      <c r="E60" s="410">
        <v>46163</v>
      </c>
      <c r="F60" s="411" t="s">
        <v>236</v>
      </c>
      <c r="G60" s="409" t="s">
        <v>270</v>
      </c>
      <c r="H60" s="413"/>
      <c r="I60" s="413">
        <v>361.1</v>
      </c>
      <c r="J60" s="414">
        <v>46191</v>
      </c>
      <c r="K60" s="427">
        <v>46191</v>
      </c>
      <c r="L60" s="415">
        <v>361.1</v>
      </c>
      <c r="M60" s="416">
        <f>Tabela224657891011[[#This Row],[VENDA]]+Tabela224657891011[[#This Row],[MÃO DE OBRA]]-Tabela224657891011[[#This Row],[VALOR PAGO]]</f>
        <v>0</v>
      </c>
    </row>
    <row r="61" spans="2:13" x14ac:dyDescent="0.3">
      <c r="B61" s="424" t="s">
        <v>248</v>
      </c>
      <c r="C61" s="397">
        <v>23326</v>
      </c>
      <c r="D61" s="406">
        <v>4933</v>
      </c>
      <c r="E61" s="407">
        <v>46163</v>
      </c>
      <c r="F61" s="405" t="s">
        <v>236</v>
      </c>
      <c r="G61" s="406" t="s">
        <v>270</v>
      </c>
      <c r="H61" s="425"/>
      <c r="I61" s="425">
        <v>361.1</v>
      </c>
      <c r="J61" s="428">
        <v>46198</v>
      </c>
      <c r="K61" s="429">
        <v>46196</v>
      </c>
      <c r="L61" s="430">
        <v>361.1</v>
      </c>
      <c r="M61" s="426">
        <f>Tabela224657891011[[#This Row],[VENDA]]+Tabela224657891011[[#This Row],[MÃO DE OBRA]]-Tabela224657891011[[#This Row],[VALOR PAGO]]</f>
        <v>0</v>
      </c>
    </row>
    <row r="62" spans="2:13" ht="15" thickBot="1" x14ac:dyDescent="0.35">
      <c r="B62" s="431" t="s">
        <v>248</v>
      </c>
      <c r="C62" s="418">
        <v>23326</v>
      </c>
      <c r="D62" s="432">
        <v>4933</v>
      </c>
      <c r="E62" s="433">
        <v>46163</v>
      </c>
      <c r="F62" s="434" t="s">
        <v>236</v>
      </c>
      <c r="G62" s="432" t="s">
        <v>270</v>
      </c>
      <c r="H62" s="435"/>
      <c r="I62" s="435">
        <v>361.09</v>
      </c>
      <c r="J62" s="436">
        <v>46205</v>
      </c>
      <c r="K62" s="437">
        <v>46197</v>
      </c>
      <c r="L62" s="438">
        <v>361.11</v>
      </c>
      <c r="M62" s="439">
        <f>Tabela224657891011[[#This Row],[VENDA]]+Tabela224657891011[[#This Row],[MÃO DE OBRA]]-Tabela224657891011[[#This Row],[VALOR PAGO]]</f>
        <v>-2.0000000000038654E-2</v>
      </c>
    </row>
    <row r="63" spans="2:13" ht="15" thickBot="1" x14ac:dyDescent="0.35">
      <c r="B63" s="363" t="s">
        <v>248</v>
      </c>
      <c r="C63" s="364">
        <v>23325</v>
      </c>
      <c r="D63" s="365">
        <v>4912</v>
      </c>
      <c r="E63" s="366">
        <v>46163</v>
      </c>
      <c r="F63" s="384" t="s">
        <v>236</v>
      </c>
      <c r="G63" s="365" t="s">
        <v>270</v>
      </c>
      <c r="H63" s="386"/>
      <c r="I63" s="386">
        <v>355.72</v>
      </c>
      <c r="J63" s="387">
        <v>46198</v>
      </c>
      <c r="K63" s="444">
        <v>46199</v>
      </c>
      <c r="L63" s="367">
        <v>355.73</v>
      </c>
      <c r="M63" s="388">
        <f>Tabela224657891011[[#This Row],[VENDA]]+Tabela224657891011[[#This Row],[MÃO DE OBRA]]-Tabela224657891011[[#This Row],[VALOR PAGO]]</f>
        <v>-9.9999999999909051E-3</v>
      </c>
    </row>
    <row r="64" spans="2:13" ht="15" thickBot="1" x14ac:dyDescent="0.35">
      <c r="B64" s="363" t="s">
        <v>248</v>
      </c>
      <c r="C64" s="364">
        <v>23341</v>
      </c>
      <c r="D64" s="365">
        <v>4933</v>
      </c>
      <c r="E64" s="366">
        <v>46164</v>
      </c>
      <c r="F64" s="384" t="s">
        <v>236</v>
      </c>
      <c r="G64" s="365" t="s">
        <v>270</v>
      </c>
      <c r="H64" s="386"/>
      <c r="I64" s="386">
        <v>407.9</v>
      </c>
      <c r="J64" s="387">
        <v>46199</v>
      </c>
      <c r="K64" s="444">
        <v>46195</v>
      </c>
      <c r="L64" s="367">
        <v>407.11</v>
      </c>
      <c r="M64" s="388">
        <f>Tabela224657891011[[#This Row],[VENDA]]+Tabela224657891011[[#This Row],[MÃO DE OBRA]]-Tabela224657891011[[#This Row],[VALOR PAGO]]</f>
        <v>0.78999999999996362</v>
      </c>
    </row>
    <row r="65" spans="2:13" x14ac:dyDescent="0.3">
      <c r="B65" s="408" t="s">
        <v>249</v>
      </c>
      <c r="C65" s="396">
        <v>23372</v>
      </c>
      <c r="D65" s="409">
        <v>5002</v>
      </c>
      <c r="E65" s="410">
        <v>46167</v>
      </c>
      <c r="F65" s="411" t="s">
        <v>264</v>
      </c>
      <c r="G65" s="409" t="s">
        <v>271</v>
      </c>
      <c r="H65" s="413">
        <v>2450.9299999999998</v>
      </c>
      <c r="I65" s="413"/>
      <c r="J65" s="414">
        <v>46197</v>
      </c>
      <c r="K65" s="427">
        <v>46197</v>
      </c>
      <c r="L65" s="415">
        <v>2450.9299999999998</v>
      </c>
      <c r="M65" s="416">
        <f>Tabela224657891011[[#This Row],[VENDA]]+Tabela224657891011[[#This Row],[MÃO DE OBRA]]-Tabela224657891011[[#This Row],[VALOR PAGO]]</f>
        <v>0</v>
      </c>
    </row>
    <row r="66" spans="2:13" x14ac:dyDescent="0.3">
      <c r="B66" s="424" t="s">
        <v>249</v>
      </c>
      <c r="C66" s="397">
        <v>23372</v>
      </c>
      <c r="D66" s="406">
        <v>5002</v>
      </c>
      <c r="E66" s="407">
        <v>46167</v>
      </c>
      <c r="F66" s="405" t="s">
        <v>264</v>
      </c>
      <c r="G66" s="406" t="s">
        <v>271</v>
      </c>
      <c r="H66" s="425">
        <v>2450.9299999999998</v>
      </c>
      <c r="I66" s="425"/>
      <c r="J66" s="428">
        <v>46204</v>
      </c>
      <c r="K66" s="429">
        <v>46204</v>
      </c>
      <c r="L66" s="430">
        <v>2450.9299999999998</v>
      </c>
      <c r="M66" s="426">
        <f>Tabela224657891011[[#This Row],[VENDA]]+Tabela224657891011[[#This Row],[MÃO DE OBRA]]-Tabela224657891011[[#This Row],[VALOR PAGO]]</f>
        <v>0</v>
      </c>
    </row>
    <row r="67" spans="2:13" ht="15" thickBot="1" x14ac:dyDescent="0.35">
      <c r="B67" s="431" t="s">
        <v>249</v>
      </c>
      <c r="C67" s="418">
        <v>23372</v>
      </c>
      <c r="D67" s="432">
        <v>5002</v>
      </c>
      <c r="E67" s="433">
        <v>46167</v>
      </c>
      <c r="F67" s="434" t="s">
        <v>264</v>
      </c>
      <c r="G67" s="432" t="s">
        <v>271</v>
      </c>
      <c r="H67" s="435">
        <v>2450.94</v>
      </c>
      <c r="I67" s="435"/>
      <c r="J67" s="436">
        <v>46211</v>
      </c>
      <c r="K67" s="432"/>
      <c r="L67" s="438"/>
      <c r="M67" s="439">
        <f>Tabela224657891011[[#This Row],[VENDA]]+Tabela224657891011[[#This Row],[MÃO DE OBRA]]-Tabela224657891011[[#This Row],[VALOR PAGO]]</f>
        <v>2450.94</v>
      </c>
    </row>
    <row r="68" spans="2:13" ht="15" thickBot="1" x14ac:dyDescent="0.35">
      <c r="B68" s="363" t="s">
        <v>248</v>
      </c>
      <c r="C68" s="364">
        <v>23376</v>
      </c>
      <c r="D68" s="365">
        <v>4913</v>
      </c>
      <c r="E68" s="366">
        <v>46167</v>
      </c>
      <c r="F68" s="384" t="s">
        <v>237</v>
      </c>
      <c r="G68" s="365" t="s">
        <v>270</v>
      </c>
      <c r="H68" s="386"/>
      <c r="I68" s="386">
        <v>1773.09</v>
      </c>
      <c r="J68" s="387">
        <v>46188</v>
      </c>
      <c r="K68" s="444">
        <v>46188</v>
      </c>
      <c r="L68" s="367">
        <v>1773.09</v>
      </c>
      <c r="M68" s="388">
        <f>Tabela224657891011[[#This Row],[VENDA]]+Tabela224657891011[[#This Row],[MÃO DE OBRA]]-Tabela224657891011[[#This Row],[VALOR PAGO]]</f>
        <v>0</v>
      </c>
    </row>
    <row r="69" spans="2:13" ht="15" thickBot="1" x14ac:dyDescent="0.35">
      <c r="B69" s="363" t="s">
        <v>248</v>
      </c>
      <c r="C69" s="364">
        <v>23377</v>
      </c>
      <c r="D69" s="365">
        <v>4933</v>
      </c>
      <c r="E69" s="366">
        <v>46167</v>
      </c>
      <c r="F69" s="384" t="s">
        <v>236</v>
      </c>
      <c r="G69" s="365" t="s">
        <v>270</v>
      </c>
      <c r="H69" s="386"/>
      <c r="I69" s="386">
        <v>265.64999999999998</v>
      </c>
      <c r="J69" s="387">
        <v>46202</v>
      </c>
      <c r="K69" s="444">
        <v>46195</v>
      </c>
      <c r="L69" s="367">
        <v>265.64999999999998</v>
      </c>
      <c r="M69" s="388">
        <f>Tabela224657891011[[#This Row],[VENDA]]+Tabela224657891011[[#This Row],[MÃO DE OBRA]]-Tabela224657891011[[#This Row],[VALOR PAGO]]</f>
        <v>0</v>
      </c>
    </row>
    <row r="70" spans="2:13" ht="15" thickBot="1" x14ac:dyDescent="0.35">
      <c r="B70" s="363" t="s">
        <v>248</v>
      </c>
      <c r="C70" s="364">
        <v>23422</v>
      </c>
      <c r="D70" s="365">
        <v>5031</v>
      </c>
      <c r="E70" s="366">
        <v>46169</v>
      </c>
      <c r="F70" s="384" t="s">
        <v>236</v>
      </c>
      <c r="G70" s="365" t="s">
        <v>270</v>
      </c>
      <c r="H70" s="386"/>
      <c r="I70" s="386">
        <v>410.55</v>
      </c>
      <c r="J70" s="387">
        <v>46204</v>
      </c>
      <c r="K70" s="444">
        <v>46197</v>
      </c>
      <c r="L70" s="367">
        <v>410.55</v>
      </c>
      <c r="M70" s="388">
        <f>Tabela224657891011[[#This Row],[VENDA]]+Tabela224657891011[[#This Row],[MÃO DE OBRA]]-Tabela224657891011[[#This Row],[VALOR PAGO]]</f>
        <v>0</v>
      </c>
    </row>
    <row r="71" spans="2:13" x14ac:dyDescent="0.3">
      <c r="B71" s="408" t="s">
        <v>248</v>
      </c>
      <c r="C71" s="396">
        <v>23423</v>
      </c>
      <c r="D71" s="409">
        <v>4983</v>
      </c>
      <c r="E71" s="410">
        <v>46169</v>
      </c>
      <c r="F71" s="411" t="s">
        <v>236</v>
      </c>
      <c r="G71" s="409" t="s">
        <v>270</v>
      </c>
      <c r="H71" s="413"/>
      <c r="I71" s="413">
        <v>807.87</v>
      </c>
      <c r="J71" s="414">
        <v>46197</v>
      </c>
      <c r="K71" s="427">
        <v>46195</v>
      </c>
      <c r="L71" s="415">
        <v>807.88</v>
      </c>
      <c r="M71" s="416">
        <f>Tabela224657891011[[#This Row],[VENDA]]+Tabela224657891011[[#This Row],[MÃO DE OBRA]]-Tabela224657891011[[#This Row],[VALOR PAGO]]</f>
        <v>-9.9999999999909051E-3</v>
      </c>
    </row>
    <row r="72" spans="2:13" x14ac:dyDescent="0.3">
      <c r="B72" s="424" t="s">
        <v>248</v>
      </c>
      <c r="C72" s="397">
        <v>23423</v>
      </c>
      <c r="D72" s="406">
        <v>4983</v>
      </c>
      <c r="E72" s="407">
        <v>46169</v>
      </c>
      <c r="F72" s="405" t="s">
        <v>236</v>
      </c>
      <c r="G72" s="406" t="s">
        <v>270</v>
      </c>
      <c r="H72" s="425"/>
      <c r="I72" s="425">
        <v>807.87</v>
      </c>
      <c r="J72" s="428">
        <v>46204</v>
      </c>
      <c r="K72" s="429">
        <v>46197</v>
      </c>
      <c r="L72" s="494">
        <v>807.88</v>
      </c>
      <c r="M72" s="426">
        <f>Tabela224657891011[[#This Row],[VENDA]]+Tabela224657891011[[#This Row],[MÃO DE OBRA]]-Tabela224657891011[[#This Row],[VALOR PAGO]]</f>
        <v>-9.9999999999909051E-3</v>
      </c>
    </row>
    <row r="73" spans="2:13" ht="15" thickBot="1" x14ac:dyDescent="0.35">
      <c r="B73" s="431" t="s">
        <v>248</v>
      </c>
      <c r="C73" s="418">
        <v>23423</v>
      </c>
      <c r="D73" s="432">
        <v>4983</v>
      </c>
      <c r="E73" s="433">
        <v>46169</v>
      </c>
      <c r="F73" s="434" t="s">
        <v>236</v>
      </c>
      <c r="G73" s="432" t="s">
        <v>270</v>
      </c>
      <c r="H73" s="435"/>
      <c r="I73" s="435">
        <v>807.88</v>
      </c>
      <c r="J73" s="436">
        <v>46211</v>
      </c>
      <c r="K73" s="437">
        <v>46205</v>
      </c>
      <c r="L73" s="438">
        <v>807.87</v>
      </c>
      <c r="M73" s="439">
        <f>Tabela224657891011[[#This Row],[VENDA]]+Tabela224657891011[[#This Row],[MÃO DE OBRA]]-Tabela224657891011[[#This Row],[VALOR PAGO]]</f>
        <v>9.9999999999909051E-3</v>
      </c>
    </row>
    <row r="74" spans="2:13" ht="15" thickBot="1" x14ac:dyDescent="0.35">
      <c r="B74" s="303" t="s">
        <v>249</v>
      </c>
      <c r="C74" s="364">
        <v>23466</v>
      </c>
      <c r="D74" s="365">
        <v>5070</v>
      </c>
      <c r="E74" s="366">
        <v>46171</v>
      </c>
      <c r="F74" s="384" t="s">
        <v>365</v>
      </c>
      <c r="G74" s="365" t="s">
        <v>326</v>
      </c>
      <c r="H74" s="386">
        <v>752</v>
      </c>
      <c r="I74" s="463"/>
      <c r="J74" s="387">
        <v>46231</v>
      </c>
      <c r="K74" s="365"/>
      <c r="L74" s="367"/>
      <c r="M74" s="388">
        <f>Tabela224657891011[[#This Row],[VENDA]]+Tabela224657891011[[#This Row],[MÃO DE OBRA]]-Tabela224657891011[[#This Row],[VALOR PAGO]]</f>
        <v>752</v>
      </c>
    </row>
    <row r="75" spans="2:13" x14ac:dyDescent="0.3">
      <c r="B75" s="424"/>
      <c r="C75" s="397"/>
      <c r="D75" s="406"/>
      <c r="E75" s="407"/>
      <c r="F75" s="405"/>
      <c r="G75" s="406"/>
      <c r="H75" s="425"/>
      <c r="I75" s="455"/>
      <c r="J75" s="428"/>
      <c r="K75" s="406"/>
      <c r="L75" s="430"/>
      <c r="M75" s="426">
        <f>Tabela224657891011[[#This Row],[VENDA]]+Tabela224657891011[[#This Row],[MÃO DE OBRA]]-Tabela224657891011[[#This Row],[VALOR PAGO]]</f>
        <v>0</v>
      </c>
    </row>
    <row r="76" spans="2:13" x14ac:dyDescent="0.3">
      <c r="B76" s="424"/>
      <c r="C76" s="397"/>
      <c r="D76" s="406"/>
      <c r="E76" s="407"/>
      <c r="F76" s="405"/>
      <c r="G76" s="406"/>
      <c r="H76" s="425"/>
      <c r="I76" s="455"/>
      <c r="J76" s="428"/>
      <c r="K76" s="406"/>
      <c r="L76" s="430"/>
      <c r="M76" s="426">
        <f>Tabela224657891011[[#This Row],[VENDA]]+Tabela224657891011[[#This Row],[MÃO DE OBRA]]-Tabela224657891011[[#This Row],[VALOR PAGO]]</f>
        <v>0</v>
      </c>
    </row>
    <row r="77" spans="2:13" x14ac:dyDescent="0.3">
      <c r="B77" s="424"/>
      <c r="C77" s="397"/>
      <c r="D77" s="406"/>
      <c r="E77" s="407"/>
      <c r="F77" s="405"/>
      <c r="G77" s="406"/>
      <c r="H77" s="425"/>
      <c r="I77" s="455"/>
      <c r="J77" s="428"/>
      <c r="K77" s="406"/>
      <c r="L77" s="430"/>
      <c r="M77" s="426">
        <f>Tabela224657891011[[#This Row],[VENDA]]+Tabela224657891011[[#This Row],[MÃO DE OBRA]]-Tabela224657891011[[#This Row],[VALOR PAGO]]</f>
        <v>0</v>
      </c>
    </row>
    <row r="78" spans="2:13" x14ac:dyDescent="0.3">
      <c r="B78" s="424"/>
      <c r="C78" s="397"/>
      <c r="D78" s="406"/>
      <c r="E78" s="407"/>
      <c r="F78" s="405"/>
      <c r="G78" s="406"/>
      <c r="H78" s="425"/>
      <c r="I78" s="455"/>
      <c r="J78" s="428"/>
      <c r="K78" s="406"/>
      <c r="L78" s="430"/>
      <c r="M78" s="426">
        <f>Tabela224657891011[[#This Row],[VENDA]]+Tabela224657891011[[#This Row],[MÃO DE OBRA]]-Tabela224657891011[[#This Row],[VALOR PAGO]]</f>
        <v>0</v>
      </c>
    </row>
    <row r="79" spans="2:13" x14ac:dyDescent="0.3">
      <c r="B79" s="424"/>
      <c r="C79" s="397"/>
      <c r="D79" s="406"/>
      <c r="E79" s="407"/>
      <c r="F79" s="405"/>
      <c r="G79" s="406"/>
      <c r="H79" s="455"/>
      <c r="I79" s="455"/>
      <c r="J79" s="428"/>
      <c r="K79" s="406"/>
      <c r="L79" s="430"/>
      <c r="M79" s="426">
        <f>Tabela224657891011[[#This Row],[VENDA]]+Tabela224657891011[[#This Row],[MÃO DE OBRA]]-Tabela224657891011[[#This Row],[VALOR PAGO]]</f>
        <v>0</v>
      </c>
    </row>
    <row r="80" spans="2:13" ht="15" thickBot="1" x14ac:dyDescent="0.35">
      <c r="B80" s="241"/>
      <c r="C80" s="126"/>
      <c r="D80" s="126"/>
      <c r="E80" s="126"/>
      <c r="F80" s="126"/>
      <c r="G80" s="126"/>
      <c r="H80" s="252"/>
      <c r="I80" s="252"/>
      <c r="J80" s="125"/>
      <c r="K80" s="126"/>
      <c r="L80" s="247"/>
      <c r="M80" s="327">
        <f>Tabela224657891011[[#This Row],[VENDA]]+Tabela224657891011[[#This Row],[MÃO DE OBRA]]-Tabela224657891011[[#This Row],[VALOR PAGO]]</f>
        <v>0</v>
      </c>
    </row>
    <row r="81" spans="1:13" ht="13.8" customHeight="1" thickBot="1" x14ac:dyDescent="0.35">
      <c r="B81" s="417"/>
      <c r="C81" s="126"/>
      <c r="D81" s="126"/>
      <c r="E81" s="126"/>
      <c r="F81" s="126"/>
      <c r="G81" s="126"/>
      <c r="H81" s="391"/>
      <c r="I81" s="391"/>
      <c r="J81" s="125"/>
      <c r="K81" s="126"/>
      <c r="L81" s="247"/>
      <c r="M81" s="327"/>
    </row>
    <row r="82" spans="1:13" ht="18.600000000000001" thickBot="1" x14ac:dyDescent="0.4">
      <c r="B82" s="679" t="s">
        <v>257</v>
      </c>
      <c r="C82" s="680"/>
      <c r="D82" s="400">
        <f>Tabela224657891011[[#Totals],[VENDA]]</f>
        <v>0</v>
      </c>
      <c r="E82" s="264"/>
      <c r="F82" s="401"/>
      <c r="G82" s="402"/>
      <c r="H82" s="448">
        <f>SUM(H21:H81)</f>
        <v>89759.76999999996</v>
      </c>
      <c r="I82" s="448">
        <f>SUM(Tabela224657891011[MÃO DE OBRA])</f>
        <v>17719.415000000001</v>
      </c>
      <c r="J82" s="264"/>
      <c r="K82" s="264"/>
      <c r="L82" s="264"/>
      <c r="M82" s="404"/>
    </row>
    <row r="83" spans="1:13" ht="18.600000000000001" thickBot="1" x14ac:dyDescent="0.4">
      <c r="B83" s="662" t="s">
        <v>258</v>
      </c>
      <c r="C83" s="663"/>
      <c r="D83" s="266">
        <f>Tabela224657891011[[#Totals],[MÃO DE OBRA]]</f>
        <v>0</v>
      </c>
      <c r="E83" s="267"/>
      <c r="F83" s="323"/>
      <c r="G83" s="324"/>
      <c r="H83" s="269"/>
      <c r="I83" s="270"/>
      <c r="J83" s="267"/>
      <c r="K83" s="267"/>
      <c r="L83" s="267"/>
      <c r="M83" s="271"/>
    </row>
    <row r="84" spans="1:13" ht="19.8" customHeight="1" thickBot="1" x14ac:dyDescent="0.45">
      <c r="A84" s="106"/>
      <c r="B84" s="272" t="s">
        <v>259</v>
      </c>
      <c r="C84" s="664">
        <f>SUM(D82+D83)</f>
        <v>0</v>
      </c>
      <c r="D84" s="665"/>
      <c r="E84" s="273"/>
      <c r="F84" s="642" t="s">
        <v>260</v>
      </c>
      <c r="G84" s="642"/>
      <c r="H84" s="642">
        <f>Tabela224657891011[[#Totals],[VALOR PAGO]]</f>
        <v>0</v>
      </c>
      <c r="I84" s="642"/>
      <c r="J84" s="666" t="s">
        <v>261</v>
      </c>
      <c r="K84" s="666"/>
      <c r="L84" s="642">
        <f>Tabela224657891011[[#Totals],[VALOR EM ABERTO]]</f>
        <v>0</v>
      </c>
      <c r="M84" s="643"/>
    </row>
  </sheetData>
  <mergeCells count="12">
    <mergeCell ref="L84:M84"/>
    <mergeCell ref="B2:M3"/>
    <mergeCell ref="B4:B5"/>
    <mergeCell ref="C4:G4"/>
    <mergeCell ref="H4:M4"/>
    <mergeCell ref="B19:C19"/>
    <mergeCell ref="B82:C82"/>
    <mergeCell ref="B83:C83"/>
    <mergeCell ref="C84:D84"/>
    <mergeCell ref="F84:G84"/>
    <mergeCell ref="H84:I84"/>
    <mergeCell ref="J84:K84"/>
  </mergeCells>
  <pageMargins left="0.11811023622047245" right="0.51181102362204722" top="0.19685039370078741" bottom="0.19685039370078741" header="0" footer="0"/>
  <pageSetup paperSize="9" scale="70" orientation="landscape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C832-8A12-4581-856F-C6BA1629692D}">
  <dimension ref="A1:T93"/>
  <sheetViews>
    <sheetView showGridLines="0" zoomScale="110" zoomScaleNormal="110" workbookViewId="0">
      <selection activeCell="D66" sqref="D66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7.33203125" customWidth="1"/>
    <col min="7" max="10" width="14.77734375" customWidth="1"/>
    <col min="11" max="11" width="15.77734375" customWidth="1"/>
    <col min="12" max="13" width="14.77734375" customWidth="1"/>
    <col min="14" max="14" width="96.77734375" bestFit="1" customWidth="1"/>
  </cols>
  <sheetData>
    <row r="1" spans="1:20" ht="16.8" customHeight="1" thickBot="1" x14ac:dyDescent="0.35"/>
    <row r="2" spans="1:20" ht="14.4" customHeight="1" x14ac:dyDescent="0.5">
      <c r="A2" s="54"/>
      <c r="B2" s="644" t="s">
        <v>239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6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47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52" t="s">
        <v>248</v>
      </c>
      <c r="D4" s="653"/>
      <c r="E4" s="653"/>
      <c r="F4" s="653"/>
      <c r="G4" s="654"/>
      <c r="H4" s="655" t="s">
        <v>249</v>
      </c>
      <c r="I4" s="656"/>
      <c r="J4" s="656"/>
      <c r="K4" s="656"/>
      <c r="L4" s="656"/>
      <c r="M4" s="657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369">
        <v>126073.37</v>
      </c>
      <c r="D6" s="370">
        <v>270562.53000000003</v>
      </c>
      <c r="E6" s="371">
        <v>49887.66</v>
      </c>
      <c r="F6" s="370">
        <f>Tabela224657[[#Totals],[VENDA]]+Tabela224657[[#Totals],[MÃO DE OBRA]]</f>
        <v>50516.042000000001</v>
      </c>
      <c r="G6" s="372">
        <v>0</v>
      </c>
      <c r="H6" s="370">
        <v>0</v>
      </c>
      <c r="I6" s="372">
        <v>0</v>
      </c>
      <c r="J6" s="370">
        <v>0</v>
      </c>
      <c r="K6" s="372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373">
        <v>166235.96</v>
      </c>
      <c r="D7" s="374">
        <v>324984.96999999997</v>
      </c>
      <c r="E7" s="97">
        <v>15513.83</v>
      </c>
      <c r="F7" s="374">
        <f>Tabela2246578[[#Totals],[VENDA]]+Tabela2246578[[#Totals],[MÃO DE OBRA]]</f>
        <v>65390.11</v>
      </c>
      <c r="G7" s="375">
        <v>0</v>
      </c>
      <c r="H7" s="374">
        <v>0</v>
      </c>
      <c r="I7" s="375">
        <v>0</v>
      </c>
      <c r="J7" s="374">
        <v>0</v>
      </c>
      <c r="K7" s="375">
        <v>0</v>
      </c>
      <c r="L7" s="374">
        <v>0</v>
      </c>
      <c r="M7" s="375">
        <v>0</v>
      </c>
    </row>
    <row r="8" spans="1:20" ht="12" customHeight="1" x14ac:dyDescent="0.3">
      <c r="A8" s="54"/>
      <c r="B8" s="201" t="s">
        <v>216</v>
      </c>
      <c r="C8" s="369">
        <v>119814.85</v>
      </c>
      <c r="D8" s="370">
        <v>256001.57</v>
      </c>
      <c r="E8" s="376">
        <v>32410.22</v>
      </c>
      <c r="F8" s="370">
        <f>'Março 2026'!H109+'Março 2026'!I109</f>
        <v>360332.84000000026</v>
      </c>
      <c r="G8" s="372">
        <v>0</v>
      </c>
      <c r="H8" s="370">
        <v>0</v>
      </c>
      <c r="I8" s="372">
        <v>0</v>
      </c>
      <c r="J8" s="370">
        <v>0</v>
      </c>
      <c r="K8" s="372">
        <v>0</v>
      </c>
      <c r="L8" s="370">
        <v>0</v>
      </c>
      <c r="M8" s="372">
        <v>0</v>
      </c>
    </row>
    <row r="9" spans="1:20" ht="12" customHeight="1" x14ac:dyDescent="0.3">
      <c r="A9" s="54"/>
      <c r="B9" s="208" t="s">
        <v>217</v>
      </c>
      <c r="C9" s="373">
        <v>112668.22</v>
      </c>
      <c r="D9" s="374">
        <v>136419.94</v>
      </c>
      <c r="E9" s="97">
        <v>23117.53</v>
      </c>
      <c r="F9" s="374">
        <f>'Abril 2026'!H78+'Abril 2026'!I78</f>
        <v>113236.21400000001</v>
      </c>
      <c r="G9" s="375">
        <v>0</v>
      </c>
      <c r="H9" s="374">
        <v>0</v>
      </c>
      <c r="I9" s="375">
        <v>0</v>
      </c>
      <c r="J9" s="374">
        <v>0</v>
      </c>
      <c r="K9" s="375">
        <v>0</v>
      </c>
      <c r="L9" s="374">
        <v>0</v>
      </c>
      <c r="M9" s="375">
        <v>0</v>
      </c>
    </row>
    <row r="10" spans="1:20" ht="12" customHeight="1" x14ac:dyDescent="0.3">
      <c r="A10" s="54"/>
      <c r="B10" s="201" t="s">
        <v>218</v>
      </c>
      <c r="C10" s="369">
        <v>39597.94</v>
      </c>
      <c r="D10" s="370">
        <v>57014.400000000001</v>
      </c>
      <c r="E10" s="376">
        <v>11710.4</v>
      </c>
      <c r="F10" s="370">
        <f>H91+I91</f>
        <v>478840.33999999997</v>
      </c>
      <c r="G10" s="372">
        <v>0</v>
      </c>
      <c r="H10" s="370">
        <v>0</v>
      </c>
      <c r="I10" s="372">
        <v>0</v>
      </c>
      <c r="J10" s="370">
        <v>0</v>
      </c>
      <c r="K10" s="372">
        <v>0</v>
      </c>
      <c r="L10" s="370">
        <v>0</v>
      </c>
      <c r="M10" s="372">
        <v>0</v>
      </c>
    </row>
    <row r="11" spans="1:20" ht="12" customHeight="1" x14ac:dyDescent="0.3">
      <c r="A11" s="54"/>
      <c r="B11" s="208" t="s">
        <v>219</v>
      </c>
      <c r="C11" s="373">
        <v>77419.240000000005</v>
      </c>
      <c r="D11" s="374">
        <v>259261.92</v>
      </c>
      <c r="E11" s="97">
        <v>32986.86</v>
      </c>
      <c r="F11" s="374">
        <v>0</v>
      </c>
      <c r="G11" s="375">
        <v>0</v>
      </c>
      <c r="H11" s="374">
        <v>0</v>
      </c>
      <c r="I11" s="375">
        <v>0</v>
      </c>
      <c r="J11" s="374">
        <v>0</v>
      </c>
      <c r="K11" s="375">
        <v>0</v>
      </c>
      <c r="L11" s="374">
        <v>0</v>
      </c>
      <c r="M11" s="375">
        <v>0</v>
      </c>
    </row>
    <row r="12" spans="1:20" ht="12" customHeight="1" x14ac:dyDescent="0.3">
      <c r="A12" s="54"/>
      <c r="B12" s="201" t="s">
        <v>220</v>
      </c>
      <c r="C12" s="369">
        <v>74963.62</v>
      </c>
      <c r="D12" s="370">
        <v>191964.91</v>
      </c>
      <c r="E12" s="376">
        <v>8086.81</v>
      </c>
      <c r="F12" s="370">
        <v>0</v>
      </c>
      <c r="G12" s="372">
        <v>0</v>
      </c>
      <c r="H12" s="370">
        <v>0</v>
      </c>
      <c r="I12" s="372">
        <v>0</v>
      </c>
      <c r="J12" s="370">
        <v>0</v>
      </c>
      <c r="K12" s="372">
        <v>0</v>
      </c>
      <c r="L12" s="370">
        <v>0</v>
      </c>
      <c r="M12" s="372">
        <v>0</v>
      </c>
    </row>
    <row r="13" spans="1:20" ht="12" customHeight="1" x14ac:dyDescent="0.3">
      <c r="A13" s="54"/>
      <c r="B13" s="208" t="s">
        <v>221</v>
      </c>
      <c r="C13" s="373">
        <v>152485.66</v>
      </c>
      <c r="D13" s="374">
        <v>273158.84999999998</v>
      </c>
      <c r="E13" s="97">
        <v>22122.22</v>
      </c>
      <c r="F13" s="374">
        <v>0</v>
      </c>
      <c r="G13" s="375">
        <v>0</v>
      </c>
      <c r="H13" s="374">
        <v>0</v>
      </c>
      <c r="I13" s="375">
        <v>0</v>
      </c>
      <c r="J13" s="374">
        <v>0</v>
      </c>
      <c r="K13" s="375">
        <v>0</v>
      </c>
      <c r="L13" s="374">
        <v>0</v>
      </c>
      <c r="M13" s="375">
        <v>0</v>
      </c>
    </row>
    <row r="14" spans="1:20" ht="12" customHeight="1" x14ac:dyDescent="0.3">
      <c r="A14" s="54"/>
      <c r="B14" s="201" t="s">
        <v>211</v>
      </c>
      <c r="C14" s="369">
        <v>171282.48</v>
      </c>
      <c r="D14" s="370">
        <v>63159.51</v>
      </c>
      <c r="E14" s="376">
        <v>36466.42</v>
      </c>
      <c r="F14" s="370">
        <v>0</v>
      </c>
      <c r="G14" s="372">
        <v>0</v>
      </c>
      <c r="H14" s="370">
        <v>0</v>
      </c>
      <c r="I14" s="372">
        <v>0</v>
      </c>
      <c r="J14" s="370">
        <v>0</v>
      </c>
      <c r="K14" s="372">
        <v>0</v>
      </c>
      <c r="L14" s="370">
        <v>0</v>
      </c>
      <c r="M14" s="372">
        <v>0</v>
      </c>
    </row>
    <row r="15" spans="1:20" ht="12" customHeight="1" x14ac:dyDescent="0.3">
      <c r="A15" s="54"/>
      <c r="B15" s="208" t="s">
        <v>222</v>
      </c>
      <c r="C15" s="373">
        <v>168433.06</v>
      </c>
      <c r="D15" s="374">
        <v>53077.38</v>
      </c>
      <c r="E15" s="97">
        <v>99828</v>
      </c>
      <c r="F15" s="374">
        <v>0</v>
      </c>
      <c r="G15" s="375">
        <v>0</v>
      </c>
      <c r="H15" s="374"/>
      <c r="I15" s="375">
        <v>0</v>
      </c>
      <c r="J15" s="374">
        <v>0</v>
      </c>
      <c r="K15" s="375">
        <v>0</v>
      </c>
      <c r="L15" s="374">
        <v>0</v>
      </c>
      <c r="M15" s="375">
        <v>0</v>
      </c>
    </row>
    <row r="16" spans="1:20" ht="12" customHeight="1" x14ac:dyDescent="0.3">
      <c r="A16" s="54"/>
      <c r="B16" s="201" t="s">
        <v>212</v>
      </c>
      <c r="C16" s="369">
        <v>155757.68</v>
      </c>
      <c r="D16" s="370">
        <v>15517.44</v>
      </c>
      <c r="E16" s="376">
        <f>Tabela2246[[#Totals],[VENDA]]+Tabela2246[[#Totals],[MÃO DE OBRA]]</f>
        <v>381690.36000000004</v>
      </c>
      <c r="F16" s="370">
        <v>0</v>
      </c>
      <c r="G16" s="372">
        <v>0</v>
      </c>
      <c r="H16" s="370">
        <v>0</v>
      </c>
      <c r="I16" s="372">
        <v>0</v>
      </c>
      <c r="J16" s="370">
        <v>0</v>
      </c>
      <c r="K16" s="372">
        <v>0</v>
      </c>
      <c r="L16" s="370">
        <v>0</v>
      </c>
      <c r="M16" s="372">
        <v>0</v>
      </c>
    </row>
    <row r="17" spans="1:14" ht="12" customHeight="1" thickBot="1" x14ac:dyDescent="0.35">
      <c r="A17" s="54"/>
      <c r="B17" s="214" t="s">
        <v>213</v>
      </c>
      <c r="C17" s="377">
        <v>163379.07999999999</v>
      </c>
      <c r="D17" s="377">
        <v>9580.01</v>
      </c>
      <c r="E17" s="377">
        <f>Tabela22465[[#Totals],[VENDA]]+Tabela22465[[#Totals],[MÃO DE OBRA]]</f>
        <v>148680.26</v>
      </c>
      <c r="F17" s="378">
        <v>0</v>
      </c>
      <c r="G17" s="378">
        <v>0</v>
      </c>
      <c r="H17" s="378">
        <v>0</v>
      </c>
      <c r="I17" s="379">
        <v>0</v>
      </c>
      <c r="J17" s="378">
        <v>0</v>
      </c>
      <c r="K17" s="379">
        <v>0</v>
      </c>
      <c r="L17" s="378">
        <v>0</v>
      </c>
      <c r="M17" s="378">
        <v>0</v>
      </c>
    </row>
    <row r="18" spans="1:14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862500.57000000007</v>
      </c>
      <c r="F18" s="221">
        <f>SUM(F6:F17)</f>
        <v>1068315.5460000001</v>
      </c>
      <c r="G18" s="222">
        <v>0</v>
      </c>
      <c r="H18" s="221">
        <f>SUM(H6:H17)</f>
        <v>0</v>
      </c>
      <c r="I18" s="222">
        <v>0</v>
      </c>
      <c r="J18" s="223">
        <f>SUM(J6:J17)</f>
        <v>0</v>
      </c>
      <c r="K18" s="224">
        <v>0</v>
      </c>
      <c r="L18" s="380">
        <f>SUM(L6:L17)</f>
        <v>0</v>
      </c>
      <c r="M18" s="222">
        <v>0</v>
      </c>
    </row>
    <row r="19" spans="1:14" ht="15" customHeight="1" thickBot="1" x14ac:dyDescent="0.35">
      <c r="B19" s="658" t="s">
        <v>274</v>
      </c>
      <c r="C19" s="659"/>
      <c r="D19" s="226">
        <f>SUM(I18+F18)</f>
        <v>1068315.5460000001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4" ht="27.6" customHeight="1" thickBot="1" x14ac:dyDescent="0.35">
      <c r="A20" s="54"/>
      <c r="B20" s="398" t="s">
        <v>251</v>
      </c>
      <c r="C20" s="68" t="s">
        <v>223</v>
      </c>
      <c r="D20" s="69" t="s">
        <v>232</v>
      </c>
      <c r="E20" s="70" t="s">
        <v>224</v>
      </c>
      <c r="F20" s="69" t="s">
        <v>225</v>
      </c>
      <c r="G20" s="69" t="s">
        <v>268</v>
      </c>
      <c r="H20" s="69" t="s">
        <v>226</v>
      </c>
      <c r="I20" s="69" t="s">
        <v>227</v>
      </c>
      <c r="J20" s="69" t="s">
        <v>228</v>
      </c>
      <c r="K20" s="70" t="s">
        <v>229</v>
      </c>
      <c r="L20" s="69" t="s">
        <v>252</v>
      </c>
      <c r="M20" s="399" t="s">
        <v>230</v>
      </c>
      <c r="N20" t="s">
        <v>321</v>
      </c>
    </row>
    <row r="21" spans="1:14" ht="14.4" customHeight="1" thickBot="1" x14ac:dyDescent="0.35">
      <c r="B21" s="303" t="s">
        <v>249</v>
      </c>
      <c r="C21" s="283">
        <v>917</v>
      </c>
      <c r="D21" s="283">
        <v>895</v>
      </c>
      <c r="E21" s="305">
        <v>46178</v>
      </c>
      <c r="F21" s="283" t="s">
        <v>264</v>
      </c>
      <c r="G21" s="283" t="s">
        <v>271</v>
      </c>
      <c r="H21" s="314">
        <v>2784</v>
      </c>
      <c r="I21" s="314"/>
      <c r="J21" s="287">
        <v>46220</v>
      </c>
      <c r="K21" s="305"/>
      <c r="L21" s="307"/>
      <c r="M21" s="416">
        <f>Tabela22465789101112[[#This Row],[VENDA]]+Tabela22465789101112[[#This Row],[MÃO DE OBRA]]-Tabela22465789101112[[#This Row],[VALOR PAGO]]</f>
        <v>2784</v>
      </c>
    </row>
    <row r="22" spans="1:14" s="383" customFormat="1" ht="15" thickBot="1" x14ac:dyDescent="0.35">
      <c r="B22" s="363" t="s">
        <v>248</v>
      </c>
      <c r="C22" s="364">
        <v>23578</v>
      </c>
      <c r="D22" s="365">
        <v>5141</v>
      </c>
      <c r="E22" s="366">
        <v>46181</v>
      </c>
      <c r="F22" s="384" t="s">
        <v>236</v>
      </c>
      <c r="G22" s="365" t="s">
        <v>270</v>
      </c>
      <c r="H22" s="385"/>
      <c r="I22" s="386">
        <v>270.82</v>
      </c>
      <c r="J22" s="387">
        <v>46209</v>
      </c>
      <c r="K22" s="444">
        <v>46205</v>
      </c>
      <c r="L22" s="367">
        <v>270.83</v>
      </c>
      <c r="M22" s="388">
        <f>Tabela22465789101112[[#This Row],[VENDA]]+Tabela22465789101112[[#This Row],[MÃO DE OBRA]]-Tabela22465789101112[[#This Row],[VALOR PAGO]]</f>
        <v>-9.9999999999909051E-3</v>
      </c>
    </row>
    <row r="23" spans="1:14" ht="15" thickBot="1" x14ac:dyDescent="0.35">
      <c r="B23" s="408" t="s">
        <v>248</v>
      </c>
      <c r="C23" s="396">
        <v>23579</v>
      </c>
      <c r="D23" s="409">
        <v>5166</v>
      </c>
      <c r="E23" s="410">
        <v>46181</v>
      </c>
      <c r="F23" s="411" t="s">
        <v>236</v>
      </c>
      <c r="G23" s="409" t="s">
        <v>270</v>
      </c>
      <c r="H23" s="412"/>
      <c r="I23" s="413">
        <v>506</v>
      </c>
      <c r="J23" s="414">
        <v>46209</v>
      </c>
      <c r="K23" s="427">
        <v>46205</v>
      </c>
      <c r="L23" s="412">
        <v>506</v>
      </c>
      <c r="M23" s="416">
        <f>Tabela22465789101112[[#This Row],[VENDA]]+Tabela22465789101112[[#This Row],[MÃO DE OBRA]]-Tabela22465789101112[[#This Row],[VALOR PAGO]]</f>
        <v>0</v>
      </c>
    </row>
    <row r="24" spans="1:14" ht="15" thickBot="1" x14ac:dyDescent="0.35">
      <c r="B24" s="424" t="s">
        <v>248</v>
      </c>
      <c r="C24" s="397">
        <v>23579</v>
      </c>
      <c r="D24" s="406">
        <v>5166</v>
      </c>
      <c r="E24" s="407">
        <v>46181</v>
      </c>
      <c r="F24" s="405" t="s">
        <v>236</v>
      </c>
      <c r="G24" s="406" t="s">
        <v>270</v>
      </c>
      <c r="H24" s="248"/>
      <c r="I24" s="425">
        <v>506</v>
      </c>
      <c r="J24" s="428">
        <v>46216</v>
      </c>
      <c r="K24" s="429">
        <v>46205</v>
      </c>
      <c r="L24" s="430">
        <v>506</v>
      </c>
      <c r="M24" s="416">
        <f>Tabela22465789101112[[#This Row],[VENDA]]+Tabela22465789101112[[#This Row],[MÃO DE OBRA]]-Tabela22465789101112[[#This Row],[VALOR PAGO]]</f>
        <v>0</v>
      </c>
    </row>
    <row r="25" spans="1:14" ht="15" thickBot="1" x14ac:dyDescent="0.35">
      <c r="B25" s="431" t="s">
        <v>248</v>
      </c>
      <c r="C25" s="418">
        <v>23579</v>
      </c>
      <c r="D25" s="432">
        <v>5166</v>
      </c>
      <c r="E25" s="433">
        <v>46181</v>
      </c>
      <c r="F25" s="434" t="s">
        <v>236</v>
      </c>
      <c r="G25" s="432" t="s">
        <v>270</v>
      </c>
      <c r="H25" s="435"/>
      <c r="I25" s="435">
        <v>505.99</v>
      </c>
      <c r="J25" s="436">
        <v>46223</v>
      </c>
      <c r="K25" s="437">
        <v>46205</v>
      </c>
      <c r="L25" s="438">
        <v>506.01</v>
      </c>
      <c r="M25" s="388">
        <f>Tabela22465789101112[[#This Row],[VENDA]]+Tabela22465789101112[[#This Row],[MÃO DE OBRA]]-Tabela22465789101112[[#This Row],[VALOR PAGO]]</f>
        <v>-1.999999999998181E-2</v>
      </c>
    </row>
    <row r="26" spans="1:14" ht="15" thickBot="1" x14ac:dyDescent="0.35">
      <c r="B26" s="363" t="s">
        <v>248</v>
      </c>
      <c r="C26" s="364">
        <v>23597</v>
      </c>
      <c r="D26" s="365">
        <v>5166</v>
      </c>
      <c r="E26" s="366">
        <v>46182</v>
      </c>
      <c r="F26" s="384" t="s">
        <v>236</v>
      </c>
      <c r="G26" s="365" t="s">
        <v>270</v>
      </c>
      <c r="H26" s="386"/>
      <c r="I26" s="386">
        <v>407.1</v>
      </c>
      <c r="J26" s="387">
        <v>46217</v>
      </c>
      <c r="K26" s="444">
        <v>46205</v>
      </c>
      <c r="L26" s="367">
        <v>407.1</v>
      </c>
      <c r="M26" s="388">
        <f>Tabela22465789101112[[#This Row],[VENDA]]+Tabela22465789101112[[#This Row],[MÃO DE OBRA]]-Tabela22465789101112[[#This Row],[VALOR PAGO]]</f>
        <v>0</v>
      </c>
    </row>
    <row r="27" spans="1:14" ht="15" thickBot="1" x14ac:dyDescent="0.35">
      <c r="B27" s="363" t="s">
        <v>249</v>
      </c>
      <c r="C27" s="364">
        <v>23605</v>
      </c>
      <c r="D27" s="365">
        <v>5205</v>
      </c>
      <c r="E27" s="366">
        <v>46183</v>
      </c>
      <c r="F27" s="384" t="s">
        <v>315</v>
      </c>
      <c r="G27" s="365" t="s">
        <v>372</v>
      </c>
      <c r="H27" s="386">
        <v>795</v>
      </c>
      <c r="I27" s="386"/>
      <c r="J27" s="387">
        <v>46183</v>
      </c>
      <c r="K27" s="444">
        <v>46183</v>
      </c>
      <c r="L27" s="367"/>
      <c r="M27" s="388">
        <f>Tabela22465789101112[[#This Row],[VENDA]]+Tabela22465789101112[[#This Row],[MÃO DE OBRA]]-Tabela22465789101112[[#This Row],[VALOR PAGO]]</f>
        <v>795</v>
      </c>
    </row>
    <row r="28" spans="1:14" ht="15" thickBot="1" x14ac:dyDescent="0.35">
      <c r="B28" s="363" t="s">
        <v>248</v>
      </c>
      <c r="C28" s="364">
        <v>23628</v>
      </c>
      <c r="D28" s="556">
        <v>5053</v>
      </c>
      <c r="E28" s="366">
        <v>46183</v>
      </c>
      <c r="F28" s="384" t="s">
        <v>236</v>
      </c>
      <c r="G28" s="365" t="s">
        <v>270</v>
      </c>
      <c r="H28" s="386"/>
      <c r="I28" s="386">
        <v>150.1</v>
      </c>
      <c r="J28" s="387">
        <v>46218</v>
      </c>
      <c r="K28" s="444">
        <v>46205</v>
      </c>
      <c r="L28" s="367">
        <v>150.1</v>
      </c>
      <c r="M28" s="388">
        <f>Tabela22465789101112[[#This Row],[VENDA]]+Tabela22465789101112[[#This Row],[MÃO DE OBRA]]-Tabela22465789101112[[#This Row],[VALOR PAGO]]</f>
        <v>0</v>
      </c>
    </row>
    <row r="29" spans="1:14" ht="15" thickBot="1" x14ac:dyDescent="0.35">
      <c r="B29" s="408" t="s">
        <v>249</v>
      </c>
      <c r="C29" s="396">
        <v>23750</v>
      </c>
      <c r="D29" s="409">
        <v>5200</v>
      </c>
      <c r="E29" s="410">
        <v>46189</v>
      </c>
      <c r="F29" s="411" t="s">
        <v>365</v>
      </c>
      <c r="G29" s="409" t="s">
        <v>326</v>
      </c>
      <c r="H29" s="413">
        <v>877.33</v>
      </c>
      <c r="I29" s="413"/>
      <c r="J29" s="414">
        <v>46204</v>
      </c>
      <c r="K29" s="427"/>
      <c r="L29" s="415"/>
      <c r="M29" s="416">
        <f>Tabela22465789101112[[#This Row],[VENDA]]+Tabela22465789101112[[#This Row],[MÃO DE OBRA]]-Tabela22465789101112[[#This Row],[VALOR PAGO]]</f>
        <v>877.33</v>
      </c>
    </row>
    <row r="30" spans="1:14" ht="15" thickBot="1" x14ac:dyDescent="0.35">
      <c r="B30" s="424" t="s">
        <v>249</v>
      </c>
      <c r="C30" s="397">
        <v>23750</v>
      </c>
      <c r="D30" s="406">
        <v>5200</v>
      </c>
      <c r="E30" s="407">
        <v>46189</v>
      </c>
      <c r="F30" s="405" t="s">
        <v>365</v>
      </c>
      <c r="G30" s="406" t="s">
        <v>326</v>
      </c>
      <c r="H30" s="425">
        <v>877.33</v>
      </c>
      <c r="I30" s="425"/>
      <c r="J30" s="428">
        <v>46219</v>
      </c>
      <c r="K30" s="429"/>
      <c r="L30" s="430"/>
      <c r="M30" s="416">
        <f>Tabela22465789101112[[#This Row],[VENDA]]+Tabela22465789101112[[#This Row],[MÃO DE OBRA]]-Tabela22465789101112[[#This Row],[VALOR PAGO]]</f>
        <v>877.33</v>
      </c>
    </row>
    <row r="31" spans="1:14" ht="15" thickBot="1" x14ac:dyDescent="0.35">
      <c r="B31" s="431" t="s">
        <v>249</v>
      </c>
      <c r="C31" s="418">
        <v>23750</v>
      </c>
      <c r="D31" s="432">
        <v>5200</v>
      </c>
      <c r="E31" s="433">
        <v>46189</v>
      </c>
      <c r="F31" s="434" t="s">
        <v>365</v>
      </c>
      <c r="G31" s="432" t="s">
        <v>326</v>
      </c>
      <c r="H31" s="435">
        <v>877.34</v>
      </c>
      <c r="I31" s="435"/>
      <c r="J31" s="436">
        <v>46234</v>
      </c>
      <c r="K31" s="437"/>
      <c r="L31" s="438"/>
      <c r="M31" s="388">
        <f>Tabela22465789101112[[#This Row],[VENDA]]+Tabela22465789101112[[#This Row],[MÃO DE OBRA]]-Tabela22465789101112[[#This Row],[VALOR PAGO]]</f>
        <v>877.34</v>
      </c>
    </row>
    <row r="32" spans="1:14" ht="15" thickBot="1" x14ac:dyDescent="0.35">
      <c r="B32" s="408" t="s">
        <v>249</v>
      </c>
      <c r="C32" s="396">
        <v>23737</v>
      </c>
      <c r="D32" s="409">
        <v>5321</v>
      </c>
      <c r="E32" s="410">
        <v>46189</v>
      </c>
      <c r="F32" s="411" t="s">
        <v>315</v>
      </c>
      <c r="G32" s="409" t="s">
        <v>372</v>
      </c>
      <c r="H32" s="413">
        <v>397.5</v>
      </c>
      <c r="I32" s="413"/>
      <c r="J32" s="414">
        <v>46196</v>
      </c>
      <c r="K32" s="427"/>
      <c r="L32" s="415"/>
      <c r="M32" s="416">
        <f>Tabela22465789101112[[#This Row],[VENDA]]+Tabela22465789101112[[#This Row],[MÃO DE OBRA]]-Tabela22465789101112[[#This Row],[VALOR PAGO]]</f>
        <v>397.5</v>
      </c>
    </row>
    <row r="33" spans="2:13" ht="15" thickBot="1" x14ac:dyDescent="0.35">
      <c r="B33" s="234" t="s">
        <v>249</v>
      </c>
      <c r="C33" s="396">
        <v>23773</v>
      </c>
      <c r="D33" s="409">
        <v>5398</v>
      </c>
      <c r="E33" s="410">
        <v>46190</v>
      </c>
      <c r="F33" s="411" t="s">
        <v>264</v>
      </c>
      <c r="G33" s="409" t="s">
        <v>271</v>
      </c>
      <c r="H33" s="413">
        <v>1275</v>
      </c>
      <c r="I33" s="311"/>
      <c r="J33" s="414">
        <v>46211</v>
      </c>
      <c r="K33" s="427"/>
      <c r="L33" s="415"/>
      <c r="M33" s="416">
        <f>Tabela22465789101112[[#This Row],[VENDA]]+Tabela22465789101112[[#This Row],[MÃO DE OBRA]]-Tabela22465789101112[[#This Row],[VALOR PAGO]]</f>
        <v>1275</v>
      </c>
    </row>
    <row r="34" spans="2:13" ht="15" thickBot="1" x14ac:dyDescent="0.35">
      <c r="B34" s="431" t="s">
        <v>249</v>
      </c>
      <c r="C34" s="418">
        <v>23773</v>
      </c>
      <c r="D34" s="432">
        <v>5398</v>
      </c>
      <c r="E34" s="433">
        <v>46190</v>
      </c>
      <c r="F34" s="434" t="s">
        <v>264</v>
      </c>
      <c r="G34" s="432" t="s">
        <v>271</v>
      </c>
      <c r="H34" s="435">
        <v>1275</v>
      </c>
      <c r="I34" s="252"/>
      <c r="J34" s="436">
        <v>46218</v>
      </c>
      <c r="K34" s="437"/>
      <c r="L34" s="438"/>
      <c r="M34" s="388">
        <f>Tabela22465789101112[[#This Row],[VENDA]]+Tabela22465789101112[[#This Row],[MÃO DE OBRA]]-Tabela22465789101112[[#This Row],[VALOR PAGO]]</f>
        <v>1275</v>
      </c>
    </row>
    <row r="35" spans="2:13" ht="15" thickBot="1" x14ac:dyDescent="0.35">
      <c r="B35" s="408" t="s">
        <v>248</v>
      </c>
      <c r="C35" s="396">
        <v>23809</v>
      </c>
      <c r="D35" s="409">
        <v>5278</v>
      </c>
      <c r="E35" s="410">
        <v>46191</v>
      </c>
      <c r="F35" s="411" t="s">
        <v>236</v>
      </c>
      <c r="G35" s="409" t="s">
        <v>270</v>
      </c>
      <c r="H35" s="413"/>
      <c r="I35" s="311">
        <v>1236.24</v>
      </c>
      <c r="J35" s="414">
        <v>46219</v>
      </c>
      <c r="K35" s="427">
        <v>46205</v>
      </c>
      <c r="L35" s="415">
        <v>1236.26</v>
      </c>
      <c r="M35" s="416">
        <f>Tabela22465789101112[[#This Row],[VENDA]]+Tabela22465789101112[[#This Row],[MÃO DE OBRA]]-Tabela22465789101112[[#This Row],[VALOR PAGO]]</f>
        <v>-1.999999999998181E-2</v>
      </c>
    </row>
    <row r="36" spans="2:13" ht="15" thickBot="1" x14ac:dyDescent="0.35">
      <c r="B36" s="424" t="s">
        <v>248</v>
      </c>
      <c r="C36" s="397">
        <v>23809</v>
      </c>
      <c r="D36" s="406">
        <v>5278</v>
      </c>
      <c r="E36" s="407">
        <v>46191</v>
      </c>
      <c r="F36" s="405" t="s">
        <v>236</v>
      </c>
      <c r="G36" s="406" t="s">
        <v>270</v>
      </c>
      <c r="H36" s="425"/>
      <c r="I36" s="425">
        <v>1236.24</v>
      </c>
      <c r="J36" s="428">
        <v>46226</v>
      </c>
      <c r="K36" s="429">
        <v>46205</v>
      </c>
      <c r="L36" s="430">
        <v>1236.26</v>
      </c>
      <c r="M36" s="416">
        <f>Tabela22465789101112[[#This Row],[VENDA]]+Tabela22465789101112[[#This Row],[MÃO DE OBRA]]-Tabela22465789101112[[#This Row],[VALOR PAGO]]</f>
        <v>-1.999999999998181E-2</v>
      </c>
    </row>
    <row r="37" spans="2:13" ht="15" thickBot="1" x14ac:dyDescent="0.35">
      <c r="B37" s="431" t="s">
        <v>248</v>
      </c>
      <c r="C37" s="418">
        <v>23809</v>
      </c>
      <c r="D37" s="432">
        <v>5278</v>
      </c>
      <c r="E37" s="433">
        <v>46191</v>
      </c>
      <c r="F37" s="434" t="s">
        <v>236</v>
      </c>
      <c r="G37" s="432" t="s">
        <v>270</v>
      </c>
      <c r="H37" s="435"/>
      <c r="I37" s="435">
        <v>1236.25</v>
      </c>
      <c r="J37" s="436">
        <v>46233</v>
      </c>
      <c r="K37" s="437"/>
      <c r="L37" s="438"/>
      <c r="M37" s="388">
        <f>Tabela22465789101112[[#This Row],[VENDA]]+Tabela22465789101112[[#This Row],[MÃO DE OBRA]]-Tabela22465789101112[[#This Row],[VALOR PAGO]]</f>
        <v>1236.25</v>
      </c>
    </row>
    <row r="38" spans="2:13" ht="15" thickBot="1" x14ac:dyDescent="0.35">
      <c r="B38" s="363" t="s">
        <v>249</v>
      </c>
      <c r="C38" s="364">
        <v>23838</v>
      </c>
      <c r="D38" s="365">
        <v>5383</v>
      </c>
      <c r="E38" s="366">
        <v>46192</v>
      </c>
      <c r="F38" s="384" t="s">
        <v>264</v>
      </c>
      <c r="G38" s="365" t="s">
        <v>271</v>
      </c>
      <c r="H38" s="386">
        <v>2610</v>
      </c>
      <c r="I38" s="386"/>
      <c r="J38" s="387">
        <v>46237</v>
      </c>
      <c r="K38" s="444"/>
      <c r="L38" s="367"/>
      <c r="M38" s="388">
        <f>Tabela22465789101112[[#This Row],[VENDA]]+Tabela22465789101112[[#This Row],[MÃO DE OBRA]]-Tabela22465789101112[[#This Row],[VALOR PAGO]]</f>
        <v>2610</v>
      </c>
    </row>
    <row r="39" spans="2:13" ht="15" thickBot="1" x14ac:dyDescent="0.35">
      <c r="B39" s="408" t="s">
        <v>249</v>
      </c>
      <c r="C39" s="396">
        <v>934</v>
      </c>
      <c r="D39" s="409">
        <v>908</v>
      </c>
      <c r="E39" s="410">
        <v>46195</v>
      </c>
      <c r="F39" s="411" t="s">
        <v>375</v>
      </c>
      <c r="G39" s="409" t="s">
        <v>272</v>
      </c>
      <c r="H39" s="413">
        <v>11172</v>
      </c>
      <c r="I39" s="413"/>
      <c r="J39" s="414">
        <v>46216</v>
      </c>
      <c r="K39" s="427"/>
      <c r="L39" s="415"/>
      <c r="M39" s="416">
        <f>'Julho 2026'!M35</f>
        <v>7502.2</v>
      </c>
    </row>
    <row r="40" spans="2:13" ht="15" thickBot="1" x14ac:dyDescent="0.35">
      <c r="B40" s="424" t="s">
        <v>249</v>
      </c>
      <c r="C40" s="397">
        <v>934</v>
      </c>
      <c r="D40" s="406">
        <v>908</v>
      </c>
      <c r="E40" s="407">
        <v>46195</v>
      </c>
      <c r="F40" s="405" t="s">
        <v>375</v>
      </c>
      <c r="G40" s="406" t="s">
        <v>272</v>
      </c>
      <c r="H40" s="425">
        <v>11172</v>
      </c>
      <c r="I40" s="425"/>
      <c r="J40" s="428">
        <v>46223</v>
      </c>
      <c r="K40" s="429"/>
      <c r="L40" s="430"/>
      <c r="M40" s="416">
        <f>Tabela22465789101112[[#This Row],[VENDA]]+Tabela22465789101112[[#This Row],[MÃO DE OBRA]]-Tabela22465789101112[[#This Row],[VALOR PAGO]]</f>
        <v>11172</v>
      </c>
    </row>
    <row r="41" spans="2:13" ht="15" thickBot="1" x14ac:dyDescent="0.35">
      <c r="B41" s="424" t="s">
        <v>249</v>
      </c>
      <c r="C41" s="397">
        <v>934</v>
      </c>
      <c r="D41" s="406">
        <v>908</v>
      </c>
      <c r="E41" s="407">
        <v>46195</v>
      </c>
      <c r="F41" s="405" t="s">
        <v>375</v>
      </c>
      <c r="G41" s="406" t="s">
        <v>272</v>
      </c>
      <c r="H41" s="425">
        <v>11172</v>
      </c>
      <c r="I41" s="425"/>
      <c r="J41" s="428">
        <v>46230</v>
      </c>
      <c r="K41" s="429"/>
      <c r="L41" s="430"/>
      <c r="M41" s="416">
        <f>Tabela22465789101112[[#This Row],[VENDA]]+Tabela22465789101112[[#This Row],[MÃO DE OBRA]]-Tabela22465789101112[[#This Row],[VALOR PAGO]]</f>
        <v>11172</v>
      </c>
    </row>
    <row r="42" spans="2:13" ht="15" thickBot="1" x14ac:dyDescent="0.35">
      <c r="B42" s="424" t="s">
        <v>249</v>
      </c>
      <c r="C42" s="397">
        <v>934</v>
      </c>
      <c r="D42" s="406">
        <v>908</v>
      </c>
      <c r="E42" s="407">
        <v>46195</v>
      </c>
      <c r="F42" s="405" t="s">
        <v>375</v>
      </c>
      <c r="G42" s="406" t="s">
        <v>272</v>
      </c>
      <c r="H42" s="425">
        <v>11172</v>
      </c>
      <c r="I42" s="425"/>
      <c r="J42" s="428">
        <v>46237</v>
      </c>
      <c r="K42" s="429"/>
      <c r="L42" s="430"/>
      <c r="M42" s="416">
        <f>Tabela22465789101112[[#This Row],[VENDA]]+Tabela22465789101112[[#This Row],[MÃO DE OBRA]]-Tabela22465789101112[[#This Row],[VALOR PAGO]]</f>
        <v>11172</v>
      </c>
    </row>
    <row r="43" spans="2:13" ht="15" thickBot="1" x14ac:dyDescent="0.35">
      <c r="B43" s="424" t="s">
        <v>249</v>
      </c>
      <c r="C43" s="397">
        <v>934</v>
      </c>
      <c r="D43" s="406">
        <v>908</v>
      </c>
      <c r="E43" s="407">
        <v>46195</v>
      </c>
      <c r="F43" s="405" t="s">
        <v>375</v>
      </c>
      <c r="G43" s="406" t="s">
        <v>272</v>
      </c>
      <c r="H43" s="425">
        <v>11172</v>
      </c>
      <c r="I43" s="425"/>
      <c r="J43" s="428">
        <v>46244</v>
      </c>
      <c r="K43" s="429"/>
      <c r="L43" s="430"/>
      <c r="M43" s="416">
        <f>Tabela22465789101112[[#This Row],[VENDA]]+Tabela22465789101112[[#This Row],[MÃO DE OBRA]]-Tabela22465789101112[[#This Row],[VALOR PAGO]]</f>
        <v>11172</v>
      </c>
    </row>
    <row r="44" spans="2:13" ht="15" thickBot="1" x14ac:dyDescent="0.35">
      <c r="B44" s="431" t="s">
        <v>249</v>
      </c>
      <c r="C44" s="418">
        <v>934</v>
      </c>
      <c r="D44" s="432">
        <v>908</v>
      </c>
      <c r="E44" s="433">
        <v>46195</v>
      </c>
      <c r="F44" s="434" t="s">
        <v>375</v>
      </c>
      <c r="G44" s="432" t="s">
        <v>272</v>
      </c>
      <c r="H44" s="435">
        <v>11172</v>
      </c>
      <c r="I44" s="435"/>
      <c r="J44" s="436">
        <v>46251</v>
      </c>
      <c r="K44" s="437"/>
      <c r="L44" s="438"/>
      <c r="M44" s="388">
        <f>Tabela22465789101112[[#This Row],[VENDA]]+Tabela22465789101112[[#This Row],[MÃO DE OBRA]]-Tabela22465789101112[[#This Row],[VALOR PAGO]]</f>
        <v>11172</v>
      </c>
    </row>
    <row r="45" spans="2:13" ht="15" thickBot="1" x14ac:dyDescent="0.35">
      <c r="B45" s="408" t="s">
        <v>249</v>
      </c>
      <c r="C45" s="396">
        <v>935</v>
      </c>
      <c r="D45" s="409">
        <v>909</v>
      </c>
      <c r="E45" s="410">
        <v>46195</v>
      </c>
      <c r="F45" s="411" t="s">
        <v>376</v>
      </c>
      <c r="G45" s="409" t="s">
        <v>272</v>
      </c>
      <c r="H45" s="413">
        <v>9418.4</v>
      </c>
      <c r="I45" s="413"/>
      <c r="J45" s="414">
        <v>46216</v>
      </c>
      <c r="K45" s="427"/>
      <c r="L45" s="415"/>
      <c r="M45" s="416">
        <f>Tabela22465789101112[[#This Row],[VENDA]]+Tabela22465789101112[[#This Row],[MÃO DE OBRA]]-Tabela22465789101112[[#This Row],[VALOR PAGO]]</f>
        <v>9418.4</v>
      </c>
    </row>
    <row r="46" spans="2:13" ht="15" thickBot="1" x14ac:dyDescent="0.35">
      <c r="B46" s="424" t="s">
        <v>249</v>
      </c>
      <c r="C46" s="397">
        <v>935</v>
      </c>
      <c r="D46" s="406">
        <v>909</v>
      </c>
      <c r="E46" s="407">
        <v>46195</v>
      </c>
      <c r="F46" s="405" t="s">
        <v>376</v>
      </c>
      <c r="G46" s="406" t="s">
        <v>272</v>
      </c>
      <c r="H46" s="425">
        <v>9416</v>
      </c>
      <c r="I46" s="425"/>
      <c r="J46" s="428">
        <v>46223</v>
      </c>
      <c r="K46" s="429"/>
      <c r="L46" s="430"/>
      <c r="M46" s="416">
        <f>Tabela22465789101112[[#This Row],[VENDA]]+Tabela22465789101112[[#This Row],[MÃO DE OBRA]]-Tabela22465789101112[[#This Row],[VALOR PAGO]]</f>
        <v>9416</v>
      </c>
    </row>
    <row r="47" spans="2:13" ht="15" thickBot="1" x14ac:dyDescent="0.35">
      <c r="B47" s="424" t="s">
        <v>249</v>
      </c>
      <c r="C47" s="397">
        <v>935</v>
      </c>
      <c r="D47" s="406">
        <v>909</v>
      </c>
      <c r="E47" s="407">
        <v>46195</v>
      </c>
      <c r="F47" s="405" t="s">
        <v>376</v>
      </c>
      <c r="G47" s="406" t="s">
        <v>272</v>
      </c>
      <c r="H47" s="425">
        <v>9416</v>
      </c>
      <c r="I47" s="425"/>
      <c r="J47" s="428">
        <v>46230</v>
      </c>
      <c r="K47" s="429"/>
      <c r="L47" s="430"/>
      <c r="M47" s="416">
        <f>Tabela22465789101112[[#This Row],[VENDA]]+Tabela22465789101112[[#This Row],[MÃO DE OBRA]]-Tabela22465789101112[[#This Row],[VALOR PAGO]]</f>
        <v>9416</v>
      </c>
    </row>
    <row r="48" spans="2:13" ht="15" thickBot="1" x14ac:dyDescent="0.35">
      <c r="B48" s="424" t="s">
        <v>249</v>
      </c>
      <c r="C48" s="397">
        <v>935</v>
      </c>
      <c r="D48" s="406">
        <v>909</v>
      </c>
      <c r="E48" s="407">
        <v>46195</v>
      </c>
      <c r="F48" s="405" t="s">
        <v>376</v>
      </c>
      <c r="G48" s="406" t="s">
        <v>272</v>
      </c>
      <c r="H48" s="425">
        <v>9416</v>
      </c>
      <c r="I48" s="425"/>
      <c r="J48" s="428">
        <v>46237</v>
      </c>
      <c r="K48" s="429"/>
      <c r="L48" s="430"/>
      <c r="M48" s="416">
        <f>Tabela22465789101112[[#This Row],[VENDA]]+Tabela22465789101112[[#This Row],[MÃO DE OBRA]]-Tabela22465789101112[[#This Row],[VALOR PAGO]]</f>
        <v>9416</v>
      </c>
    </row>
    <row r="49" spans="2:13" ht="15" thickBot="1" x14ac:dyDescent="0.35">
      <c r="B49" s="424" t="s">
        <v>249</v>
      </c>
      <c r="C49" s="397">
        <v>935</v>
      </c>
      <c r="D49" s="406">
        <v>909</v>
      </c>
      <c r="E49" s="407">
        <v>46195</v>
      </c>
      <c r="F49" s="405" t="s">
        <v>376</v>
      </c>
      <c r="G49" s="406" t="s">
        <v>272</v>
      </c>
      <c r="H49" s="425">
        <v>9416</v>
      </c>
      <c r="I49" s="425"/>
      <c r="J49" s="428">
        <v>46244</v>
      </c>
      <c r="K49" s="429"/>
      <c r="L49" s="430"/>
      <c r="M49" s="416">
        <f>Tabela22465789101112[[#This Row],[VENDA]]+Tabela22465789101112[[#This Row],[MÃO DE OBRA]]-Tabela22465789101112[[#This Row],[VALOR PAGO]]</f>
        <v>9416</v>
      </c>
    </row>
    <row r="50" spans="2:13" ht="15" thickBot="1" x14ac:dyDescent="0.35">
      <c r="B50" s="431" t="s">
        <v>249</v>
      </c>
      <c r="C50" s="418">
        <v>935</v>
      </c>
      <c r="D50" s="432">
        <v>909</v>
      </c>
      <c r="E50" s="433">
        <v>46195</v>
      </c>
      <c r="F50" s="434" t="s">
        <v>376</v>
      </c>
      <c r="G50" s="432" t="s">
        <v>272</v>
      </c>
      <c r="H50" s="435">
        <v>9416</v>
      </c>
      <c r="I50" s="435"/>
      <c r="J50" s="436">
        <v>46251</v>
      </c>
      <c r="K50" s="437"/>
      <c r="L50" s="438"/>
      <c r="M50" s="388">
        <f>Tabela22465789101112[[#This Row],[VENDA]]+Tabela22465789101112[[#This Row],[MÃO DE OBRA]]-Tabela22465789101112[[#This Row],[VALOR PAGO]]</f>
        <v>9416</v>
      </c>
    </row>
    <row r="51" spans="2:13" ht="15" thickBot="1" x14ac:dyDescent="0.35">
      <c r="B51" s="408" t="s">
        <v>249</v>
      </c>
      <c r="C51" s="396">
        <v>936</v>
      </c>
      <c r="D51" s="409">
        <v>910</v>
      </c>
      <c r="E51" s="410">
        <v>46195</v>
      </c>
      <c r="F51" s="411" t="s">
        <v>377</v>
      </c>
      <c r="G51" s="409" t="s">
        <v>272</v>
      </c>
      <c r="H51" s="413">
        <v>11691.22</v>
      </c>
      <c r="I51" s="413"/>
      <c r="J51" s="414">
        <v>46216</v>
      </c>
      <c r="K51" s="427"/>
      <c r="L51" s="415"/>
      <c r="M51" s="416">
        <f>Tabela22465789101112[[#This Row],[VENDA]]+Tabela22465789101112[[#This Row],[MÃO DE OBRA]]-Tabela22465789101112[[#This Row],[VALOR PAGO]]</f>
        <v>11691.22</v>
      </c>
    </row>
    <row r="52" spans="2:13" ht="15" thickBot="1" x14ac:dyDescent="0.35">
      <c r="B52" s="424" t="s">
        <v>249</v>
      </c>
      <c r="C52" s="397">
        <v>936</v>
      </c>
      <c r="D52" s="406">
        <v>910</v>
      </c>
      <c r="E52" s="407">
        <v>46195</v>
      </c>
      <c r="F52" s="405" t="s">
        <v>377</v>
      </c>
      <c r="G52" s="406" t="s">
        <v>272</v>
      </c>
      <c r="H52" s="425">
        <v>11689</v>
      </c>
      <c r="I52" s="425"/>
      <c r="J52" s="428">
        <v>46223</v>
      </c>
      <c r="K52" s="429"/>
      <c r="L52" s="430"/>
      <c r="M52" s="416">
        <f>Tabela22465789101112[[#This Row],[VENDA]]+Tabela22465789101112[[#This Row],[MÃO DE OBRA]]-Tabela22465789101112[[#This Row],[VALOR PAGO]]</f>
        <v>11689</v>
      </c>
    </row>
    <row r="53" spans="2:13" ht="15" thickBot="1" x14ac:dyDescent="0.35">
      <c r="B53" s="424" t="s">
        <v>249</v>
      </c>
      <c r="C53" s="397">
        <v>936</v>
      </c>
      <c r="D53" s="406">
        <v>910</v>
      </c>
      <c r="E53" s="407">
        <v>46195</v>
      </c>
      <c r="F53" s="405" t="s">
        <v>377</v>
      </c>
      <c r="G53" s="406" t="s">
        <v>272</v>
      </c>
      <c r="H53" s="425">
        <v>11689</v>
      </c>
      <c r="I53" s="425"/>
      <c r="J53" s="428">
        <v>46230</v>
      </c>
      <c r="K53" s="429"/>
      <c r="L53" s="430"/>
      <c r="M53" s="416">
        <f>Tabela22465789101112[[#This Row],[VENDA]]+Tabela22465789101112[[#This Row],[MÃO DE OBRA]]-Tabela22465789101112[[#This Row],[VALOR PAGO]]</f>
        <v>11689</v>
      </c>
    </row>
    <row r="54" spans="2:13" ht="15" thickBot="1" x14ac:dyDescent="0.35">
      <c r="B54" s="424" t="s">
        <v>249</v>
      </c>
      <c r="C54" s="397">
        <v>936</v>
      </c>
      <c r="D54" s="406">
        <v>910</v>
      </c>
      <c r="E54" s="407">
        <v>46195</v>
      </c>
      <c r="F54" s="405" t="s">
        <v>377</v>
      </c>
      <c r="G54" s="406" t="s">
        <v>272</v>
      </c>
      <c r="H54" s="425">
        <v>11689</v>
      </c>
      <c r="I54" s="425"/>
      <c r="J54" s="428">
        <v>46237</v>
      </c>
      <c r="K54" s="429"/>
      <c r="L54" s="430"/>
      <c r="M54" s="416">
        <f>Tabela22465789101112[[#This Row],[VENDA]]+Tabela22465789101112[[#This Row],[MÃO DE OBRA]]-Tabela22465789101112[[#This Row],[VALOR PAGO]]</f>
        <v>11689</v>
      </c>
    </row>
    <row r="55" spans="2:13" ht="15" thickBot="1" x14ac:dyDescent="0.35">
      <c r="B55" s="424" t="s">
        <v>249</v>
      </c>
      <c r="C55" s="397">
        <v>936</v>
      </c>
      <c r="D55" s="406">
        <v>910</v>
      </c>
      <c r="E55" s="407">
        <v>46195</v>
      </c>
      <c r="F55" s="405" t="s">
        <v>377</v>
      </c>
      <c r="G55" s="406" t="s">
        <v>272</v>
      </c>
      <c r="H55" s="425">
        <v>11689</v>
      </c>
      <c r="I55" s="425"/>
      <c r="J55" s="428">
        <v>46244</v>
      </c>
      <c r="K55" s="429"/>
      <c r="L55" s="430"/>
      <c r="M55" s="416">
        <f>Tabela22465789101112[[#This Row],[VENDA]]+Tabela22465789101112[[#This Row],[MÃO DE OBRA]]-Tabela22465789101112[[#This Row],[VALOR PAGO]]</f>
        <v>11689</v>
      </c>
    </row>
    <row r="56" spans="2:13" ht="15" thickBot="1" x14ac:dyDescent="0.35">
      <c r="B56" s="431" t="s">
        <v>249</v>
      </c>
      <c r="C56" s="418">
        <v>936</v>
      </c>
      <c r="D56" s="432">
        <v>910</v>
      </c>
      <c r="E56" s="433">
        <v>46195</v>
      </c>
      <c r="F56" s="434" t="s">
        <v>377</v>
      </c>
      <c r="G56" s="432" t="s">
        <v>272</v>
      </c>
      <c r="H56" s="435">
        <v>11689</v>
      </c>
      <c r="I56" s="435"/>
      <c r="J56" s="436">
        <v>46251</v>
      </c>
      <c r="K56" s="437"/>
      <c r="L56" s="438"/>
      <c r="M56" s="388">
        <f>Tabela22465789101112[[#This Row],[VENDA]]+Tabela22465789101112[[#This Row],[MÃO DE OBRA]]-Tabela22465789101112[[#This Row],[VALOR PAGO]]</f>
        <v>11689</v>
      </c>
    </row>
    <row r="57" spans="2:13" ht="15" thickBot="1" x14ac:dyDescent="0.35">
      <c r="B57" s="408" t="s">
        <v>248</v>
      </c>
      <c r="C57" s="396">
        <v>23872</v>
      </c>
      <c r="D57" s="409">
        <v>5336</v>
      </c>
      <c r="E57" s="410">
        <v>46195</v>
      </c>
      <c r="F57" s="411" t="s">
        <v>236</v>
      </c>
      <c r="G57" s="409" t="s">
        <v>270</v>
      </c>
      <c r="H57" s="413"/>
      <c r="I57" s="413">
        <v>573.07000000000005</v>
      </c>
      <c r="J57" s="414">
        <v>46223</v>
      </c>
      <c r="K57" s="427">
        <v>46205</v>
      </c>
      <c r="L57" s="415">
        <v>573.07000000000005</v>
      </c>
      <c r="M57" s="416">
        <f>Tabela22465789101112[[#This Row],[VENDA]]+Tabela22465789101112[[#This Row],[MÃO DE OBRA]]-Tabela22465789101112[[#This Row],[VALOR PAGO]]</f>
        <v>0</v>
      </c>
    </row>
    <row r="58" spans="2:13" ht="15" thickBot="1" x14ac:dyDescent="0.35">
      <c r="B58" s="424" t="s">
        <v>248</v>
      </c>
      <c r="C58" s="397">
        <v>23872</v>
      </c>
      <c r="D58" s="406">
        <v>5336</v>
      </c>
      <c r="E58" s="407">
        <v>46195</v>
      </c>
      <c r="F58" s="405" t="s">
        <v>236</v>
      </c>
      <c r="G58" s="406" t="s">
        <v>270</v>
      </c>
      <c r="H58" s="425"/>
      <c r="I58" s="425">
        <v>573.07000000000005</v>
      </c>
      <c r="J58" s="428">
        <v>46230</v>
      </c>
      <c r="K58" s="429">
        <v>46205</v>
      </c>
      <c r="L58" s="558">
        <v>459.55</v>
      </c>
      <c r="M58" s="416">
        <f>Tabela22465789101112[[#This Row],[VENDA]]+Tabela22465789101112[[#This Row],[MÃO DE OBRA]]-Tabela22465789101112[[#This Row],[VALOR PAGO]]</f>
        <v>113.52000000000004</v>
      </c>
    </row>
    <row r="59" spans="2:13" ht="15" thickBot="1" x14ac:dyDescent="0.35">
      <c r="B59" s="431" t="s">
        <v>248</v>
      </c>
      <c r="C59" s="418">
        <v>23872</v>
      </c>
      <c r="D59" s="432">
        <v>5336</v>
      </c>
      <c r="E59" s="433">
        <v>46195</v>
      </c>
      <c r="F59" s="434" t="s">
        <v>236</v>
      </c>
      <c r="G59" s="432" t="s">
        <v>270</v>
      </c>
      <c r="H59" s="435"/>
      <c r="I59" s="435">
        <v>573.05999999999995</v>
      </c>
      <c r="J59" s="436">
        <v>46237</v>
      </c>
      <c r="K59" s="437"/>
      <c r="L59" s="438"/>
      <c r="M59" s="388">
        <f>Tabela22465789101112[[#This Row],[VENDA]]+Tabela22465789101112[[#This Row],[MÃO DE OBRA]]-Tabela22465789101112[[#This Row],[VALOR PAGO]]</f>
        <v>573.05999999999995</v>
      </c>
    </row>
    <row r="60" spans="2:13" ht="15" thickBot="1" x14ac:dyDescent="0.35">
      <c r="B60" s="408" t="s">
        <v>249</v>
      </c>
      <c r="C60" s="396">
        <v>939</v>
      </c>
      <c r="D60" s="409">
        <v>917</v>
      </c>
      <c r="E60" s="410">
        <v>46196</v>
      </c>
      <c r="F60" s="411" t="s">
        <v>377</v>
      </c>
      <c r="G60" s="409" t="s">
        <v>272</v>
      </c>
      <c r="H60" s="413">
        <v>8144.5</v>
      </c>
      <c r="I60" s="413"/>
      <c r="J60" s="414">
        <v>46220</v>
      </c>
      <c r="K60" s="409"/>
      <c r="L60" s="415"/>
      <c r="M60" s="416">
        <f>Tabela22465789101112[[#This Row],[VENDA]]+Tabela22465789101112[[#This Row],[MÃO DE OBRA]]-Tabela22465789101112[[#This Row],[VALOR PAGO]]</f>
        <v>8144.5</v>
      </c>
    </row>
    <row r="61" spans="2:13" ht="15" thickBot="1" x14ac:dyDescent="0.35">
      <c r="B61" s="424" t="s">
        <v>249</v>
      </c>
      <c r="C61" s="397">
        <v>939</v>
      </c>
      <c r="D61" s="406">
        <v>917</v>
      </c>
      <c r="E61" s="407">
        <v>46196</v>
      </c>
      <c r="F61" s="405" t="s">
        <v>377</v>
      </c>
      <c r="G61" s="406" t="s">
        <v>272</v>
      </c>
      <c r="H61" s="425">
        <v>8143</v>
      </c>
      <c r="I61" s="425"/>
      <c r="J61" s="428">
        <v>46224</v>
      </c>
      <c r="K61" s="406"/>
      <c r="L61" s="430"/>
      <c r="M61" s="416">
        <f>Tabela22465789101112[[#This Row],[VENDA]]+Tabela22465789101112[[#This Row],[MÃO DE OBRA]]-Tabela22465789101112[[#This Row],[VALOR PAGO]]</f>
        <v>8143</v>
      </c>
    </row>
    <row r="62" spans="2:13" ht="15" thickBot="1" x14ac:dyDescent="0.35">
      <c r="B62" s="424" t="s">
        <v>249</v>
      </c>
      <c r="C62" s="397">
        <v>939</v>
      </c>
      <c r="D62" s="406">
        <v>917</v>
      </c>
      <c r="E62" s="407">
        <v>46196</v>
      </c>
      <c r="F62" s="405" t="s">
        <v>377</v>
      </c>
      <c r="G62" s="406" t="s">
        <v>272</v>
      </c>
      <c r="H62" s="425">
        <v>8143</v>
      </c>
      <c r="I62" s="425"/>
      <c r="J62" s="428">
        <v>46231</v>
      </c>
      <c r="K62" s="406"/>
      <c r="L62" s="430"/>
      <c r="M62" s="416">
        <f>Tabela22465789101112[[#This Row],[VENDA]]+Tabela22465789101112[[#This Row],[MÃO DE OBRA]]-Tabela22465789101112[[#This Row],[VALOR PAGO]]</f>
        <v>8143</v>
      </c>
    </row>
    <row r="63" spans="2:13" ht="15" thickBot="1" x14ac:dyDescent="0.35">
      <c r="B63" s="424" t="s">
        <v>249</v>
      </c>
      <c r="C63" s="397">
        <v>939</v>
      </c>
      <c r="D63" s="406">
        <v>917</v>
      </c>
      <c r="E63" s="407">
        <v>46196</v>
      </c>
      <c r="F63" s="405" t="s">
        <v>377</v>
      </c>
      <c r="G63" s="406" t="s">
        <v>272</v>
      </c>
      <c r="H63" s="425">
        <v>8143</v>
      </c>
      <c r="I63" s="425"/>
      <c r="J63" s="428">
        <v>46238</v>
      </c>
      <c r="K63" s="406"/>
      <c r="L63" s="430"/>
      <c r="M63" s="416">
        <f>Tabela22465789101112[[#This Row],[VENDA]]+Tabela22465789101112[[#This Row],[MÃO DE OBRA]]-Tabela22465789101112[[#This Row],[VALOR PAGO]]</f>
        <v>8143</v>
      </c>
    </row>
    <row r="64" spans="2:13" ht="15" thickBot="1" x14ac:dyDescent="0.35">
      <c r="B64" s="424" t="s">
        <v>249</v>
      </c>
      <c r="C64" s="397">
        <v>939</v>
      </c>
      <c r="D64" s="406">
        <v>917</v>
      </c>
      <c r="E64" s="407">
        <v>46196</v>
      </c>
      <c r="F64" s="405" t="s">
        <v>377</v>
      </c>
      <c r="G64" s="406" t="s">
        <v>272</v>
      </c>
      <c r="H64" s="425">
        <v>8143</v>
      </c>
      <c r="I64" s="425"/>
      <c r="J64" s="428">
        <v>46245</v>
      </c>
      <c r="K64" s="406"/>
      <c r="L64" s="430"/>
      <c r="M64" s="416">
        <f>Tabela22465789101112[[#This Row],[VENDA]]+Tabela22465789101112[[#This Row],[MÃO DE OBRA]]-Tabela22465789101112[[#This Row],[VALOR PAGO]]</f>
        <v>8143</v>
      </c>
    </row>
    <row r="65" spans="2:13" ht="15" thickBot="1" x14ac:dyDescent="0.35">
      <c r="B65" s="424" t="s">
        <v>249</v>
      </c>
      <c r="C65" s="397">
        <v>939</v>
      </c>
      <c r="D65" s="406">
        <v>917</v>
      </c>
      <c r="E65" s="407">
        <v>46196</v>
      </c>
      <c r="F65" s="405" t="s">
        <v>377</v>
      </c>
      <c r="G65" s="406" t="s">
        <v>272</v>
      </c>
      <c r="H65" s="425">
        <v>8143</v>
      </c>
      <c r="I65" s="425"/>
      <c r="J65" s="428">
        <v>46252</v>
      </c>
      <c r="K65" s="406"/>
      <c r="L65" s="430"/>
      <c r="M65" s="416">
        <f>Tabela22465789101112[[#This Row],[VENDA]]+Tabela22465789101112[[#This Row],[MÃO DE OBRA]]-Tabela22465789101112[[#This Row],[VALOR PAGO]]</f>
        <v>8143</v>
      </c>
    </row>
    <row r="66" spans="2:13" x14ac:dyDescent="0.3">
      <c r="B66" s="408" t="s">
        <v>249</v>
      </c>
      <c r="C66" s="396">
        <v>940</v>
      </c>
      <c r="D66" s="409">
        <v>918</v>
      </c>
      <c r="E66" s="410">
        <v>46196</v>
      </c>
      <c r="F66" s="411" t="s">
        <v>377</v>
      </c>
      <c r="G66" s="409" t="s">
        <v>272</v>
      </c>
      <c r="H66" s="413">
        <v>18261.25</v>
      </c>
      <c r="I66" s="413"/>
      <c r="J66" s="414">
        <v>46211</v>
      </c>
      <c r="K66" s="409"/>
      <c r="L66" s="415"/>
      <c r="M66" s="416">
        <f>Tabela22465789101112[[#This Row],[VENDA]]+Tabela22465789101112[[#This Row],[MÃO DE OBRA]]-Tabela22465789101112[[#This Row],[VALOR PAGO]]</f>
        <v>18261.25</v>
      </c>
    </row>
    <row r="67" spans="2:13" x14ac:dyDescent="0.3">
      <c r="B67" s="424" t="s">
        <v>249</v>
      </c>
      <c r="C67" s="397">
        <v>940</v>
      </c>
      <c r="D67" s="406">
        <v>918</v>
      </c>
      <c r="E67" s="407">
        <v>46196</v>
      </c>
      <c r="F67" s="405" t="s">
        <v>377</v>
      </c>
      <c r="G67" s="406" t="s">
        <v>272</v>
      </c>
      <c r="H67" s="425">
        <v>18260</v>
      </c>
      <c r="I67" s="425"/>
      <c r="J67" s="428">
        <v>46226</v>
      </c>
      <c r="K67" s="406"/>
      <c r="L67" s="430"/>
      <c r="M67" s="426">
        <f>Tabela22465789101112[[#This Row],[VENDA]]+Tabela22465789101112[[#This Row],[MÃO DE OBRA]]-Tabela22465789101112[[#This Row],[VALOR PAGO]]</f>
        <v>18260</v>
      </c>
    </row>
    <row r="68" spans="2:13" x14ac:dyDescent="0.3">
      <c r="B68" s="424" t="s">
        <v>249</v>
      </c>
      <c r="C68" s="397">
        <v>940</v>
      </c>
      <c r="D68" s="406">
        <v>918</v>
      </c>
      <c r="E68" s="407">
        <v>46196</v>
      </c>
      <c r="F68" s="405" t="s">
        <v>377</v>
      </c>
      <c r="G68" s="406" t="s">
        <v>272</v>
      </c>
      <c r="H68" s="425">
        <v>18260</v>
      </c>
      <c r="I68" s="425"/>
      <c r="J68" s="428">
        <v>46241</v>
      </c>
      <c r="K68" s="429"/>
      <c r="L68" s="430"/>
      <c r="M68" s="426">
        <f>Tabela22465789101112[[#This Row],[VENDA]]+Tabela22465789101112[[#This Row],[MÃO DE OBRA]]-Tabela22465789101112[[#This Row],[VALOR PAGO]]</f>
        <v>18260</v>
      </c>
    </row>
    <row r="69" spans="2:13" x14ac:dyDescent="0.3">
      <c r="B69" s="424" t="s">
        <v>249</v>
      </c>
      <c r="C69" s="397">
        <v>940</v>
      </c>
      <c r="D69" s="406">
        <v>918</v>
      </c>
      <c r="E69" s="407">
        <v>46196</v>
      </c>
      <c r="F69" s="405" t="s">
        <v>377</v>
      </c>
      <c r="G69" s="406" t="s">
        <v>272</v>
      </c>
      <c r="H69" s="425">
        <v>18260</v>
      </c>
      <c r="I69" s="425"/>
      <c r="J69" s="428">
        <v>46256</v>
      </c>
      <c r="K69" s="406"/>
      <c r="L69" s="430"/>
      <c r="M69" s="426">
        <f>Tabela22465789101112[[#This Row],[VENDA]]+Tabela22465789101112[[#This Row],[MÃO DE OBRA]]-Tabela22465789101112[[#This Row],[VALOR PAGO]]</f>
        <v>18260</v>
      </c>
    </row>
    <row r="70" spans="2:13" x14ac:dyDescent="0.3">
      <c r="B70" s="424" t="s">
        <v>249</v>
      </c>
      <c r="C70" s="397">
        <v>940</v>
      </c>
      <c r="D70" s="406">
        <v>918</v>
      </c>
      <c r="E70" s="407">
        <v>46196</v>
      </c>
      <c r="F70" s="405" t="s">
        <v>377</v>
      </c>
      <c r="G70" s="406" t="s">
        <v>272</v>
      </c>
      <c r="H70" s="425">
        <v>18260</v>
      </c>
      <c r="I70" s="425"/>
      <c r="J70" s="428">
        <v>46271</v>
      </c>
      <c r="K70" s="406"/>
      <c r="L70" s="430"/>
      <c r="M70" s="426">
        <f>Tabela22465789101112[[#This Row],[VENDA]]+Tabela22465789101112[[#This Row],[MÃO DE OBRA]]-Tabela22465789101112[[#This Row],[VALOR PAGO]]</f>
        <v>18260</v>
      </c>
    </row>
    <row r="71" spans="2:13" x14ac:dyDescent="0.3">
      <c r="B71" s="424" t="s">
        <v>249</v>
      </c>
      <c r="C71" s="397">
        <v>940</v>
      </c>
      <c r="D71" s="406">
        <v>918</v>
      </c>
      <c r="E71" s="407">
        <v>46196</v>
      </c>
      <c r="F71" s="405" t="s">
        <v>377</v>
      </c>
      <c r="G71" s="406" t="s">
        <v>272</v>
      </c>
      <c r="H71" s="425">
        <v>18260</v>
      </c>
      <c r="I71" s="425"/>
      <c r="J71" s="428">
        <v>46286</v>
      </c>
      <c r="K71" s="406"/>
      <c r="L71" s="430"/>
      <c r="M71" s="426">
        <f>Tabela22465789101112[[#This Row],[VENDA]]+Tabela22465789101112[[#This Row],[MÃO DE OBRA]]-Tabela22465789101112[[#This Row],[VALOR PAGO]]</f>
        <v>18260</v>
      </c>
    </row>
    <row r="72" spans="2:13" x14ac:dyDescent="0.3">
      <c r="B72" s="424" t="s">
        <v>249</v>
      </c>
      <c r="C72" s="397">
        <v>940</v>
      </c>
      <c r="D72" s="406">
        <v>918</v>
      </c>
      <c r="E72" s="407">
        <v>46196</v>
      </c>
      <c r="F72" s="405" t="s">
        <v>377</v>
      </c>
      <c r="G72" s="406" t="s">
        <v>272</v>
      </c>
      <c r="H72" s="425">
        <v>18260</v>
      </c>
      <c r="I72" s="425"/>
      <c r="J72" s="428">
        <v>46301</v>
      </c>
      <c r="K72" s="406"/>
      <c r="L72" s="430"/>
      <c r="M72" s="426">
        <f>Tabela22465789101112[[#This Row],[VENDA]]+Tabela22465789101112[[#This Row],[MÃO DE OBRA]]-Tabela22465789101112[[#This Row],[VALOR PAGO]]</f>
        <v>18260</v>
      </c>
    </row>
    <row r="73" spans="2:13" ht="15" thickBot="1" x14ac:dyDescent="0.35">
      <c r="B73" s="424" t="s">
        <v>249</v>
      </c>
      <c r="C73" s="397">
        <v>940</v>
      </c>
      <c r="D73" s="406">
        <v>918</v>
      </c>
      <c r="E73" s="407">
        <v>46196</v>
      </c>
      <c r="F73" s="405" t="s">
        <v>377</v>
      </c>
      <c r="G73" s="406" t="s">
        <v>272</v>
      </c>
      <c r="H73" s="425">
        <v>18260</v>
      </c>
      <c r="I73" s="425"/>
      <c r="J73" s="428">
        <v>46316</v>
      </c>
      <c r="K73" s="406"/>
      <c r="L73" s="430"/>
      <c r="M73" s="426">
        <f>Tabela22465789101112[[#This Row],[VENDA]]+Tabela22465789101112[[#This Row],[MÃO DE OBRA]]-Tabela22465789101112[[#This Row],[VALOR PAGO]]</f>
        <v>18260</v>
      </c>
    </row>
    <row r="74" spans="2:13" x14ac:dyDescent="0.3">
      <c r="B74" s="234" t="s">
        <v>249</v>
      </c>
      <c r="C74" s="396">
        <v>941</v>
      </c>
      <c r="D74" s="409">
        <v>915</v>
      </c>
      <c r="E74" s="410">
        <v>46196</v>
      </c>
      <c r="F74" s="411" t="s">
        <v>377</v>
      </c>
      <c r="G74" s="409" t="s">
        <v>272</v>
      </c>
      <c r="H74" s="413">
        <v>21951.25</v>
      </c>
      <c r="I74" s="466"/>
      <c r="J74" s="414">
        <v>46301</v>
      </c>
      <c r="K74" s="409"/>
      <c r="L74" s="415"/>
      <c r="M74" s="416">
        <f>Tabela22465789101112[[#This Row],[VENDA]]+Tabela22465789101112[[#This Row],[MÃO DE OBRA]]-Tabela22465789101112[[#This Row],[VALOR PAGO]]</f>
        <v>21951.25</v>
      </c>
    </row>
    <row r="75" spans="2:13" ht="15" thickBot="1" x14ac:dyDescent="0.35">
      <c r="B75" s="424" t="s">
        <v>249</v>
      </c>
      <c r="C75" s="397">
        <v>941</v>
      </c>
      <c r="D75" s="406">
        <v>915</v>
      </c>
      <c r="E75" s="407">
        <v>46196</v>
      </c>
      <c r="F75" s="405" t="s">
        <v>377</v>
      </c>
      <c r="G75" s="406" t="s">
        <v>272</v>
      </c>
      <c r="H75" s="425">
        <v>21949</v>
      </c>
      <c r="I75" s="455"/>
      <c r="J75" s="428">
        <v>46316</v>
      </c>
      <c r="K75" s="406"/>
      <c r="L75" s="430"/>
      <c r="M75" s="426">
        <f>Tabela22465789101112[[#This Row],[VENDA]]+Tabela22465789101112[[#This Row],[MÃO DE OBRA]]-Tabela22465789101112[[#This Row],[VALOR PAGO]]</f>
        <v>21949</v>
      </c>
    </row>
    <row r="76" spans="2:13" ht="15" thickBot="1" x14ac:dyDescent="0.35">
      <c r="B76" s="431" t="s">
        <v>249</v>
      </c>
      <c r="C76" s="418">
        <v>941</v>
      </c>
      <c r="D76" s="432">
        <v>915</v>
      </c>
      <c r="E76" s="433">
        <v>46196</v>
      </c>
      <c r="F76" s="434" t="s">
        <v>377</v>
      </c>
      <c r="G76" s="432" t="s">
        <v>272</v>
      </c>
      <c r="H76" s="435">
        <v>21949</v>
      </c>
      <c r="I76" s="467"/>
      <c r="J76" s="436">
        <v>46331</v>
      </c>
      <c r="K76" s="432"/>
      <c r="L76" s="438"/>
      <c r="M76" s="388">
        <f>Tabela22465789101112[[#This Row],[VENDA]]+Tabela22465789101112[[#This Row],[MÃO DE OBRA]]-Tabela22465789101112[[#This Row],[VALOR PAGO]]</f>
        <v>21949</v>
      </c>
    </row>
    <row r="77" spans="2:13" ht="15" thickBot="1" x14ac:dyDescent="0.35">
      <c r="B77" s="363" t="s">
        <v>248</v>
      </c>
      <c r="C77" s="364">
        <v>23902</v>
      </c>
      <c r="D77" s="365">
        <v>5331</v>
      </c>
      <c r="E77" s="366">
        <v>46196</v>
      </c>
      <c r="F77" s="384" t="s">
        <v>237</v>
      </c>
      <c r="G77" s="365" t="s">
        <v>270</v>
      </c>
      <c r="H77" s="386"/>
      <c r="I77" s="386">
        <v>1020.2</v>
      </c>
      <c r="J77" s="387">
        <v>46217</v>
      </c>
      <c r="K77" s="444">
        <v>46217</v>
      </c>
      <c r="L77" s="367">
        <v>1020.2</v>
      </c>
      <c r="M77" s="388">
        <f>Tabela22465789101112[[#This Row],[VENDA]]+Tabela22465789101112[[#This Row],[MÃO DE OBRA]]-Tabela22465789101112[[#This Row],[VALOR PAGO]]</f>
        <v>0</v>
      </c>
    </row>
    <row r="78" spans="2:13" ht="15" thickBot="1" x14ac:dyDescent="0.35">
      <c r="B78" s="363" t="s">
        <v>248</v>
      </c>
      <c r="C78" s="364">
        <v>23898</v>
      </c>
      <c r="D78" s="365">
        <v>5305</v>
      </c>
      <c r="E78" s="366">
        <v>46196</v>
      </c>
      <c r="F78" s="384" t="s">
        <v>237</v>
      </c>
      <c r="G78" s="365" t="s">
        <v>270</v>
      </c>
      <c r="H78" s="386"/>
      <c r="I78" s="386">
        <v>1746.36</v>
      </c>
      <c r="J78" s="387">
        <v>46217</v>
      </c>
      <c r="K78" s="444">
        <v>46217</v>
      </c>
      <c r="L78" s="367">
        <v>1746.36</v>
      </c>
      <c r="M78" s="388">
        <f>Tabela22465789101112[[#This Row],[VENDA]]+Tabela22465789101112[[#This Row],[MÃO DE OBRA]]-Tabela22465789101112[[#This Row],[VALOR PAGO]]</f>
        <v>0</v>
      </c>
    </row>
    <row r="79" spans="2:13" x14ac:dyDescent="0.3">
      <c r="B79" s="408" t="s">
        <v>248</v>
      </c>
      <c r="C79" s="396">
        <v>23965</v>
      </c>
      <c r="D79" s="409">
        <v>5394</v>
      </c>
      <c r="E79" s="410">
        <v>46198</v>
      </c>
      <c r="F79" s="411" t="s">
        <v>236</v>
      </c>
      <c r="G79" s="409" t="s">
        <v>270</v>
      </c>
      <c r="H79" s="413"/>
      <c r="I79" s="413">
        <v>229.42</v>
      </c>
      <c r="J79" s="414">
        <v>46226</v>
      </c>
      <c r="K79" s="427">
        <v>46205</v>
      </c>
      <c r="L79" s="415">
        <v>229.43</v>
      </c>
      <c r="M79" s="416">
        <f>Tabela22465789101112[[#This Row],[VENDA]]+Tabela22465789101112[[#This Row],[MÃO DE OBRA]]-Tabela22465789101112[[#This Row],[VALOR PAGO]]</f>
        <v>-1.0000000000019327E-2</v>
      </c>
    </row>
    <row r="80" spans="2:13" x14ac:dyDescent="0.3">
      <c r="B80" s="424" t="s">
        <v>248</v>
      </c>
      <c r="C80" s="397">
        <v>23965</v>
      </c>
      <c r="D80" s="406">
        <v>5394</v>
      </c>
      <c r="E80" s="407">
        <v>46198</v>
      </c>
      <c r="F80" s="405" t="s">
        <v>236</v>
      </c>
      <c r="G80" s="406" t="s">
        <v>270</v>
      </c>
      <c r="H80" s="425"/>
      <c r="I80" s="425">
        <v>229.42</v>
      </c>
      <c r="J80" s="428">
        <v>46233</v>
      </c>
      <c r="K80" s="406"/>
      <c r="L80" s="430"/>
      <c r="M80" s="426">
        <f>Tabela22465789101112[[#This Row],[VENDA]]+Tabela22465789101112[[#This Row],[MÃO DE OBRA]]-Tabela22465789101112[[#This Row],[VALOR PAGO]]</f>
        <v>229.42</v>
      </c>
    </row>
    <row r="81" spans="1:13" ht="15" thickBot="1" x14ac:dyDescent="0.35">
      <c r="B81" s="431" t="s">
        <v>248</v>
      </c>
      <c r="C81" s="418">
        <v>23965</v>
      </c>
      <c r="D81" s="432">
        <v>5394</v>
      </c>
      <c r="E81" s="433">
        <v>46198</v>
      </c>
      <c r="F81" s="434" t="s">
        <v>236</v>
      </c>
      <c r="G81" s="432" t="s">
        <v>270</v>
      </c>
      <c r="H81" s="435"/>
      <c r="I81" s="435">
        <v>229.43</v>
      </c>
      <c r="J81" s="436">
        <v>46240</v>
      </c>
      <c r="K81" s="432"/>
      <c r="L81" s="438"/>
      <c r="M81" s="439">
        <f>Tabela22465789101112[[#This Row],[VENDA]]+Tabela22465789101112[[#This Row],[MÃO DE OBRA]]-Tabela22465789101112[[#This Row],[VALOR PAGO]]</f>
        <v>229.43</v>
      </c>
    </row>
    <row r="82" spans="1:13" ht="15" thickBot="1" x14ac:dyDescent="0.35">
      <c r="B82" s="363" t="s">
        <v>248</v>
      </c>
      <c r="C82" s="364">
        <v>23940</v>
      </c>
      <c r="D82" s="365">
        <v>5301</v>
      </c>
      <c r="E82" s="366">
        <v>46198</v>
      </c>
      <c r="F82" s="384" t="s">
        <v>237</v>
      </c>
      <c r="G82" s="365" t="s">
        <v>270</v>
      </c>
      <c r="H82" s="386"/>
      <c r="I82" s="386">
        <v>1386.45</v>
      </c>
      <c r="J82" s="387">
        <v>46219</v>
      </c>
      <c r="K82" s="444">
        <v>46219</v>
      </c>
      <c r="L82" s="367">
        <v>1386.45</v>
      </c>
      <c r="M82" s="388">
        <f>Tabela22465789101112[[#This Row],[VENDA]]+Tabela22465789101112[[#This Row],[MÃO DE OBRA]]-Tabela22465789101112[[#This Row],[VALOR PAGO]]</f>
        <v>0</v>
      </c>
    </row>
    <row r="83" spans="1:13" x14ac:dyDescent="0.3">
      <c r="B83" s="424"/>
      <c r="C83" s="397"/>
      <c r="D83" s="406"/>
      <c r="E83" s="407"/>
      <c r="F83" s="405"/>
      <c r="G83" s="406"/>
      <c r="H83" s="425"/>
      <c r="I83" s="455"/>
      <c r="J83" s="428"/>
      <c r="K83" s="406"/>
      <c r="L83" s="430"/>
      <c r="M83" s="426">
        <f>Tabela22465789101112[[#This Row],[VENDA]]+Tabela22465789101112[[#This Row],[MÃO DE OBRA]]-Tabela22465789101112[[#This Row],[VALOR PAGO]]</f>
        <v>0</v>
      </c>
    </row>
    <row r="84" spans="1:13" x14ac:dyDescent="0.3">
      <c r="B84" s="424"/>
      <c r="C84" s="397"/>
      <c r="D84" s="406"/>
      <c r="E84" s="407"/>
      <c r="F84" s="405"/>
      <c r="G84" s="406"/>
      <c r="H84" s="425"/>
      <c r="I84" s="455"/>
      <c r="J84" s="428"/>
      <c r="K84" s="406"/>
      <c r="L84" s="430"/>
      <c r="M84" s="426">
        <f>Tabela22465789101112[[#This Row],[VENDA]]+Tabela22465789101112[[#This Row],[MÃO DE OBRA]]-Tabela22465789101112[[#This Row],[VALOR PAGO]]</f>
        <v>0</v>
      </c>
    </row>
    <row r="85" spans="1:13" x14ac:dyDescent="0.3">
      <c r="B85" s="424"/>
      <c r="C85" s="397"/>
      <c r="D85" s="406"/>
      <c r="E85" s="407"/>
      <c r="F85" s="405"/>
      <c r="G85" s="406"/>
      <c r="H85" s="425"/>
      <c r="I85" s="455"/>
      <c r="J85" s="428"/>
      <c r="K85" s="406"/>
      <c r="L85" s="430"/>
      <c r="M85" s="426">
        <f>Tabela22465789101112[[#This Row],[VENDA]]+Tabela22465789101112[[#This Row],[MÃO DE OBRA]]-Tabela22465789101112[[#This Row],[VALOR PAGO]]</f>
        <v>0</v>
      </c>
    </row>
    <row r="86" spans="1:13" ht="15" thickBot="1" x14ac:dyDescent="0.35">
      <c r="B86" s="424"/>
      <c r="C86" s="397"/>
      <c r="D86" s="406"/>
      <c r="E86" s="407"/>
      <c r="F86" s="405"/>
      <c r="G86" s="406"/>
      <c r="H86" s="425"/>
      <c r="I86" s="455"/>
      <c r="J86" s="428"/>
      <c r="K86" s="406"/>
      <c r="L86" s="430"/>
      <c r="M86" s="426">
        <f>Tabela22465789101112[[#This Row],[VENDA]]+Tabela22465789101112[[#This Row],[MÃO DE OBRA]]-Tabela22465789101112[[#This Row],[VALOR PAGO]]</f>
        <v>0</v>
      </c>
    </row>
    <row r="87" spans="1:13" x14ac:dyDescent="0.3">
      <c r="B87" s="424"/>
      <c r="C87" s="397"/>
      <c r="D87" s="406"/>
      <c r="E87" s="407"/>
      <c r="F87" s="405"/>
      <c r="G87" s="406"/>
      <c r="H87" s="425"/>
      <c r="I87" s="455"/>
      <c r="J87" s="428"/>
      <c r="K87" s="406"/>
      <c r="L87" s="430"/>
      <c r="M87" s="416">
        <f>Tabela22465789101112[[#This Row],[VENDA]]+Tabela22465789101112[[#This Row],[MÃO DE OBRA]]-Tabela22465789101112[[#This Row],[VALOR PAGO]]</f>
        <v>0</v>
      </c>
    </row>
    <row r="88" spans="1:13" x14ac:dyDescent="0.3">
      <c r="B88" s="424"/>
      <c r="C88" s="397"/>
      <c r="D88" s="406"/>
      <c r="E88" s="407"/>
      <c r="F88" s="405"/>
      <c r="G88" s="406"/>
      <c r="H88" s="455"/>
      <c r="I88" s="455"/>
      <c r="J88" s="428"/>
      <c r="K88" s="406"/>
      <c r="L88" s="430"/>
      <c r="M88" s="426">
        <f>Tabela22465789101112[[#This Row],[VENDA]]+Tabela22465789101112[[#This Row],[MÃO DE OBRA]]-Tabela22465789101112[[#This Row],[VALOR PAGO]]</f>
        <v>0</v>
      </c>
    </row>
    <row r="89" spans="1:13" ht="15" thickBot="1" x14ac:dyDescent="0.35">
      <c r="B89" s="241"/>
      <c r="C89" s="126"/>
      <c r="D89" s="126"/>
      <c r="E89" s="126"/>
      <c r="F89" s="126"/>
      <c r="G89" s="126"/>
      <c r="H89" s="252"/>
      <c r="I89" s="252"/>
      <c r="J89" s="125"/>
      <c r="K89" s="126"/>
      <c r="L89" s="247"/>
      <c r="M89" s="327">
        <f>Tabela22465789101112[[#This Row],[VENDA]]+Tabela22465789101112[[#This Row],[MÃO DE OBRA]]-Tabela22465789101112[[#This Row],[VALOR PAGO]]</f>
        <v>0</v>
      </c>
    </row>
    <row r="90" spans="1:13" ht="13.8" customHeight="1" thickBot="1" x14ac:dyDescent="0.35">
      <c r="B90" s="417"/>
      <c r="C90" s="126"/>
      <c r="D90" s="126"/>
      <c r="E90" s="126"/>
      <c r="F90" s="126"/>
      <c r="G90" s="126"/>
      <c r="H90" s="391"/>
      <c r="I90" s="391"/>
      <c r="J90" s="125"/>
      <c r="K90" s="126"/>
      <c r="L90" s="247"/>
      <c r="M90" s="327"/>
    </row>
    <row r="91" spans="1:13" ht="18.600000000000001" thickBot="1" x14ac:dyDescent="0.4">
      <c r="B91" s="679" t="s">
        <v>257</v>
      </c>
      <c r="C91" s="680"/>
      <c r="D91" s="400">
        <f>Tabela22465789101112[[#Totals],[VENDA]]</f>
        <v>0</v>
      </c>
      <c r="E91" s="264"/>
      <c r="F91" s="401"/>
      <c r="G91" s="402"/>
      <c r="H91" s="448">
        <f>SUM(H21:H90)</f>
        <v>466225.12</v>
      </c>
      <c r="I91" s="448">
        <f>SUM(Tabela22465789101112[MÃO DE OBRA])</f>
        <v>12615.220000000001</v>
      </c>
      <c r="J91" s="264"/>
      <c r="K91" s="264"/>
      <c r="L91" s="264"/>
      <c r="M91" s="404"/>
    </row>
    <row r="92" spans="1:13" ht="18.600000000000001" thickBot="1" x14ac:dyDescent="0.4">
      <c r="B92" s="662" t="s">
        <v>258</v>
      </c>
      <c r="C92" s="663"/>
      <c r="D92" s="266">
        <f>Tabela22465789101112[[#Totals],[MÃO DE OBRA]]</f>
        <v>0</v>
      </c>
      <c r="E92" s="267"/>
      <c r="F92" s="323"/>
      <c r="G92" s="324"/>
      <c r="H92" s="269"/>
      <c r="I92" s="270"/>
      <c r="J92" s="267"/>
      <c r="K92" s="267"/>
      <c r="L92" s="267"/>
      <c r="M92" s="271"/>
    </row>
    <row r="93" spans="1:13" ht="19.8" customHeight="1" thickBot="1" x14ac:dyDescent="0.45">
      <c r="A93" s="106"/>
      <c r="B93" s="272" t="s">
        <v>259</v>
      </c>
      <c r="C93" s="664">
        <f>SUM(D91+D92)</f>
        <v>0</v>
      </c>
      <c r="D93" s="665"/>
      <c r="E93" s="273"/>
      <c r="F93" s="642" t="s">
        <v>260</v>
      </c>
      <c r="G93" s="642"/>
      <c r="H93" s="642">
        <f>Tabela22465789101112[[#Totals],[VALOR PAGO]]</f>
        <v>0</v>
      </c>
      <c r="I93" s="642"/>
      <c r="J93" s="666" t="s">
        <v>261</v>
      </c>
      <c r="K93" s="666"/>
      <c r="L93" s="642">
        <f>Tabela22465789101112[[#Totals],[VALOR EM ABERTO]]</f>
        <v>0</v>
      </c>
      <c r="M93" s="643"/>
    </row>
  </sheetData>
  <mergeCells count="12">
    <mergeCell ref="L93:M93"/>
    <mergeCell ref="B2:M3"/>
    <mergeCell ref="B4:B5"/>
    <mergeCell ref="C4:G4"/>
    <mergeCell ref="H4:M4"/>
    <mergeCell ref="B19:C19"/>
    <mergeCell ref="B91:C91"/>
    <mergeCell ref="B92:C92"/>
    <mergeCell ref="C93:D93"/>
    <mergeCell ref="F93:G93"/>
    <mergeCell ref="H93:I93"/>
    <mergeCell ref="J93:K93"/>
  </mergeCells>
  <pageMargins left="0.11811023622047245" right="0.51181102362204722" top="0.19685039370078741" bottom="0.19685039370078741" header="0" footer="0"/>
  <pageSetup paperSize="9" scale="70" orientation="landscape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832C-DD7B-467C-9EF0-B69A9EF700CB}">
  <dimension ref="A1:T101"/>
  <sheetViews>
    <sheetView showGridLines="0" topLeftCell="A63" zoomScale="110" zoomScaleNormal="110" workbookViewId="0">
      <selection activeCell="H24" sqref="H24:H72"/>
    </sheetView>
  </sheetViews>
  <sheetFormatPr defaultColWidth="15.77734375" defaultRowHeight="14.4" x14ac:dyDescent="0.3"/>
  <cols>
    <col min="1" max="1" width="3.21875" customWidth="1"/>
    <col min="2" max="2" width="14" customWidth="1"/>
    <col min="3" max="3" width="15.33203125" customWidth="1"/>
    <col min="4" max="4" width="16.109375" customWidth="1"/>
    <col min="5" max="5" width="17.21875" customWidth="1"/>
    <col min="6" max="6" width="17.33203125" customWidth="1"/>
    <col min="7" max="10" width="14.77734375" customWidth="1"/>
    <col min="11" max="11" width="15.77734375" customWidth="1"/>
    <col min="12" max="13" width="14.77734375" customWidth="1"/>
    <col min="14" max="14" width="96.77734375" bestFit="1" customWidth="1"/>
  </cols>
  <sheetData>
    <row r="1" spans="1:20" ht="16.8" customHeight="1" thickBot="1" x14ac:dyDescent="0.35"/>
    <row r="2" spans="1:20" ht="14.4" customHeight="1" x14ac:dyDescent="0.5">
      <c r="A2" s="54"/>
      <c r="B2" s="681" t="s">
        <v>239</v>
      </c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3"/>
      <c r="N2" s="53"/>
      <c r="O2" s="53"/>
      <c r="P2" s="53"/>
      <c r="Q2" s="53"/>
      <c r="R2" s="53"/>
      <c r="S2" s="53"/>
      <c r="T2" s="53"/>
    </row>
    <row r="3" spans="1:20" ht="18" customHeight="1" thickBot="1" x14ac:dyDescent="0.55000000000000004">
      <c r="A3" s="54"/>
      <c r="B3" s="684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6"/>
      <c r="N3" s="53"/>
      <c r="O3" s="53"/>
      <c r="P3" s="53"/>
      <c r="Q3" s="53"/>
      <c r="R3" s="53"/>
      <c r="S3" s="53"/>
      <c r="T3" s="53"/>
    </row>
    <row r="4" spans="1:20" ht="13.8" customHeight="1" thickBot="1" x14ac:dyDescent="0.55000000000000004">
      <c r="A4" s="54"/>
      <c r="B4" s="650" t="s">
        <v>209</v>
      </c>
      <c r="C4" s="687" t="s">
        <v>248</v>
      </c>
      <c r="D4" s="688"/>
      <c r="E4" s="688"/>
      <c r="F4" s="688"/>
      <c r="G4" s="689"/>
      <c r="H4" s="690" t="s">
        <v>249</v>
      </c>
      <c r="I4" s="691"/>
      <c r="J4" s="691"/>
      <c r="K4" s="691"/>
      <c r="L4" s="691"/>
      <c r="M4" s="692"/>
      <c r="N4" s="53"/>
      <c r="O4" s="53"/>
      <c r="P4" s="53"/>
      <c r="Q4" s="53"/>
      <c r="R4" s="53"/>
      <c r="S4" s="53"/>
      <c r="T4" s="53"/>
    </row>
    <row r="5" spans="1:20" ht="12.6" customHeight="1" thickBot="1" x14ac:dyDescent="0.35">
      <c r="A5" s="54"/>
      <c r="B5" s="651"/>
      <c r="C5" s="195">
        <v>2023</v>
      </c>
      <c r="D5" s="196">
        <v>2024</v>
      </c>
      <c r="E5" s="197">
        <v>2025</v>
      </c>
      <c r="F5" s="196">
        <v>2026</v>
      </c>
      <c r="G5" s="198">
        <v>2027</v>
      </c>
      <c r="H5" s="199">
        <v>2025</v>
      </c>
      <c r="I5" s="200">
        <v>2026</v>
      </c>
      <c r="J5" s="199">
        <v>2027</v>
      </c>
      <c r="K5" s="200">
        <v>2028</v>
      </c>
      <c r="L5" s="199">
        <v>2029</v>
      </c>
      <c r="M5" s="200">
        <v>2030</v>
      </c>
    </row>
    <row r="6" spans="1:20" ht="12" customHeight="1" x14ac:dyDescent="0.3">
      <c r="A6" s="54"/>
      <c r="B6" s="201" t="s">
        <v>215</v>
      </c>
      <c r="C6" s="369">
        <v>126073.37</v>
      </c>
      <c r="D6" s="370">
        <v>270562.53000000003</v>
      </c>
      <c r="E6" s="371">
        <v>49887.66</v>
      </c>
      <c r="F6" s="370">
        <f>Tabela224657[[#Totals],[VENDA]]+Tabela224657[[#Totals],[MÃO DE OBRA]]</f>
        <v>50516.042000000001</v>
      </c>
      <c r="G6" s="372">
        <v>0</v>
      </c>
      <c r="H6" s="370">
        <v>0</v>
      </c>
      <c r="I6" s="372">
        <v>0</v>
      </c>
      <c r="J6" s="370">
        <v>0</v>
      </c>
      <c r="K6" s="372">
        <v>0</v>
      </c>
      <c r="L6" s="206">
        <v>0</v>
      </c>
      <c r="M6" s="207">
        <v>0</v>
      </c>
    </row>
    <row r="7" spans="1:20" ht="12" customHeight="1" x14ac:dyDescent="0.3">
      <c r="A7" s="54"/>
      <c r="B7" s="208" t="s">
        <v>210</v>
      </c>
      <c r="C7" s="373">
        <v>166235.96</v>
      </c>
      <c r="D7" s="374">
        <v>324984.96999999997</v>
      </c>
      <c r="E7" s="97">
        <v>15513.83</v>
      </c>
      <c r="F7" s="374">
        <f>Tabela2246578[[#Totals],[VENDA]]+Tabela2246578[[#Totals],[MÃO DE OBRA]]</f>
        <v>65390.11</v>
      </c>
      <c r="G7" s="375">
        <v>0</v>
      </c>
      <c r="H7" s="374">
        <v>0</v>
      </c>
      <c r="I7" s="375">
        <v>0</v>
      </c>
      <c r="J7" s="374">
        <v>0</v>
      </c>
      <c r="K7" s="375">
        <v>0</v>
      </c>
      <c r="L7" s="374">
        <v>0</v>
      </c>
      <c r="M7" s="375">
        <v>0</v>
      </c>
    </row>
    <row r="8" spans="1:20" ht="12" customHeight="1" x14ac:dyDescent="0.3">
      <c r="A8" s="54"/>
      <c r="B8" s="201" t="s">
        <v>216</v>
      </c>
      <c r="C8" s="369">
        <v>119814.85</v>
      </c>
      <c r="D8" s="370">
        <v>256001.57</v>
      </c>
      <c r="E8" s="376">
        <v>32410.22</v>
      </c>
      <c r="F8" s="370">
        <f>'Março 2026'!H109+'Março 2026'!I109</f>
        <v>360332.84000000026</v>
      </c>
      <c r="G8" s="372">
        <v>0</v>
      </c>
      <c r="H8" s="370">
        <v>0</v>
      </c>
      <c r="I8" s="372">
        <v>0</v>
      </c>
      <c r="J8" s="370">
        <v>0</v>
      </c>
      <c r="K8" s="372">
        <v>0</v>
      </c>
      <c r="L8" s="370">
        <v>0</v>
      </c>
      <c r="M8" s="372">
        <v>0</v>
      </c>
    </row>
    <row r="9" spans="1:20" ht="12" customHeight="1" x14ac:dyDescent="0.3">
      <c r="A9" s="54"/>
      <c r="B9" s="208" t="s">
        <v>217</v>
      </c>
      <c r="C9" s="373">
        <v>112668.22</v>
      </c>
      <c r="D9" s="374">
        <v>136419.94</v>
      </c>
      <c r="E9" s="97">
        <v>23117.53</v>
      </c>
      <c r="F9" s="374">
        <f>'Abril 2026'!H78+'Abril 2026'!I78</f>
        <v>113236.21400000001</v>
      </c>
      <c r="G9" s="375">
        <v>0</v>
      </c>
      <c r="H9" s="374">
        <v>0</v>
      </c>
      <c r="I9" s="375">
        <v>0</v>
      </c>
      <c r="J9" s="374">
        <v>0</v>
      </c>
      <c r="K9" s="375">
        <v>0</v>
      </c>
      <c r="L9" s="374">
        <v>0</v>
      </c>
      <c r="M9" s="375">
        <v>0</v>
      </c>
    </row>
    <row r="10" spans="1:20" ht="12" customHeight="1" x14ac:dyDescent="0.3">
      <c r="A10" s="54"/>
      <c r="B10" s="201" t="s">
        <v>218</v>
      </c>
      <c r="C10" s="369">
        <v>39597.94</v>
      </c>
      <c r="D10" s="370">
        <v>57014.400000000001</v>
      </c>
      <c r="E10" s="376">
        <v>11710.4</v>
      </c>
      <c r="F10" s="370">
        <f>H99+I99</f>
        <v>354642.22</v>
      </c>
      <c r="G10" s="372">
        <v>0</v>
      </c>
      <c r="H10" s="370">
        <v>0</v>
      </c>
      <c r="I10" s="372">
        <v>0</v>
      </c>
      <c r="J10" s="370">
        <v>0</v>
      </c>
      <c r="K10" s="372">
        <v>0</v>
      </c>
      <c r="L10" s="370">
        <v>0</v>
      </c>
      <c r="M10" s="372">
        <v>0</v>
      </c>
    </row>
    <row r="11" spans="1:20" ht="12" customHeight="1" x14ac:dyDescent="0.3">
      <c r="A11" s="54"/>
      <c r="B11" s="208" t="s">
        <v>219</v>
      </c>
      <c r="C11" s="373">
        <v>77419.240000000005</v>
      </c>
      <c r="D11" s="374">
        <v>259261.92</v>
      </c>
      <c r="E11" s="97">
        <v>32986.86</v>
      </c>
      <c r="F11" s="374">
        <v>0</v>
      </c>
      <c r="G11" s="375">
        <v>0</v>
      </c>
      <c r="H11" s="374">
        <v>0</v>
      </c>
      <c r="I11" s="375">
        <v>0</v>
      </c>
      <c r="J11" s="374">
        <v>0</v>
      </c>
      <c r="K11" s="375">
        <v>0</v>
      </c>
      <c r="L11" s="374">
        <v>0</v>
      </c>
      <c r="M11" s="375">
        <v>0</v>
      </c>
    </row>
    <row r="12" spans="1:20" ht="12" customHeight="1" x14ac:dyDescent="0.3">
      <c r="A12" s="54"/>
      <c r="B12" s="201" t="s">
        <v>220</v>
      </c>
      <c r="C12" s="369">
        <v>74963.62</v>
      </c>
      <c r="D12" s="370">
        <v>191964.91</v>
      </c>
      <c r="E12" s="376">
        <v>8086.81</v>
      </c>
      <c r="F12" s="370">
        <v>0</v>
      </c>
      <c r="G12" s="372">
        <v>0</v>
      </c>
      <c r="H12" s="370">
        <v>0</v>
      </c>
      <c r="I12" s="372">
        <v>0</v>
      </c>
      <c r="J12" s="370">
        <v>0</v>
      </c>
      <c r="K12" s="372">
        <v>0</v>
      </c>
      <c r="L12" s="370">
        <v>0</v>
      </c>
      <c r="M12" s="372">
        <v>0</v>
      </c>
    </row>
    <row r="13" spans="1:20" ht="12" customHeight="1" x14ac:dyDescent="0.3">
      <c r="A13" s="54"/>
      <c r="B13" s="208" t="s">
        <v>221</v>
      </c>
      <c r="C13" s="373">
        <v>152485.66</v>
      </c>
      <c r="D13" s="374">
        <v>273158.84999999998</v>
      </c>
      <c r="E13" s="97">
        <v>22122.22</v>
      </c>
      <c r="F13" s="374">
        <v>0</v>
      </c>
      <c r="G13" s="375">
        <v>0</v>
      </c>
      <c r="H13" s="374">
        <v>0</v>
      </c>
      <c r="I13" s="375">
        <v>0</v>
      </c>
      <c r="J13" s="374">
        <v>0</v>
      </c>
      <c r="K13" s="375">
        <v>0</v>
      </c>
      <c r="L13" s="374">
        <v>0</v>
      </c>
      <c r="M13" s="375">
        <v>0</v>
      </c>
    </row>
    <row r="14" spans="1:20" ht="12" customHeight="1" x14ac:dyDescent="0.3">
      <c r="A14" s="54"/>
      <c r="B14" s="201" t="s">
        <v>211</v>
      </c>
      <c r="C14" s="369">
        <v>171282.48</v>
      </c>
      <c r="D14" s="370">
        <v>63159.51</v>
      </c>
      <c r="E14" s="376">
        <v>36466.42</v>
      </c>
      <c r="F14" s="370">
        <v>0</v>
      </c>
      <c r="G14" s="372">
        <v>0</v>
      </c>
      <c r="H14" s="370">
        <v>0</v>
      </c>
      <c r="I14" s="372">
        <v>0</v>
      </c>
      <c r="J14" s="370">
        <v>0</v>
      </c>
      <c r="K14" s="372">
        <v>0</v>
      </c>
      <c r="L14" s="370">
        <v>0</v>
      </c>
      <c r="M14" s="372">
        <v>0</v>
      </c>
    </row>
    <row r="15" spans="1:20" ht="12" customHeight="1" x14ac:dyDescent="0.3">
      <c r="A15" s="54"/>
      <c r="B15" s="208" t="s">
        <v>222</v>
      </c>
      <c r="C15" s="373">
        <v>168433.06</v>
      </c>
      <c r="D15" s="374">
        <v>53077.38</v>
      </c>
      <c r="E15" s="97">
        <v>99828</v>
      </c>
      <c r="F15" s="374">
        <v>0</v>
      </c>
      <c r="G15" s="375">
        <v>0</v>
      </c>
      <c r="H15" s="374"/>
      <c r="I15" s="375">
        <v>0</v>
      </c>
      <c r="J15" s="374">
        <v>0</v>
      </c>
      <c r="K15" s="375">
        <v>0</v>
      </c>
      <c r="L15" s="374">
        <v>0</v>
      </c>
      <c r="M15" s="375">
        <v>0</v>
      </c>
    </row>
    <row r="16" spans="1:20" ht="12" customHeight="1" x14ac:dyDescent="0.3">
      <c r="A16" s="54"/>
      <c r="B16" s="201" t="s">
        <v>212</v>
      </c>
      <c r="C16" s="369">
        <v>155757.68</v>
      </c>
      <c r="D16" s="370">
        <v>15517.44</v>
      </c>
      <c r="E16" s="376">
        <f>Tabela2246[[#Totals],[VENDA]]+Tabela2246[[#Totals],[MÃO DE OBRA]]</f>
        <v>381690.36000000004</v>
      </c>
      <c r="F16" s="370">
        <v>0</v>
      </c>
      <c r="G16" s="372">
        <v>0</v>
      </c>
      <c r="H16" s="370">
        <v>0</v>
      </c>
      <c r="I16" s="372">
        <v>0</v>
      </c>
      <c r="J16" s="370">
        <v>0</v>
      </c>
      <c r="K16" s="372">
        <v>0</v>
      </c>
      <c r="L16" s="370">
        <v>0</v>
      </c>
      <c r="M16" s="372">
        <v>0</v>
      </c>
    </row>
    <row r="17" spans="1:14" ht="12" customHeight="1" thickBot="1" x14ac:dyDescent="0.35">
      <c r="A17" s="54"/>
      <c r="B17" s="214" t="s">
        <v>213</v>
      </c>
      <c r="C17" s="377">
        <v>163379.07999999999</v>
      </c>
      <c r="D17" s="377">
        <v>9580.01</v>
      </c>
      <c r="E17" s="377">
        <f>Tabela22465[[#Totals],[VENDA]]+Tabela22465[[#Totals],[MÃO DE OBRA]]</f>
        <v>148680.26</v>
      </c>
      <c r="F17" s="378">
        <v>0</v>
      </c>
      <c r="G17" s="378">
        <v>0</v>
      </c>
      <c r="H17" s="378">
        <v>0</v>
      </c>
      <c r="I17" s="379">
        <v>0</v>
      </c>
      <c r="J17" s="378">
        <v>0</v>
      </c>
      <c r="K17" s="379">
        <v>0</v>
      </c>
      <c r="L17" s="378">
        <v>0</v>
      </c>
      <c r="M17" s="378">
        <v>0</v>
      </c>
    </row>
    <row r="18" spans="1:14" ht="12" customHeight="1" thickBot="1" x14ac:dyDescent="0.35">
      <c r="A18" s="54"/>
      <c r="B18" s="218" t="s">
        <v>214</v>
      </c>
      <c r="C18" s="219">
        <f>SUM(C6:C17)</f>
        <v>1528111.16</v>
      </c>
      <c r="D18" s="220">
        <f>SUM(D6:D17)</f>
        <v>1910703.4299999997</v>
      </c>
      <c r="E18" s="219">
        <f>SUM(E6:E17)</f>
        <v>862500.57000000007</v>
      </c>
      <c r="F18" s="221">
        <f>SUM(F6:F17)</f>
        <v>944117.42600000021</v>
      </c>
      <c r="G18" s="222">
        <v>0</v>
      </c>
      <c r="H18" s="221">
        <f>SUM(H6:H17)</f>
        <v>0</v>
      </c>
      <c r="I18" s="222">
        <v>0</v>
      </c>
      <c r="J18" s="223">
        <f>SUM(J6:J17)</f>
        <v>0</v>
      </c>
      <c r="K18" s="224">
        <v>0</v>
      </c>
      <c r="L18" s="380">
        <f>SUM(L6:L17)</f>
        <v>0</v>
      </c>
      <c r="M18" s="222">
        <v>0</v>
      </c>
    </row>
    <row r="19" spans="1:14" ht="15" customHeight="1" thickBot="1" x14ac:dyDescent="0.35">
      <c r="B19" s="658" t="s">
        <v>274</v>
      </c>
      <c r="C19" s="659"/>
      <c r="D19" s="226">
        <f>SUM(I18+F18)</f>
        <v>944117.42600000021</v>
      </c>
      <c r="E19" s="227"/>
      <c r="F19" s="227"/>
      <c r="G19" s="227"/>
      <c r="H19" s="227"/>
      <c r="I19" s="227"/>
      <c r="J19" s="227"/>
      <c r="K19" s="227"/>
      <c r="L19" s="227"/>
      <c r="M19" s="228"/>
    </row>
    <row r="20" spans="1:14" ht="27.6" customHeight="1" thickBot="1" x14ac:dyDescent="0.35">
      <c r="A20" s="54"/>
      <c r="B20" s="398" t="s">
        <v>251</v>
      </c>
      <c r="C20" s="68" t="s">
        <v>223</v>
      </c>
      <c r="D20" s="69" t="s">
        <v>232</v>
      </c>
      <c r="E20" s="70" t="s">
        <v>224</v>
      </c>
      <c r="F20" s="69" t="s">
        <v>225</v>
      </c>
      <c r="G20" s="69" t="s">
        <v>268</v>
      </c>
      <c r="H20" s="69" t="s">
        <v>226</v>
      </c>
      <c r="I20" s="69" t="s">
        <v>227</v>
      </c>
      <c r="J20" s="69" t="s">
        <v>228</v>
      </c>
      <c r="K20" s="70" t="s">
        <v>229</v>
      </c>
      <c r="L20" s="69" t="s">
        <v>252</v>
      </c>
      <c r="M20" s="399" t="s">
        <v>230</v>
      </c>
      <c r="N20" t="s">
        <v>321</v>
      </c>
    </row>
    <row r="21" spans="1:14" ht="14.4" customHeight="1" thickBot="1" x14ac:dyDescent="0.35">
      <c r="B21" s="408" t="s">
        <v>248</v>
      </c>
      <c r="C21" s="557">
        <v>24103</v>
      </c>
      <c r="D21" s="236">
        <v>5438</v>
      </c>
      <c r="E21" s="237">
        <v>46205</v>
      </c>
      <c r="F21" s="236" t="s">
        <v>237</v>
      </c>
      <c r="G21" s="236" t="s">
        <v>270</v>
      </c>
      <c r="H21" s="311"/>
      <c r="I21" s="311">
        <v>4602.01</v>
      </c>
      <c r="J21" s="310">
        <v>46226</v>
      </c>
      <c r="K21" s="237"/>
      <c r="L21" s="255"/>
      <c r="M21" s="416"/>
    </row>
    <row r="22" spans="1:14" s="383" customFormat="1" ht="15" thickBot="1" x14ac:dyDescent="0.35">
      <c r="B22" s="408" t="s">
        <v>248</v>
      </c>
      <c r="C22" s="396">
        <v>24105</v>
      </c>
      <c r="D22" s="559">
        <v>5513</v>
      </c>
      <c r="E22" s="410">
        <v>46205</v>
      </c>
      <c r="F22" s="411" t="s">
        <v>237</v>
      </c>
      <c r="G22" s="409" t="s">
        <v>270</v>
      </c>
      <c r="H22" s="412"/>
      <c r="I22" s="413">
        <v>7087.9</v>
      </c>
      <c r="J22" s="414">
        <v>46226</v>
      </c>
      <c r="K22" s="427"/>
      <c r="L22" s="415"/>
      <c r="M22" s="416">
        <f>Tabela2246578910111213[[#This Row],[VENDA]]+Tabela2246578910111213[[#This Row],[MÃO DE OBRA]]-Tabela2246578910111213[[#This Row],[VALOR PAGO]]</f>
        <v>7087.9</v>
      </c>
    </row>
    <row r="23" spans="1:14" ht="15" thickBot="1" x14ac:dyDescent="0.35">
      <c r="B23" s="363" t="s">
        <v>248</v>
      </c>
      <c r="C23" s="364">
        <v>24106</v>
      </c>
      <c r="D23" s="560">
        <v>5526</v>
      </c>
      <c r="E23" s="366">
        <v>46205</v>
      </c>
      <c r="F23" s="384" t="s">
        <v>236</v>
      </c>
      <c r="G23" s="365" t="s">
        <v>270</v>
      </c>
      <c r="H23" s="385"/>
      <c r="I23" s="386">
        <v>407.1</v>
      </c>
      <c r="J23" s="387">
        <v>46205</v>
      </c>
      <c r="K23" s="444"/>
      <c r="L23" s="367"/>
      <c r="M23" s="416">
        <f>Tabela2246578910111213[[#This Row],[VENDA]]+Tabela2246578910111213[[#This Row],[MÃO DE OBRA]]-Tabela2246578910111213[[#This Row],[VALOR PAGO]]</f>
        <v>407.1</v>
      </c>
    </row>
    <row r="24" spans="1:14" x14ac:dyDescent="0.3">
      <c r="B24" s="408" t="s">
        <v>249</v>
      </c>
      <c r="C24" s="396">
        <v>21143</v>
      </c>
      <c r="D24" s="409">
        <v>5648</v>
      </c>
      <c r="E24" s="410">
        <v>46206</v>
      </c>
      <c r="F24" s="411" t="s">
        <v>264</v>
      </c>
      <c r="G24" s="409" t="s">
        <v>271</v>
      </c>
      <c r="H24" s="311">
        <v>15623.73</v>
      </c>
      <c r="I24" s="413"/>
      <c r="J24" s="414">
        <v>46221</v>
      </c>
      <c r="K24" s="427"/>
      <c r="L24" s="415"/>
      <c r="M24" s="416">
        <f>Tabela2246578910111213[[#This Row],[VENDA]]+Tabela2246578910111213[[#This Row],[MÃO DE OBRA]]-Tabela2246578910111213[[#This Row],[VALOR PAGO]]</f>
        <v>15623.73</v>
      </c>
    </row>
    <row r="25" spans="1:14" x14ac:dyDescent="0.3">
      <c r="B25" s="424" t="s">
        <v>249</v>
      </c>
      <c r="C25" s="397">
        <v>21143</v>
      </c>
      <c r="D25" s="406">
        <v>5648</v>
      </c>
      <c r="E25" s="407">
        <v>46206</v>
      </c>
      <c r="F25" s="405" t="s">
        <v>264</v>
      </c>
      <c r="G25" s="406" t="s">
        <v>271</v>
      </c>
      <c r="H25" s="248">
        <v>15623.73</v>
      </c>
      <c r="I25" s="425"/>
      <c r="J25" s="428">
        <v>46236</v>
      </c>
      <c r="K25" s="429"/>
      <c r="L25" s="430"/>
      <c r="M25" s="430">
        <f>Tabela2246578910111213[[#This Row],[VENDA]]+Tabela2246578910111213[[#This Row],[MÃO DE OBRA]]-Tabela2246578910111213[[#This Row],[VALOR PAGO]]</f>
        <v>15623.73</v>
      </c>
    </row>
    <row r="26" spans="1:14" x14ac:dyDescent="0.3">
      <c r="B26" s="424" t="s">
        <v>249</v>
      </c>
      <c r="C26" s="397">
        <v>21143</v>
      </c>
      <c r="D26" s="406">
        <v>5648</v>
      </c>
      <c r="E26" s="407">
        <v>46206</v>
      </c>
      <c r="F26" s="405" t="s">
        <v>264</v>
      </c>
      <c r="G26" s="406" t="s">
        <v>271</v>
      </c>
      <c r="H26" s="248">
        <v>15623.73</v>
      </c>
      <c r="I26" s="425"/>
      <c r="J26" s="428">
        <v>46251</v>
      </c>
      <c r="K26" s="429"/>
      <c r="L26" s="430"/>
      <c r="M26" s="430">
        <f>Tabela2246578910111213[[#This Row],[VENDA]]+Tabela2246578910111213[[#This Row],[MÃO DE OBRA]]-Tabela2246578910111213[[#This Row],[VALOR PAGO]]</f>
        <v>15623.73</v>
      </c>
    </row>
    <row r="27" spans="1:14" ht="15" thickBot="1" x14ac:dyDescent="0.35">
      <c r="B27" s="431" t="s">
        <v>249</v>
      </c>
      <c r="C27" s="418">
        <v>21143</v>
      </c>
      <c r="D27" s="432">
        <v>5648</v>
      </c>
      <c r="E27" s="433">
        <v>46206</v>
      </c>
      <c r="F27" s="434" t="s">
        <v>264</v>
      </c>
      <c r="G27" s="432" t="s">
        <v>271</v>
      </c>
      <c r="H27" s="252">
        <v>15623.73</v>
      </c>
      <c r="I27" s="435"/>
      <c r="J27" s="436">
        <v>46266</v>
      </c>
      <c r="K27" s="437"/>
      <c r="L27" s="438"/>
      <c r="M27" s="426">
        <f>Tabela2246578910111213[[#This Row],[VENDA]]+Tabela2246578910111213[[#This Row],[MÃO DE OBRA]]-Tabela2246578910111213[[#This Row],[VALOR PAGO]]</f>
        <v>15623.73</v>
      </c>
    </row>
    <row r="28" spans="1:14" ht="15" thickBot="1" x14ac:dyDescent="0.35">
      <c r="B28" s="424" t="s">
        <v>249</v>
      </c>
      <c r="C28" s="397">
        <v>24183</v>
      </c>
      <c r="D28" s="406">
        <v>5381</v>
      </c>
      <c r="E28" s="407">
        <v>46209</v>
      </c>
      <c r="F28" s="405" t="s">
        <v>264</v>
      </c>
      <c r="G28" s="406" t="s">
        <v>271</v>
      </c>
      <c r="H28" s="248">
        <v>5536</v>
      </c>
      <c r="I28" s="425"/>
      <c r="J28" s="428">
        <v>46254</v>
      </c>
      <c r="K28" s="429"/>
      <c r="L28" s="430"/>
      <c r="M28" s="426">
        <f>Tabela2246578910111213[[#This Row],[VENDA]]+Tabela2246578910111213[[#This Row],[MÃO DE OBRA]]-Tabela2246578910111213[[#This Row],[VALOR PAGO]]</f>
        <v>5536</v>
      </c>
    </row>
    <row r="29" spans="1:14" x14ac:dyDescent="0.3">
      <c r="B29" s="408" t="s">
        <v>248</v>
      </c>
      <c r="C29" s="396">
        <v>24225</v>
      </c>
      <c r="D29" s="559">
        <v>5526</v>
      </c>
      <c r="E29" s="410">
        <v>46210</v>
      </c>
      <c r="F29" s="411" t="s">
        <v>236</v>
      </c>
      <c r="G29" s="409" t="s">
        <v>270</v>
      </c>
      <c r="H29" s="413"/>
      <c r="I29" s="413">
        <v>1972.82</v>
      </c>
      <c r="J29" s="414">
        <v>46238</v>
      </c>
      <c r="K29" s="427"/>
      <c r="L29" s="415"/>
      <c r="M29" s="416">
        <f>Tabela2246578910111213[[#This Row],[VENDA]]+Tabela2246578910111213[[#This Row],[MÃO DE OBRA]]-Tabela2246578910111213[[#This Row],[VALOR PAGO]]</f>
        <v>1972.82</v>
      </c>
    </row>
    <row r="30" spans="1:14" x14ac:dyDescent="0.3">
      <c r="B30" s="424" t="s">
        <v>248</v>
      </c>
      <c r="C30" s="397">
        <v>24225</v>
      </c>
      <c r="D30" s="472">
        <v>5526</v>
      </c>
      <c r="E30" s="407">
        <v>46210</v>
      </c>
      <c r="F30" s="405" t="s">
        <v>236</v>
      </c>
      <c r="G30" s="406" t="s">
        <v>270</v>
      </c>
      <c r="H30" s="425"/>
      <c r="I30" s="425">
        <v>1972.82</v>
      </c>
      <c r="J30" s="428">
        <v>46245</v>
      </c>
      <c r="K30" s="429"/>
      <c r="L30" s="430"/>
      <c r="M30" s="430">
        <f>Tabela2246578910111213[[#This Row],[VENDA]]+Tabela2246578910111213[[#This Row],[MÃO DE OBRA]]-Tabela2246578910111213[[#This Row],[VALOR PAGO]]</f>
        <v>1972.82</v>
      </c>
    </row>
    <row r="31" spans="1:14" ht="15" thickBot="1" x14ac:dyDescent="0.35">
      <c r="B31" s="431" t="s">
        <v>248</v>
      </c>
      <c r="C31" s="418">
        <v>24225</v>
      </c>
      <c r="D31" s="561">
        <v>5526</v>
      </c>
      <c r="E31" s="433">
        <v>46210</v>
      </c>
      <c r="F31" s="434" t="s">
        <v>236</v>
      </c>
      <c r="G31" s="432" t="s">
        <v>270</v>
      </c>
      <c r="H31" s="435"/>
      <c r="I31" s="435">
        <v>1972.82</v>
      </c>
      <c r="J31" s="436">
        <v>46252</v>
      </c>
      <c r="K31" s="437"/>
      <c r="L31" s="438"/>
      <c r="M31" s="426">
        <f>Tabela2246578910111213[[#This Row],[VENDA]]+Tabela2246578910111213[[#This Row],[MÃO DE OBRA]]-Tabela2246578910111213[[#This Row],[VALOR PAGO]]</f>
        <v>1972.82</v>
      </c>
    </row>
    <row r="32" spans="1:14" x14ac:dyDescent="0.3">
      <c r="B32" s="408" t="s">
        <v>248</v>
      </c>
      <c r="C32" s="396">
        <v>24226</v>
      </c>
      <c r="D32" s="409">
        <v>5600</v>
      </c>
      <c r="E32" s="410">
        <v>46210</v>
      </c>
      <c r="F32" s="411" t="s">
        <v>236</v>
      </c>
      <c r="G32" s="409" t="s">
        <v>270</v>
      </c>
      <c r="H32" s="413"/>
      <c r="I32" s="413">
        <v>577.87</v>
      </c>
      <c r="J32" s="414">
        <v>46238</v>
      </c>
      <c r="K32" s="427"/>
      <c r="L32" s="415"/>
      <c r="M32" s="416">
        <f>Tabela2246578910111213[[#This Row],[VENDA]]+Tabela2246578910111213[[#This Row],[MÃO DE OBRA]]-Tabela2246578910111213[[#This Row],[VALOR PAGO]]</f>
        <v>577.87</v>
      </c>
    </row>
    <row r="33" spans="2:13" x14ac:dyDescent="0.3">
      <c r="B33" s="424" t="s">
        <v>248</v>
      </c>
      <c r="C33" s="397">
        <v>24226</v>
      </c>
      <c r="D33" s="406">
        <v>5600</v>
      </c>
      <c r="E33" s="407">
        <v>46210</v>
      </c>
      <c r="F33" s="405" t="s">
        <v>236</v>
      </c>
      <c r="G33" s="406" t="s">
        <v>270</v>
      </c>
      <c r="H33" s="425"/>
      <c r="I33" s="425">
        <v>577.87</v>
      </c>
      <c r="J33" s="428">
        <v>46245</v>
      </c>
      <c r="K33" s="429"/>
      <c r="L33" s="430"/>
      <c r="M33" s="430">
        <f>Tabela2246578910111213[[#This Row],[VENDA]]+Tabela2246578910111213[[#This Row],[MÃO DE OBRA]]-Tabela2246578910111213[[#This Row],[VALOR PAGO]]</f>
        <v>577.87</v>
      </c>
    </row>
    <row r="34" spans="2:13" ht="15" thickBot="1" x14ac:dyDescent="0.35">
      <c r="B34" s="431" t="s">
        <v>248</v>
      </c>
      <c r="C34" s="418">
        <v>24226</v>
      </c>
      <c r="D34" s="432">
        <v>5600</v>
      </c>
      <c r="E34" s="433">
        <v>46210</v>
      </c>
      <c r="F34" s="434" t="s">
        <v>236</v>
      </c>
      <c r="G34" s="432" t="s">
        <v>270</v>
      </c>
      <c r="H34" s="435"/>
      <c r="I34" s="252">
        <v>577.88</v>
      </c>
      <c r="J34" s="436">
        <v>46252</v>
      </c>
      <c r="K34" s="437"/>
      <c r="L34" s="438"/>
      <c r="M34" s="426">
        <f>Tabela2246578910111213[[#This Row],[VENDA]]+Tabela2246578910111213[[#This Row],[MÃO DE OBRA]]-Tabela2246578910111213[[#This Row],[VALOR PAGO]]</f>
        <v>577.88</v>
      </c>
    </row>
    <row r="35" spans="2:13" x14ac:dyDescent="0.3">
      <c r="B35" s="408" t="s">
        <v>249</v>
      </c>
      <c r="C35" s="396">
        <v>960</v>
      </c>
      <c r="D35" s="409">
        <v>936</v>
      </c>
      <c r="E35" s="410">
        <v>46212</v>
      </c>
      <c r="F35" s="411" t="s">
        <v>376</v>
      </c>
      <c r="G35" s="409" t="s">
        <v>272</v>
      </c>
      <c r="H35" s="413">
        <v>7502.2</v>
      </c>
      <c r="I35" s="311"/>
      <c r="J35" s="414">
        <v>46233</v>
      </c>
      <c r="K35" s="427"/>
      <c r="L35" s="415"/>
      <c r="M35" s="416">
        <f>Tabela2246578910111213[[#This Row],[VENDA]]+Tabela2246578910111213[[#This Row],[MÃO DE OBRA]]-Tabela2246578910111213[[#This Row],[VALOR PAGO]]</f>
        <v>7502.2</v>
      </c>
    </row>
    <row r="36" spans="2:13" x14ac:dyDescent="0.3">
      <c r="B36" s="424" t="s">
        <v>249</v>
      </c>
      <c r="C36" s="397">
        <v>960</v>
      </c>
      <c r="D36" s="406">
        <v>936</v>
      </c>
      <c r="E36" s="407">
        <v>46212</v>
      </c>
      <c r="F36" s="405" t="s">
        <v>376</v>
      </c>
      <c r="G36" s="406" t="s">
        <v>272</v>
      </c>
      <c r="H36" s="425">
        <v>7501</v>
      </c>
      <c r="I36" s="248"/>
      <c r="J36" s="428">
        <v>46240</v>
      </c>
      <c r="K36" s="429"/>
      <c r="L36" s="430"/>
      <c r="M36" s="430">
        <f>Tabela2246578910111213[[#This Row],[VENDA]]+Tabela2246578910111213[[#This Row],[MÃO DE OBRA]]-Tabela2246578910111213[[#This Row],[VALOR PAGO]]</f>
        <v>7501</v>
      </c>
    </row>
    <row r="37" spans="2:13" x14ac:dyDescent="0.3">
      <c r="B37" s="424" t="s">
        <v>249</v>
      </c>
      <c r="C37" s="397">
        <v>960</v>
      </c>
      <c r="D37" s="406">
        <v>936</v>
      </c>
      <c r="E37" s="407">
        <v>46212</v>
      </c>
      <c r="F37" s="405" t="s">
        <v>376</v>
      </c>
      <c r="G37" s="406" t="s">
        <v>272</v>
      </c>
      <c r="H37" s="425">
        <v>7501</v>
      </c>
      <c r="I37" s="425"/>
      <c r="J37" s="428">
        <v>46247</v>
      </c>
      <c r="K37" s="429"/>
      <c r="L37" s="430"/>
      <c r="M37" s="430">
        <f>Tabela2246578910111213[[#This Row],[VENDA]]+Tabela2246578910111213[[#This Row],[MÃO DE OBRA]]-Tabela2246578910111213[[#This Row],[VALOR PAGO]]</f>
        <v>7501</v>
      </c>
    </row>
    <row r="38" spans="2:13" x14ac:dyDescent="0.3">
      <c r="B38" s="424" t="s">
        <v>249</v>
      </c>
      <c r="C38" s="397">
        <v>960</v>
      </c>
      <c r="D38" s="406">
        <v>936</v>
      </c>
      <c r="E38" s="407">
        <v>46212</v>
      </c>
      <c r="F38" s="405" t="s">
        <v>376</v>
      </c>
      <c r="G38" s="406" t="s">
        <v>272</v>
      </c>
      <c r="H38" s="425">
        <v>7501</v>
      </c>
      <c r="I38" s="425"/>
      <c r="J38" s="428">
        <v>46254</v>
      </c>
      <c r="K38" s="429"/>
      <c r="L38" s="430"/>
      <c r="M38" s="430">
        <f>Tabela2246578910111213[[#This Row],[VENDA]]+Tabela2246578910111213[[#This Row],[MÃO DE OBRA]]-Tabela2246578910111213[[#This Row],[VALOR PAGO]]</f>
        <v>7501</v>
      </c>
    </row>
    <row r="39" spans="2:13" x14ac:dyDescent="0.3">
      <c r="B39" s="424" t="s">
        <v>249</v>
      </c>
      <c r="C39" s="397">
        <v>960</v>
      </c>
      <c r="D39" s="406">
        <v>936</v>
      </c>
      <c r="E39" s="407">
        <v>46212</v>
      </c>
      <c r="F39" s="405" t="s">
        <v>376</v>
      </c>
      <c r="G39" s="406" t="s">
        <v>272</v>
      </c>
      <c r="H39" s="425">
        <v>7501</v>
      </c>
      <c r="I39" s="425"/>
      <c r="J39" s="428">
        <v>46261</v>
      </c>
      <c r="K39" s="429"/>
      <c r="L39" s="430"/>
      <c r="M39" s="430">
        <f>Tabela2246578910111213[[#This Row],[VENDA]]+Tabela2246578910111213[[#This Row],[MÃO DE OBRA]]-Tabela2246578910111213[[#This Row],[VALOR PAGO]]</f>
        <v>7501</v>
      </c>
    </row>
    <row r="40" spans="2:13" ht="15" thickBot="1" x14ac:dyDescent="0.35">
      <c r="B40" s="431" t="s">
        <v>249</v>
      </c>
      <c r="C40" s="418">
        <v>960</v>
      </c>
      <c r="D40" s="432">
        <v>936</v>
      </c>
      <c r="E40" s="433">
        <v>46212</v>
      </c>
      <c r="F40" s="434" t="s">
        <v>376</v>
      </c>
      <c r="G40" s="432" t="s">
        <v>272</v>
      </c>
      <c r="H40" s="435">
        <v>7501</v>
      </c>
      <c r="I40" s="435"/>
      <c r="J40" s="436">
        <v>46268</v>
      </c>
      <c r="K40" s="437"/>
      <c r="L40" s="438"/>
      <c r="M40" s="426">
        <f>Tabela2246578910111213[[#This Row],[VENDA]]+Tabela2246578910111213[[#This Row],[MÃO DE OBRA]]-Tabela2246578910111213[[#This Row],[VALOR PAGO]]</f>
        <v>7501</v>
      </c>
    </row>
    <row r="41" spans="2:13" x14ac:dyDescent="0.3">
      <c r="B41" s="408" t="s">
        <v>249</v>
      </c>
      <c r="C41" s="396">
        <v>961</v>
      </c>
      <c r="D41" s="409">
        <v>937</v>
      </c>
      <c r="E41" s="410">
        <v>46212</v>
      </c>
      <c r="F41" s="411" t="s">
        <v>377</v>
      </c>
      <c r="G41" s="409" t="s">
        <v>272</v>
      </c>
      <c r="H41" s="413">
        <v>11970</v>
      </c>
      <c r="I41" s="413"/>
      <c r="J41" s="414">
        <v>46233</v>
      </c>
      <c r="K41" s="427"/>
      <c r="L41" s="415"/>
      <c r="M41" s="416">
        <f>Tabela2246578910111213[[#This Row],[VENDA]]+Tabela2246578910111213[[#This Row],[MÃO DE OBRA]]-Tabela2246578910111213[[#This Row],[VALOR PAGO]]</f>
        <v>11970</v>
      </c>
    </row>
    <row r="42" spans="2:13" x14ac:dyDescent="0.3">
      <c r="B42" s="424" t="s">
        <v>249</v>
      </c>
      <c r="C42" s="397">
        <v>961</v>
      </c>
      <c r="D42" s="406">
        <v>937</v>
      </c>
      <c r="E42" s="407">
        <v>46212</v>
      </c>
      <c r="F42" s="405" t="s">
        <v>377</v>
      </c>
      <c r="G42" s="406" t="s">
        <v>272</v>
      </c>
      <c r="H42" s="425">
        <v>11970</v>
      </c>
      <c r="I42" s="425"/>
      <c r="J42" s="428">
        <v>46240</v>
      </c>
      <c r="K42" s="429"/>
      <c r="L42" s="430"/>
      <c r="M42" s="430">
        <f>Tabela2246578910111213[[#This Row],[VENDA]]+Tabela2246578910111213[[#This Row],[MÃO DE OBRA]]-Tabela2246578910111213[[#This Row],[VALOR PAGO]]</f>
        <v>11970</v>
      </c>
    </row>
    <row r="43" spans="2:13" x14ac:dyDescent="0.3">
      <c r="B43" s="424" t="s">
        <v>249</v>
      </c>
      <c r="C43" s="397">
        <v>961</v>
      </c>
      <c r="D43" s="406">
        <v>937</v>
      </c>
      <c r="E43" s="407">
        <v>46212</v>
      </c>
      <c r="F43" s="405" t="s">
        <v>377</v>
      </c>
      <c r="G43" s="406" t="s">
        <v>272</v>
      </c>
      <c r="H43" s="425">
        <v>11970</v>
      </c>
      <c r="I43" s="425"/>
      <c r="J43" s="428">
        <v>46247</v>
      </c>
      <c r="K43" s="429"/>
      <c r="L43" s="430"/>
      <c r="M43" s="430">
        <f>Tabela2246578910111213[[#This Row],[VENDA]]+Tabela2246578910111213[[#This Row],[MÃO DE OBRA]]-Tabela2246578910111213[[#This Row],[VALOR PAGO]]</f>
        <v>11970</v>
      </c>
    </row>
    <row r="44" spans="2:13" x14ac:dyDescent="0.3">
      <c r="B44" s="424" t="s">
        <v>249</v>
      </c>
      <c r="C44" s="397">
        <v>961</v>
      </c>
      <c r="D44" s="406">
        <v>937</v>
      </c>
      <c r="E44" s="407">
        <v>46212</v>
      </c>
      <c r="F44" s="405" t="s">
        <v>377</v>
      </c>
      <c r="G44" s="406" t="s">
        <v>272</v>
      </c>
      <c r="H44" s="425">
        <v>11970</v>
      </c>
      <c r="I44" s="425"/>
      <c r="J44" s="428">
        <v>46254</v>
      </c>
      <c r="K44" s="429"/>
      <c r="L44" s="430"/>
      <c r="M44" s="430">
        <f>Tabela2246578910111213[[#This Row],[VENDA]]+Tabela2246578910111213[[#This Row],[MÃO DE OBRA]]-Tabela2246578910111213[[#This Row],[VALOR PAGO]]</f>
        <v>11970</v>
      </c>
    </row>
    <row r="45" spans="2:13" x14ac:dyDescent="0.3">
      <c r="B45" s="424" t="s">
        <v>249</v>
      </c>
      <c r="C45" s="397">
        <v>961</v>
      </c>
      <c r="D45" s="406">
        <v>937</v>
      </c>
      <c r="E45" s="407">
        <v>46212</v>
      </c>
      <c r="F45" s="405" t="s">
        <v>377</v>
      </c>
      <c r="G45" s="406" t="s">
        <v>272</v>
      </c>
      <c r="H45" s="425">
        <v>11970</v>
      </c>
      <c r="I45" s="425"/>
      <c r="J45" s="428">
        <v>46261</v>
      </c>
      <c r="K45" s="429"/>
      <c r="L45" s="430"/>
      <c r="M45" s="430">
        <f>Tabela2246578910111213[[#This Row],[VENDA]]+Tabela2246578910111213[[#This Row],[MÃO DE OBRA]]-Tabela2246578910111213[[#This Row],[VALOR PAGO]]</f>
        <v>11970</v>
      </c>
    </row>
    <row r="46" spans="2:13" ht="15" thickBot="1" x14ac:dyDescent="0.35">
      <c r="B46" s="431" t="s">
        <v>249</v>
      </c>
      <c r="C46" s="418">
        <v>961</v>
      </c>
      <c r="D46" s="432">
        <v>937</v>
      </c>
      <c r="E46" s="433">
        <v>46212</v>
      </c>
      <c r="F46" s="434" t="s">
        <v>377</v>
      </c>
      <c r="G46" s="432" t="s">
        <v>272</v>
      </c>
      <c r="H46" s="435">
        <v>11970</v>
      </c>
      <c r="I46" s="435"/>
      <c r="J46" s="436">
        <v>46268</v>
      </c>
      <c r="K46" s="437"/>
      <c r="L46" s="438"/>
      <c r="M46" s="426">
        <f>Tabela2246578910111213[[#This Row],[VENDA]]+Tabela2246578910111213[[#This Row],[MÃO DE OBRA]]-Tabela2246578910111213[[#This Row],[VALOR PAGO]]</f>
        <v>11970</v>
      </c>
    </row>
    <row r="47" spans="2:13" x14ac:dyDescent="0.3">
      <c r="B47" s="408" t="s">
        <v>249</v>
      </c>
      <c r="C47" s="396">
        <v>962</v>
      </c>
      <c r="D47" s="409">
        <v>938</v>
      </c>
      <c r="E47" s="410">
        <v>46212</v>
      </c>
      <c r="F47" s="411" t="s">
        <v>378</v>
      </c>
      <c r="G47" s="409" t="s">
        <v>272</v>
      </c>
      <c r="H47" s="413">
        <v>4294.4399999999996</v>
      </c>
      <c r="I47" s="413"/>
      <c r="J47" s="414">
        <v>46233</v>
      </c>
      <c r="K47" s="427"/>
      <c r="L47" s="415"/>
      <c r="M47" s="416">
        <f>Tabela2246578910111213[[#This Row],[VENDA]]+Tabela2246578910111213[[#This Row],[MÃO DE OBRA]]-Tabela2246578910111213[[#This Row],[VALOR PAGO]]</f>
        <v>4294.4399999999996</v>
      </c>
    </row>
    <row r="48" spans="2:13" x14ac:dyDescent="0.3">
      <c r="B48" s="424" t="s">
        <v>249</v>
      </c>
      <c r="C48" s="397">
        <v>962</v>
      </c>
      <c r="D48" s="406">
        <v>938</v>
      </c>
      <c r="E48" s="407">
        <v>46212</v>
      </c>
      <c r="F48" s="405" t="s">
        <v>378</v>
      </c>
      <c r="G48" s="406" t="s">
        <v>272</v>
      </c>
      <c r="H48" s="425">
        <v>4293</v>
      </c>
      <c r="I48" s="425"/>
      <c r="J48" s="428">
        <v>46240</v>
      </c>
      <c r="K48" s="429"/>
      <c r="L48" s="430"/>
      <c r="M48" s="430">
        <f>Tabela2246578910111213[[#This Row],[VENDA]]+Tabela2246578910111213[[#This Row],[MÃO DE OBRA]]-Tabela2246578910111213[[#This Row],[VALOR PAGO]]</f>
        <v>4293</v>
      </c>
    </row>
    <row r="49" spans="2:13" x14ac:dyDescent="0.3">
      <c r="B49" s="424" t="s">
        <v>249</v>
      </c>
      <c r="C49" s="397">
        <v>962</v>
      </c>
      <c r="D49" s="406">
        <v>938</v>
      </c>
      <c r="E49" s="407">
        <v>46212</v>
      </c>
      <c r="F49" s="405" t="s">
        <v>378</v>
      </c>
      <c r="G49" s="406" t="s">
        <v>272</v>
      </c>
      <c r="H49" s="425">
        <v>4293</v>
      </c>
      <c r="I49" s="425"/>
      <c r="J49" s="428">
        <v>46247</v>
      </c>
      <c r="K49" s="429"/>
      <c r="L49" s="430"/>
      <c r="M49" s="430">
        <f>Tabela2246578910111213[[#This Row],[VENDA]]+Tabela2246578910111213[[#This Row],[MÃO DE OBRA]]-Tabela2246578910111213[[#This Row],[VALOR PAGO]]</f>
        <v>4293</v>
      </c>
    </row>
    <row r="50" spans="2:13" x14ac:dyDescent="0.3">
      <c r="B50" s="424" t="s">
        <v>249</v>
      </c>
      <c r="C50" s="397">
        <v>962</v>
      </c>
      <c r="D50" s="406">
        <v>938</v>
      </c>
      <c r="E50" s="407">
        <v>46212</v>
      </c>
      <c r="F50" s="405" t="s">
        <v>378</v>
      </c>
      <c r="G50" s="406" t="s">
        <v>272</v>
      </c>
      <c r="H50" s="425">
        <v>4293</v>
      </c>
      <c r="I50" s="425"/>
      <c r="J50" s="428">
        <v>46254</v>
      </c>
      <c r="K50" s="429"/>
      <c r="L50" s="430"/>
      <c r="M50" s="430">
        <f>Tabela2246578910111213[[#This Row],[VENDA]]+Tabela2246578910111213[[#This Row],[MÃO DE OBRA]]-Tabela2246578910111213[[#This Row],[VALOR PAGO]]</f>
        <v>4293</v>
      </c>
    </row>
    <row r="51" spans="2:13" x14ac:dyDescent="0.3">
      <c r="B51" s="424" t="s">
        <v>249</v>
      </c>
      <c r="C51" s="397">
        <v>962</v>
      </c>
      <c r="D51" s="406">
        <v>938</v>
      </c>
      <c r="E51" s="407">
        <v>46212</v>
      </c>
      <c r="F51" s="405" t="s">
        <v>378</v>
      </c>
      <c r="G51" s="406" t="s">
        <v>272</v>
      </c>
      <c r="H51" s="425">
        <v>4293</v>
      </c>
      <c r="I51" s="425"/>
      <c r="J51" s="428">
        <v>46261</v>
      </c>
      <c r="K51" s="429"/>
      <c r="L51" s="430"/>
      <c r="M51" s="430">
        <f>Tabela2246578910111213[[#This Row],[VENDA]]+Tabela2246578910111213[[#This Row],[MÃO DE OBRA]]-Tabela2246578910111213[[#This Row],[VALOR PAGO]]</f>
        <v>4293</v>
      </c>
    </row>
    <row r="52" spans="2:13" ht="15" thickBot="1" x14ac:dyDescent="0.35">
      <c r="B52" s="431" t="s">
        <v>249</v>
      </c>
      <c r="C52" s="418">
        <v>962</v>
      </c>
      <c r="D52" s="432">
        <v>938</v>
      </c>
      <c r="E52" s="433">
        <v>46212</v>
      </c>
      <c r="F52" s="434" t="s">
        <v>378</v>
      </c>
      <c r="G52" s="432" t="s">
        <v>272</v>
      </c>
      <c r="H52" s="435">
        <v>4293</v>
      </c>
      <c r="I52" s="435"/>
      <c r="J52" s="436">
        <v>46268</v>
      </c>
      <c r="K52" s="437"/>
      <c r="L52" s="438"/>
      <c r="M52" s="426">
        <f>Tabela2246578910111213[[#This Row],[VENDA]]+Tabela2246578910111213[[#This Row],[MÃO DE OBRA]]-Tabela2246578910111213[[#This Row],[VALOR PAGO]]</f>
        <v>4293</v>
      </c>
    </row>
    <row r="53" spans="2:13" ht="15" thickBot="1" x14ac:dyDescent="0.35">
      <c r="B53" s="363" t="s">
        <v>249</v>
      </c>
      <c r="C53" s="364">
        <v>24315</v>
      </c>
      <c r="D53" s="365">
        <v>5727</v>
      </c>
      <c r="E53" s="366">
        <v>46213</v>
      </c>
      <c r="F53" s="384" t="s">
        <v>379</v>
      </c>
      <c r="G53" s="365" t="s">
        <v>272</v>
      </c>
      <c r="H53" s="386">
        <f>150*34.98</f>
        <v>5246.9999999999991</v>
      </c>
      <c r="I53" s="386"/>
      <c r="J53" s="387">
        <v>46213</v>
      </c>
      <c r="K53" s="444">
        <v>46213</v>
      </c>
      <c r="L53" s="367">
        <v>5247</v>
      </c>
      <c r="M53" s="388">
        <f>Tabela2246578910111213[[#This Row],[VENDA]]+Tabela2246578910111213[[#This Row],[MÃO DE OBRA]]-Tabela2246578910111213[[#This Row],[VALOR PAGO]]</f>
        <v>0</v>
      </c>
    </row>
    <row r="54" spans="2:13" ht="15" thickBot="1" x14ac:dyDescent="0.35">
      <c r="B54" s="363" t="s">
        <v>248</v>
      </c>
      <c r="C54" s="364">
        <v>24359</v>
      </c>
      <c r="D54" s="365">
        <v>5688</v>
      </c>
      <c r="E54" s="366">
        <v>46216</v>
      </c>
      <c r="F54" s="384" t="s">
        <v>236</v>
      </c>
      <c r="G54" s="365" t="s">
        <v>270</v>
      </c>
      <c r="H54" s="386"/>
      <c r="I54" s="386">
        <v>543.37</v>
      </c>
      <c r="J54" s="387">
        <v>46251</v>
      </c>
      <c r="K54" s="444"/>
      <c r="L54" s="367"/>
      <c r="M54" s="388">
        <f>Tabela2246578910111213[[#This Row],[VENDA]]+Tabela2246578910111213[[#This Row],[MÃO DE OBRA]]-Tabela2246578910111213[[#This Row],[VALOR PAGO]]</f>
        <v>543.37</v>
      </c>
    </row>
    <row r="55" spans="2:13" x14ac:dyDescent="0.3">
      <c r="B55" s="408" t="s">
        <v>248</v>
      </c>
      <c r="C55" s="396">
        <v>24360</v>
      </c>
      <c r="D55" s="409">
        <v>5600</v>
      </c>
      <c r="E55" s="410">
        <v>46216</v>
      </c>
      <c r="F55" s="411" t="s">
        <v>236</v>
      </c>
      <c r="G55" s="409" t="s">
        <v>270</v>
      </c>
      <c r="H55" s="413"/>
      <c r="I55" s="413">
        <v>410.55</v>
      </c>
      <c r="J55" s="414">
        <v>46251</v>
      </c>
      <c r="K55" s="427"/>
      <c r="L55" s="415"/>
      <c r="M55" s="416">
        <f>Tabela2246578910111213[[#This Row],[VENDA]]+Tabela2246578910111213[[#This Row],[MÃO DE OBRA]]-Tabela2246578910111213[[#This Row],[VALOR PAGO]]</f>
        <v>410.55</v>
      </c>
    </row>
    <row r="56" spans="2:13" ht="15" thickBot="1" x14ac:dyDescent="0.35">
      <c r="B56" s="431" t="s">
        <v>248</v>
      </c>
      <c r="C56" s="418">
        <v>24360</v>
      </c>
      <c r="D56" s="432">
        <v>5600</v>
      </c>
      <c r="E56" s="433">
        <v>46216</v>
      </c>
      <c r="F56" s="434" t="s">
        <v>236</v>
      </c>
      <c r="G56" s="432" t="s">
        <v>270</v>
      </c>
      <c r="H56" s="435"/>
      <c r="I56" s="435">
        <v>410.54</v>
      </c>
      <c r="J56" s="436">
        <v>46258</v>
      </c>
      <c r="K56" s="437"/>
      <c r="L56" s="438"/>
      <c r="M56" s="439">
        <f>Tabela2246578910111213[[#This Row],[VENDA]]+Tabela2246578910111213[[#This Row],[MÃO DE OBRA]]-Tabela2246578910111213[[#This Row],[VALOR PAGO]]</f>
        <v>410.54</v>
      </c>
    </row>
    <row r="57" spans="2:13" ht="15" thickBot="1" x14ac:dyDescent="0.35">
      <c r="B57" s="424" t="s">
        <v>248</v>
      </c>
      <c r="C57" s="397">
        <v>24403</v>
      </c>
      <c r="D57" s="406">
        <v>5707</v>
      </c>
      <c r="E57" s="407">
        <v>46217</v>
      </c>
      <c r="F57" s="405" t="s">
        <v>237</v>
      </c>
      <c r="G57" s="406" t="s">
        <v>270</v>
      </c>
      <c r="H57" s="425"/>
      <c r="I57" s="425">
        <v>7105.72</v>
      </c>
      <c r="J57" s="428">
        <v>46238</v>
      </c>
      <c r="K57" s="429"/>
      <c r="L57" s="430"/>
      <c r="M57" s="426">
        <f>Tabela2246578910111213[[#This Row],[VENDA]]+Tabela2246578910111213[[#This Row],[MÃO DE OBRA]]-Tabela2246578910111213[[#This Row],[VALOR PAGO]]</f>
        <v>7105.72</v>
      </c>
    </row>
    <row r="58" spans="2:13" ht="15" thickBot="1" x14ac:dyDescent="0.35">
      <c r="B58" s="408" t="s">
        <v>248</v>
      </c>
      <c r="C58" s="396">
        <v>24405</v>
      </c>
      <c r="D58" s="409">
        <v>5757</v>
      </c>
      <c r="E58" s="410">
        <v>46217</v>
      </c>
      <c r="F58" s="411" t="s">
        <v>236</v>
      </c>
      <c r="G58" s="409" t="s">
        <v>270</v>
      </c>
      <c r="H58" s="413"/>
      <c r="I58" s="413">
        <v>418.55</v>
      </c>
      <c r="J58" s="414">
        <v>46252</v>
      </c>
      <c r="K58" s="427"/>
      <c r="L58" s="415"/>
      <c r="M58" s="416">
        <f>Tabela2246578910111213[[#This Row],[VENDA]]+Tabela2246578910111213[[#This Row],[MÃO DE OBRA]]-Tabela2246578910111213[[#This Row],[VALOR PAGO]]</f>
        <v>418.55</v>
      </c>
    </row>
    <row r="59" spans="2:13" x14ac:dyDescent="0.3">
      <c r="B59" s="408" t="s">
        <v>249</v>
      </c>
      <c r="C59" s="396">
        <v>966</v>
      </c>
      <c r="D59" s="409">
        <v>946</v>
      </c>
      <c r="E59" s="410">
        <v>46218</v>
      </c>
      <c r="F59" s="411" t="s">
        <v>376</v>
      </c>
      <c r="G59" s="409" t="s">
        <v>272</v>
      </c>
      <c r="H59" s="413"/>
      <c r="I59" s="413">
        <v>9323.84</v>
      </c>
      <c r="J59" s="414">
        <v>46239</v>
      </c>
      <c r="K59" s="427"/>
      <c r="L59" s="415"/>
      <c r="M59" s="416">
        <f>Tabela2246578910111213[[#This Row],[VENDA]]+Tabela2246578910111213[[#This Row],[MÃO DE OBRA]]-Tabela2246578910111213[[#This Row],[VALOR PAGO]]</f>
        <v>9323.84</v>
      </c>
    </row>
    <row r="60" spans="2:13" x14ac:dyDescent="0.3">
      <c r="B60" s="424" t="s">
        <v>249</v>
      </c>
      <c r="C60" s="397">
        <v>966</v>
      </c>
      <c r="D60" s="406">
        <v>946</v>
      </c>
      <c r="E60" s="407">
        <v>46218</v>
      </c>
      <c r="F60" s="405" t="s">
        <v>376</v>
      </c>
      <c r="G60" s="406" t="s">
        <v>272</v>
      </c>
      <c r="H60" s="425"/>
      <c r="I60" s="425">
        <v>9320</v>
      </c>
      <c r="J60" s="428">
        <v>46246</v>
      </c>
      <c r="K60" s="429"/>
      <c r="L60" s="430"/>
      <c r="M60" s="426">
        <f>Tabela2246578910111213[[#This Row],[VENDA]]+Tabela2246578910111213[[#This Row],[MÃO DE OBRA]]-Tabela2246578910111213[[#This Row],[VALOR PAGO]]</f>
        <v>9320</v>
      </c>
    </row>
    <row r="61" spans="2:13" x14ac:dyDescent="0.3">
      <c r="B61" s="424" t="s">
        <v>249</v>
      </c>
      <c r="C61" s="397">
        <v>966</v>
      </c>
      <c r="D61" s="406">
        <v>946</v>
      </c>
      <c r="E61" s="407">
        <v>46218</v>
      </c>
      <c r="F61" s="405" t="s">
        <v>376</v>
      </c>
      <c r="G61" s="406" t="s">
        <v>272</v>
      </c>
      <c r="H61" s="425"/>
      <c r="I61" s="425">
        <v>9320</v>
      </c>
      <c r="J61" s="428">
        <v>46253</v>
      </c>
      <c r="K61" s="429"/>
      <c r="L61" s="430"/>
      <c r="M61" s="426">
        <f>Tabela2246578910111213[[#This Row],[VENDA]]+Tabela2246578910111213[[#This Row],[MÃO DE OBRA]]-Tabela2246578910111213[[#This Row],[VALOR PAGO]]</f>
        <v>9320</v>
      </c>
    </row>
    <row r="62" spans="2:13" x14ac:dyDescent="0.3">
      <c r="B62" s="424" t="s">
        <v>249</v>
      </c>
      <c r="C62" s="397">
        <v>966</v>
      </c>
      <c r="D62" s="406">
        <v>946</v>
      </c>
      <c r="E62" s="407">
        <v>46218</v>
      </c>
      <c r="F62" s="405" t="s">
        <v>376</v>
      </c>
      <c r="G62" s="406" t="s">
        <v>272</v>
      </c>
      <c r="H62" s="425"/>
      <c r="I62" s="425">
        <v>9320</v>
      </c>
      <c r="J62" s="428">
        <v>46260</v>
      </c>
      <c r="K62" s="429"/>
      <c r="L62" s="430"/>
      <c r="M62" s="426">
        <f>Tabela2246578910111213[[#This Row],[VENDA]]+Tabela2246578910111213[[#This Row],[MÃO DE OBRA]]-Tabela2246578910111213[[#This Row],[VALOR PAGO]]</f>
        <v>9320</v>
      </c>
    </row>
    <row r="63" spans="2:13" x14ac:dyDescent="0.3">
      <c r="B63" s="424" t="s">
        <v>249</v>
      </c>
      <c r="C63" s="397">
        <v>966</v>
      </c>
      <c r="D63" s="406">
        <v>946</v>
      </c>
      <c r="E63" s="407">
        <v>46218</v>
      </c>
      <c r="F63" s="405" t="s">
        <v>376</v>
      </c>
      <c r="G63" s="406" t="s">
        <v>272</v>
      </c>
      <c r="H63" s="425"/>
      <c r="I63" s="425">
        <v>9320</v>
      </c>
      <c r="J63" s="428">
        <v>46267</v>
      </c>
      <c r="K63" s="429"/>
      <c r="L63" s="430"/>
      <c r="M63" s="426">
        <f>Tabela2246578910111213[[#This Row],[VENDA]]+Tabela2246578910111213[[#This Row],[MÃO DE OBRA]]-Tabela2246578910111213[[#This Row],[VALOR PAGO]]</f>
        <v>9320</v>
      </c>
    </row>
    <row r="64" spans="2:13" ht="15" thickBot="1" x14ac:dyDescent="0.35">
      <c r="B64" s="431" t="s">
        <v>249</v>
      </c>
      <c r="C64" s="418">
        <v>966</v>
      </c>
      <c r="D64" s="432">
        <v>946</v>
      </c>
      <c r="E64" s="433">
        <v>46218</v>
      </c>
      <c r="F64" s="434" t="s">
        <v>376</v>
      </c>
      <c r="G64" s="432" t="s">
        <v>272</v>
      </c>
      <c r="H64" s="435"/>
      <c r="I64" s="435">
        <v>9320</v>
      </c>
      <c r="J64" s="436">
        <v>46274</v>
      </c>
      <c r="K64" s="437"/>
      <c r="L64" s="438"/>
      <c r="M64" s="439">
        <f>Tabela2246578910111213[[#This Row],[VENDA]]+Tabela2246578910111213[[#This Row],[MÃO DE OBRA]]-Tabela2246578910111213[[#This Row],[VALOR PAGO]]</f>
        <v>9320</v>
      </c>
    </row>
    <row r="65" spans="2:13" x14ac:dyDescent="0.3">
      <c r="B65" s="424" t="s">
        <v>249</v>
      </c>
      <c r="C65" s="397">
        <v>967</v>
      </c>
      <c r="D65" s="406">
        <v>950</v>
      </c>
      <c r="E65" s="407">
        <v>46219</v>
      </c>
      <c r="F65" s="405" t="s">
        <v>264</v>
      </c>
      <c r="G65" s="406" t="s">
        <v>332</v>
      </c>
      <c r="H65" s="425">
        <v>6777</v>
      </c>
      <c r="I65" s="425"/>
      <c r="J65" s="428">
        <v>46239</v>
      </c>
      <c r="K65" s="406"/>
      <c r="L65" s="430"/>
      <c r="M65" s="426">
        <f>Tabela2246578910111213[[#This Row],[VENDA]]+Tabela2246578910111213[[#This Row],[MÃO DE OBRA]]-Tabela2246578910111213[[#This Row],[VALOR PAGO]]</f>
        <v>6777</v>
      </c>
    </row>
    <row r="66" spans="2:13" x14ac:dyDescent="0.3">
      <c r="B66" s="424" t="s">
        <v>249</v>
      </c>
      <c r="C66" s="397">
        <v>967</v>
      </c>
      <c r="D66" s="406">
        <v>950</v>
      </c>
      <c r="E66" s="407">
        <v>46219</v>
      </c>
      <c r="F66" s="405" t="s">
        <v>264</v>
      </c>
      <c r="G66" s="406" t="s">
        <v>332</v>
      </c>
      <c r="H66" s="425">
        <v>6777</v>
      </c>
      <c r="I66" s="425"/>
      <c r="J66" s="428">
        <v>46249</v>
      </c>
      <c r="K66" s="406"/>
      <c r="L66" s="430"/>
      <c r="M66" s="426"/>
    </row>
    <row r="67" spans="2:13" x14ac:dyDescent="0.3">
      <c r="B67" s="424" t="s">
        <v>249</v>
      </c>
      <c r="C67" s="397">
        <v>967</v>
      </c>
      <c r="D67" s="406">
        <v>950</v>
      </c>
      <c r="E67" s="407">
        <v>46219</v>
      </c>
      <c r="F67" s="405" t="s">
        <v>264</v>
      </c>
      <c r="G67" s="406" t="s">
        <v>332</v>
      </c>
      <c r="H67" s="425">
        <v>6777</v>
      </c>
      <c r="I67" s="425"/>
      <c r="J67" s="428">
        <v>46259</v>
      </c>
      <c r="K67" s="429"/>
      <c r="L67" s="430"/>
      <c r="M67" s="426"/>
    </row>
    <row r="68" spans="2:13" x14ac:dyDescent="0.3">
      <c r="B68" s="424" t="s">
        <v>249</v>
      </c>
      <c r="C68" s="397">
        <v>967</v>
      </c>
      <c r="D68" s="406">
        <v>950</v>
      </c>
      <c r="E68" s="407">
        <v>46219</v>
      </c>
      <c r="F68" s="405" t="s">
        <v>264</v>
      </c>
      <c r="G68" s="406" t="s">
        <v>332</v>
      </c>
      <c r="H68" s="425">
        <v>6777</v>
      </c>
      <c r="I68" s="425"/>
      <c r="J68" s="428">
        <v>46269</v>
      </c>
      <c r="K68" s="406"/>
      <c r="L68" s="430"/>
      <c r="M68" s="426"/>
    </row>
    <row r="69" spans="2:13" x14ac:dyDescent="0.3">
      <c r="B69" s="424" t="s">
        <v>249</v>
      </c>
      <c r="C69" s="397">
        <v>967</v>
      </c>
      <c r="D69" s="406">
        <v>950</v>
      </c>
      <c r="E69" s="407">
        <v>46219</v>
      </c>
      <c r="F69" s="405" t="s">
        <v>264</v>
      </c>
      <c r="G69" s="406" t="s">
        <v>332</v>
      </c>
      <c r="H69" s="425">
        <v>6777</v>
      </c>
      <c r="I69" s="425"/>
      <c r="J69" s="428">
        <v>46279</v>
      </c>
      <c r="K69" s="406"/>
      <c r="L69" s="430"/>
      <c r="M69" s="426"/>
    </row>
    <row r="70" spans="2:13" x14ac:dyDescent="0.3">
      <c r="B70" s="424" t="s">
        <v>249</v>
      </c>
      <c r="C70" s="397">
        <v>967</v>
      </c>
      <c r="D70" s="406">
        <v>950</v>
      </c>
      <c r="E70" s="407">
        <v>46219</v>
      </c>
      <c r="F70" s="405" t="s">
        <v>264</v>
      </c>
      <c r="G70" s="406" t="s">
        <v>332</v>
      </c>
      <c r="H70" s="425">
        <v>6777</v>
      </c>
      <c r="I70" s="425"/>
      <c r="J70" s="428">
        <v>46289</v>
      </c>
      <c r="K70" s="406"/>
      <c r="L70" s="430"/>
      <c r="M70" s="426"/>
    </row>
    <row r="71" spans="2:13" x14ac:dyDescent="0.3">
      <c r="B71" s="424" t="s">
        <v>249</v>
      </c>
      <c r="C71" s="397">
        <v>967</v>
      </c>
      <c r="D71" s="406">
        <v>950</v>
      </c>
      <c r="E71" s="407">
        <v>46219</v>
      </c>
      <c r="F71" s="405" t="s">
        <v>264</v>
      </c>
      <c r="G71" s="406" t="s">
        <v>332</v>
      </c>
      <c r="H71" s="425">
        <v>6777</v>
      </c>
      <c r="I71" s="425"/>
      <c r="J71" s="428">
        <v>46299</v>
      </c>
      <c r="K71" s="406"/>
      <c r="L71" s="430"/>
      <c r="M71" s="426"/>
    </row>
    <row r="72" spans="2:13" ht="15" thickBot="1" x14ac:dyDescent="0.35">
      <c r="B72" s="431" t="s">
        <v>249</v>
      </c>
      <c r="C72" s="418">
        <v>967</v>
      </c>
      <c r="D72" s="432">
        <v>950</v>
      </c>
      <c r="E72" s="433">
        <v>46219</v>
      </c>
      <c r="F72" s="434" t="s">
        <v>264</v>
      </c>
      <c r="G72" s="432" t="s">
        <v>332</v>
      </c>
      <c r="H72" s="435">
        <v>6777</v>
      </c>
      <c r="I72" s="435"/>
      <c r="J72" s="436">
        <v>46309</v>
      </c>
      <c r="K72" s="432"/>
      <c r="L72" s="438"/>
      <c r="M72" s="439"/>
    </row>
    <row r="73" spans="2:13" x14ac:dyDescent="0.3">
      <c r="B73" s="424"/>
      <c r="C73" s="397"/>
      <c r="D73" s="406"/>
      <c r="E73" s="407"/>
      <c r="F73" s="405"/>
      <c r="G73" s="406"/>
      <c r="H73" s="425"/>
      <c r="I73" s="425"/>
      <c r="J73" s="428"/>
      <c r="K73" s="406"/>
      <c r="L73" s="430"/>
      <c r="M73" s="426"/>
    </row>
    <row r="74" spans="2:13" x14ac:dyDescent="0.3">
      <c r="B74" s="424"/>
      <c r="C74" s="397"/>
      <c r="D74" s="406"/>
      <c r="E74" s="407"/>
      <c r="F74" s="405"/>
      <c r="G74" s="406"/>
      <c r="H74" s="425"/>
      <c r="I74" s="425"/>
      <c r="J74" s="428"/>
      <c r="K74" s="406"/>
      <c r="L74" s="430"/>
      <c r="M74" s="426"/>
    </row>
    <row r="75" spans="2:13" x14ac:dyDescent="0.3">
      <c r="B75" s="424"/>
      <c r="C75" s="397"/>
      <c r="D75" s="406"/>
      <c r="E75" s="407"/>
      <c r="F75" s="405"/>
      <c r="G75" s="406"/>
      <c r="H75" s="425"/>
      <c r="I75" s="425"/>
      <c r="J75" s="428"/>
      <c r="K75" s="406"/>
      <c r="L75" s="430"/>
      <c r="M75" s="426"/>
    </row>
    <row r="76" spans="2:13" x14ac:dyDescent="0.3">
      <c r="B76" s="424"/>
      <c r="C76" s="397"/>
      <c r="D76" s="406"/>
      <c r="E76" s="407"/>
      <c r="F76" s="405"/>
      <c r="G76" s="406"/>
      <c r="H76" s="425"/>
      <c r="I76" s="425"/>
      <c r="J76" s="428"/>
      <c r="K76" s="429"/>
      <c r="L76" s="430"/>
      <c r="M76" s="426"/>
    </row>
    <row r="77" spans="2:13" x14ac:dyDescent="0.3">
      <c r="B77" s="424"/>
      <c r="C77" s="397"/>
      <c r="D77" s="406"/>
      <c r="E77" s="407"/>
      <c r="F77" s="405"/>
      <c r="G77" s="406"/>
      <c r="H77" s="425"/>
      <c r="I77" s="425"/>
      <c r="J77" s="428"/>
      <c r="K77" s="406"/>
      <c r="L77" s="430"/>
      <c r="M77" s="426"/>
    </row>
    <row r="78" spans="2:13" x14ac:dyDescent="0.3">
      <c r="B78" s="424"/>
      <c r="C78" s="397"/>
      <c r="D78" s="406"/>
      <c r="E78" s="407"/>
      <c r="F78" s="405"/>
      <c r="G78" s="406"/>
      <c r="H78" s="425"/>
      <c r="I78" s="425"/>
      <c r="J78" s="428"/>
      <c r="K78" s="406"/>
      <c r="L78" s="430"/>
      <c r="M78" s="426"/>
    </row>
    <row r="79" spans="2:13" x14ac:dyDescent="0.3">
      <c r="B79" s="424"/>
      <c r="C79" s="397"/>
      <c r="D79" s="406"/>
      <c r="E79" s="407"/>
      <c r="F79" s="405"/>
      <c r="G79" s="406"/>
      <c r="H79" s="425"/>
      <c r="I79" s="425"/>
      <c r="J79" s="428"/>
      <c r="K79" s="406"/>
      <c r="L79" s="430"/>
      <c r="M79" s="426"/>
    </row>
    <row r="80" spans="2:13" x14ac:dyDescent="0.3">
      <c r="B80" s="424"/>
      <c r="C80" s="397"/>
      <c r="D80" s="406"/>
      <c r="E80" s="407"/>
      <c r="F80" s="405"/>
      <c r="G80" s="406"/>
      <c r="H80" s="425"/>
      <c r="I80" s="425"/>
      <c r="J80" s="428"/>
      <c r="K80" s="406"/>
      <c r="L80" s="430"/>
      <c r="M80" s="426"/>
    </row>
    <row r="81" spans="2:13" x14ac:dyDescent="0.3">
      <c r="B81" s="424"/>
      <c r="C81" s="397"/>
      <c r="D81" s="406"/>
      <c r="E81" s="407"/>
      <c r="F81" s="405"/>
      <c r="G81" s="406"/>
      <c r="H81" s="425"/>
      <c r="I81" s="425"/>
      <c r="J81" s="428"/>
      <c r="K81" s="406"/>
      <c r="L81" s="430"/>
      <c r="M81" s="426"/>
    </row>
    <row r="82" spans="2:13" x14ac:dyDescent="0.3">
      <c r="B82" s="152"/>
      <c r="C82" s="397"/>
      <c r="D82" s="406"/>
      <c r="E82" s="407"/>
      <c r="F82" s="405"/>
      <c r="G82" s="406"/>
      <c r="H82" s="425"/>
      <c r="I82" s="455"/>
      <c r="J82" s="428"/>
      <c r="K82" s="406"/>
      <c r="L82" s="430"/>
      <c r="M82" s="426"/>
    </row>
    <row r="83" spans="2:13" x14ac:dyDescent="0.3">
      <c r="B83" s="424"/>
      <c r="C83" s="397"/>
      <c r="D83" s="406"/>
      <c r="E83" s="407"/>
      <c r="F83" s="405"/>
      <c r="G83" s="406"/>
      <c r="H83" s="425"/>
      <c r="I83" s="455"/>
      <c r="J83" s="428"/>
      <c r="K83" s="406"/>
      <c r="L83" s="430"/>
      <c r="M83" s="426"/>
    </row>
    <row r="84" spans="2:13" x14ac:dyDescent="0.3">
      <c r="B84" s="424"/>
      <c r="C84" s="397"/>
      <c r="D84" s="406"/>
      <c r="E84" s="407"/>
      <c r="F84" s="405"/>
      <c r="G84" s="406"/>
      <c r="H84" s="425"/>
      <c r="I84" s="455"/>
      <c r="J84" s="428"/>
      <c r="K84" s="406"/>
      <c r="L84" s="430"/>
      <c r="M84" s="426"/>
    </row>
    <row r="85" spans="2:13" x14ac:dyDescent="0.3">
      <c r="B85" s="424"/>
      <c r="C85" s="397"/>
      <c r="D85" s="406"/>
      <c r="E85" s="407"/>
      <c r="F85" s="405"/>
      <c r="G85" s="406"/>
      <c r="H85" s="425"/>
      <c r="I85" s="425"/>
      <c r="J85" s="428"/>
      <c r="K85" s="406"/>
      <c r="L85" s="430"/>
      <c r="M85" s="426"/>
    </row>
    <row r="86" spans="2:13" x14ac:dyDescent="0.3">
      <c r="B86" s="424"/>
      <c r="C86" s="397"/>
      <c r="D86" s="406"/>
      <c r="E86" s="407"/>
      <c r="F86" s="405"/>
      <c r="G86" s="406"/>
      <c r="H86" s="425"/>
      <c r="I86" s="425"/>
      <c r="J86" s="428"/>
      <c r="K86" s="406"/>
      <c r="L86" s="430"/>
      <c r="M86" s="426"/>
    </row>
    <row r="87" spans="2:13" x14ac:dyDescent="0.3">
      <c r="B87" s="424"/>
      <c r="C87" s="397"/>
      <c r="D87" s="406"/>
      <c r="E87" s="407"/>
      <c r="F87" s="405"/>
      <c r="G87" s="406"/>
      <c r="H87" s="425"/>
      <c r="I87" s="425"/>
      <c r="J87" s="428"/>
      <c r="K87" s="406"/>
      <c r="L87" s="430"/>
      <c r="M87" s="426"/>
    </row>
    <row r="88" spans="2:13" x14ac:dyDescent="0.3">
      <c r="B88" s="424"/>
      <c r="C88" s="397"/>
      <c r="D88" s="406"/>
      <c r="E88" s="407"/>
      <c r="F88" s="405"/>
      <c r="G88" s="406"/>
      <c r="H88" s="425"/>
      <c r="I88" s="425"/>
      <c r="J88" s="428"/>
      <c r="K88" s="406"/>
      <c r="L88" s="430"/>
      <c r="M88" s="426"/>
    </row>
    <row r="89" spans="2:13" x14ac:dyDescent="0.3">
      <c r="B89" s="424"/>
      <c r="C89" s="397"/>
      <c r="D89" s="406"/>
      <c r="E89" s="407"/>
      <c r="F89" s="405"/>
      <c r="G89" s="406"/>
      <c r="H89" s="425"/>
      <c r="I89" s="425"/>
      <c r="J89" s="428"/>
      <c r="K89" s="406"/>
      <c r="L89" s="430"/>
      <c r="M89" s="426"/>
    </row>
    <row r="90" spans="2:13" x14ac:dyDescent="0.3">
      <c r="B90" s="424"/>
      <c r="C90" s="397"/>
      <c r="D90" s="406"/>
      <c r="E90" s="407"/>
      <c r="F90" s="405"/>
      <c r="G90" s="406"/>
      <c r="H90" s="425"/>
      <c r="I90" s="425"/>
      <c r="J90" s="428"/>
      <c r="K90" s="406"/>
      <c r="L90" s="430"/>
      <c r="M90" s="426"/>
    </row>
    <row r="91" spans="2:13" x14ac:dyDescent="0.3">
      <c r="B91" s="424"/>
      <c r="C91" s="397"/>
      <c r="D91" s="406"/>
      <c r="E91" s="407"/>
      <c r="F91" s="405"/>
      <c r="G91" s="406"/>
      <c r="H91" s="425"/>
      <c r="I91" s="455"/>
      <c r="J91" s="428"/>
      <c r="K91" s="406"/>
      <c r="L91" s="430"/>
      <c r="M91" s="426">
        <f>Tabela2246578910111213[[#This Row],[VENDA]]+Tabela2246578910111213[[#This Row],[MÃO DE OBRA]]-Tabela2246578910111213[[#This Row],[VALOR PAGO]]</f>
        <v>0</v>
      </c>
    </row>
    <row r="92" spans="2:13" x14ac:dyDescent="0.3">
      <c r="B92" s="424"/>
      <c r="C92" s="397"/>
      <c r="D92" s="406"/>
      <c r="E92" s="407"/>
      <c r="F92" s="405"/>
      <c r="G92" s="406"/>
      <c r="H92" s="425"/>
      <c r="I92" s="455"/>
      <c r="J92" s="428"/>
      <c r="K92" s="406"/>
      <c r="L92" s="430"/>
      <c r="M92" s="426">
        <f>Tabela2246578910111213[[#This Row],[VENDA]]+Tabela2246578910111213[[#This Row],[MÃO DE OBRA]]-Tabela2246578910111213[[#This Row],[VALOR PAGO]]</f>
        <v>0</v>
      </c>
    </row>
    <row r="93" spans="2:13" x14ac:dyDescent="0.3">
      <c r="B93" s="424"/>
      <c r="C93" s="397"/>
      <c r="D93" s="406"/>
      <c r="E93" s="407"/>
      <c r="F93" s="405"/>
      <c r="G93" s="406"/>
      <c r="H93" s="425"/>
      <c r="I93" s="455"/>
      <c r="J93" s="428"/>
      <c r="K93" s="406"/>
      <c r="L93" s="430"/>
      <c r="M93" s="426">
        <f>Tabela2246578910111213[[#This Row],[VENDA]]+Tabela2246578910111213[[#This Row],[MÃO DE OBRA]]-Tabela2246578910111213[[#This Row],[VALOR PAGO]]</f>
        <v>0</v>
      </c>
    </row>
    <row r="94" spans="2:13" x14ac:dyDescent="0.3">
      <c r="B94" s="424"/>
      <c r="C94" s="397"/>
      <c r="D94" s="406"/>
      <c r="E94" s="407"/>
      <c r="F94" s="405"/>
      <c r="G94" s="406"/>
      <c r="H94" s="425"/>
      <c r="I94" s="455"/>
      <c r="J94" s="428"/>
      <c r="K94" s="406"/>
      <c r="L94" s="430"/>
      <c r="M94" s="426">
        <f>Tabela2246578910111213[[#This Row],[VENDA]]+Tabela2246578910111213[[#This Row],[MÃO DE OBRA]]-Tabela2246578910111213[[#This Row],[VALOR PAGO]]</f>
        <v>0</v>
      </c>
    </row>
    <row r="95" spans="2:13" x14ac:dyDescent="0.3">
      <c r="B95" s="424"/>
      <c r="C95" s="397"/>
      <c r="D95" s="406"/>
      <c r="E95" s="407"/>
      <c r="F95" s="405"/>
      <c r="G95" s="406"/>
      <c r="H95" s="425"/>
      <c r="I95" s="455"/>
      <c r="J95" s="428"/>
      <c r="K95" s="406"/>
      <c r="L95" s="430"/>
      <c r="M95" s="426">
        <f>Tabela2246578910111213[[#This Row],[VENDA]]+Tabela2246578910111213[[#This Row],[MÃO DE OBRA]]-Tabela2246578910111213[[#This Row],[VALOR PAGO]]</f>
        <v>0</v>
      </c>
    </row>
    <row r="96" spans="2:13" x14ac:dyDescent="0.3">
      <c r="B96" s="424"/>
      <c r="C96" s="397"/>
      <c r="D96" s="406"/>
      <c r="E96" s="407"/>
      <c r="F96" s="405"/>
      <c r="G96" s="406"/>
      <c r="H96" s="455"/>
      <c r="I96" s="455"/>
      <c r="J96" s="428"/>
      <c r="K96" s="406"/>
      <c r="L96" s="430"/>
      <c r="M96" s="426">
        <f>Tabela2246578910111213[[#This Row],[VENDA]]+Tabela2246578910111213[[#This Row],[MÃO DE OBRA]]-Tabela2246578910111213[[#This Row],[VALOR PAGO]]</f>
        <v>0</v>
      </c>
    </row>
    <row r="97" spans="1:13" x14ac:dyDescent="0.3">
      <c r="B97" s="152"/>
      <c r="C97" s="8"/>
      <c r="D97" s="8"/>
      <c r="E97" s="8"/>
      <c r="F97" s="8"/>
      <c r="G97" s="8"/>
      <c r="H97" s="248"/>
      <c r="I97" s="248"/>
      <c r="J97" s="80"/>
      <c r="K97" s="8"/>
      <c r="L97" s="238"/>
      <c r="M97" s="302">
        <f>Tabela2246578910111213[[#This Row],[VENDA]]+Tabela2246578910111213[[#This Row],[MÃO DE OBRA]]-Tabela2246578910111213[[#This Row],[VALOR PAGO]]</f>
        <v>0</v>
      </c>
    </row>
    <row r="98" spans="1:13" ht="13.8" customHeight="1" thickBot="1" x14ac:dyDescent="0.35">
      <c r="B98" s="417"/>
      <c r="C98" s="126"/>
      <c r="D98" s="126"/>
      <c r="E98" s="126"/>
      <c r="F98" s="126"/>
      <c r="G98" s="126"/>
      <c r="H98" s="391"/>
      <c r="I98" s="391"/>
      <c r="J98" s="125"/>
      <c r="K98" s="126"/>
      <c r="L98" s="247"/>
      <c r="M98" s="327"/>
    </row>
    <row r="99" spans="1:13" ht="18.600000000000001" thickBot="1" x14ac:dyDescent="0.4">
      <c r="B99" s="679" t="s">
        <v>257</v>
      </c>
      <c r="C99" s="680"/>
      <c r="D99" s="400">
        <f>Tabela2246578910111213[[#Totals],[VENDA]]</f>
        <v>0</v>
      </c>
      <c r="E99" s="264"/>
      <c r="F99" s="401"/>
      <c r="G99" s="402"/>
      <c r="H99" s="448">
        <f>SUM(H21:H98)</f>
        <v>270080.56</v>
      </c>
      <c r="I99" s="448">
        <f>SUM(Tabela2246578910111213[MÃO DE OBRA])</f>
        <v>84561.66</v>
      </c>
      <c r="J99" s="264"/>
      <c r="K99" s="264"/>
      <c r="L99" s="264"/>
      <c r="M99" s="404"/>
    </row>
    <row r="100" spans="1:13" ht="18.600000000000001" thickBot="1" x14ac:dyDescent="0.4">
      <c r="B100" s="662" t="s">
        <v>258</v>
      </c>
      <c r="C100" s="663"/>
      <c r="D100" s="266">
        <f>Tabela2246578910111213[[#Totals],[MÃO DE OBRA]]</f>
        <v>0</v>
      </c>
      <c r="E100" s="267"/>
      <c r="F100" s="323"/>
      <c r="G100" s="324"/>
      <c r="H100" s="269"/>
      <c r="I100" s="270"/>
      <c r="J100" s="267"/>
      <c r="K100" s="267"/>
      <c r="L100" s="267"/>
      <c r="M100" s="271"/>
    </row>
    <row r="101" spans="1:13" ht="19.8" customHeight="1" thickBot="1" x14ac:dyDescent="0.45">
      <c r="A101" s="106"/>
      <c r="B101" s="272" t="s">
        <v>259</v>
      </c>
      <c r="C101" s="664">
        <f>SUM(D99+D100)</f>
        <v>0</v>
      </c>
      <c r="D101" s="665"/>
      <c r="E101" s="273"/>
      <c r="F101" s="642" t="s">
        <v>260</v>
      </c>
      <c r="G101" s="642"/>
      <c r="H101" s="642">
        <f>Tabela2246578910111213[[#Totals],[VALOR PAGO]]</f>
        <v>0</v>
      </c>
      <c r="I101" s="642"/>
      <c r="J101" s="666" t="s">
        <v>261</v>
      </c>
      <c r="K101" s="666"/>
      <c r="L101" s="642">
        <f>Tabela2246578910111213[[#Totals],[VALOR EM ABERTO]]</f>
        <v>0</v>
      </c>
      <c r="M101" s="643"/>
    </row>
  </sheetData>
  <mergeCells count="12">
    <mergeCell ref="L101:M101"/>
    <mergeCell ref="B2:M3"/>
    <mergeCell ref="B4:B5"/>
    <mergeCell ref="C4:G4"/>
    <mergeCell ref="H4:M4"/>
    <mergeCell ref="B19:C19"/>
    <mergeCell ref="B99:C99"/>
    <mergeCell ref="B100:C100"/>
    <mergeCell ref="C101:D101"/>
    <mergeCell ref="F101:G101"/>
    <mergeCell ref="H101:I101"/>
    <mergeCell ref="J101:K101"/>
  </mergeCells>
  <pageMargins left="0.11811023622047245" right="0.51181102362204722" top="0.19685039370078741" bottom="0.19685039370078741" header="0" footer="0"/>
  <pageSetup paperSize="9" scale="70"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E91F-3F77-4CA0-9063-3A2DF9895E8A}">
  <dimension ref="A1:I42"/>
  <sheetViews>
    <sheetView workbookViewId="0">
      <selection activeCell="I20" sqref="I20"/>
    </sheetView>
  </sheetViews>
  <sheetFormatPr defaultRowHeight="14.4" x14ac:dyDescent="0.3"/>
  <cols>
    <col min="1" max="1" width="17" bestFit="1" customWidth="1"/>
    <col min="2" max="2" width="15.33203125" bestFit="1" customWidth="1"/>
    <col min="3" max="3" width="13.109375" bestFit="1" customWidth="1"/>
    <col min="4" max="4" width="13.33203125" bestFit="1" customWidth="1"/>
    <col min="5" max="5" width="12.6640625" bestFit="1" customWidth="1"/>
    <col min="6" max="6" width="10.5546875" bestFit="1" customWidth="1"/>
    <col min="7" max="7" width="12.109375" bestFit="1" customWidth="1"/>
    <col min="8" max="8" width="14" bestFit="1" customWidth="1"/>
    <col min="9" max="9" width="33.88671875" bestFit="1" customWidth="1"/>
  </cols>
  <sheetData>
    <row r="1" spans="1:8" ht="43.8" thickBot="1" x14ac:dyDescent="0.35">
      <c r="A1" s="549" t="s">
        <v>225</v>
      </c>
      <c r="B1" s="550" t="s">
        <v>268</v>
      </c>
      <c r="C1" s="550" t="s">
        <v>226</v>
      </c>
      <c r="D1" s="550" t="s">
        <v>227</v>
      </c>
      <c r="E1" s="550" t="s">
        <v>228</v>
      </c>
      <c r="F1" s="551" t="s">
        <v>229</v>
      </c>
      <c r="G1" s="550" t="s">
        <v>252</v>
      </c>
      <c r="H1" s="552" t="s">
        <v>230</v>
      </c>
    </row>
    <row r="2" spans="1:8" x14ac:dyDescent="0.3">
      <c r="A2" s="424" t="s">
        <v>276</v>
      </c>
      <c r="B2" s="406" t="s">
        <v>272</v>
      </c>
      <c r="C2" s="425">
        <v>18954</v>
      </c>
      <c r="D2" s="445">
        <v>0</v>
      </c>
      <c r="E2" s="428">
        <v>46119</v>
      </c>
      <c r="F2" s="407"/>
      <c r="G2" s="430"/>
      <c r="H2" s="426">
        <f>C2</f>
        <v>18954</v>
      </c>
    </row>
    <row r="3" spans="1:8" x14ac:dyDescent="0.3">
      <c r="A3" s="547" t="s">
        <v>276</v>
      </c>
      <c r="B3" s="520" t="s">
        <v>272</v>
      </c>
      <c r="C3" s="545">
        <v>18954</v>
      </c>
      <c r="D3" s="544">
        <v>0</v>
      </c>
      <c r="E3" s="524">
        <v>46126</v>
      </c>
      <c r="F3" s="521"/>
      <c r="G3" s="534"/>
      <c r="H3" s="535">
        <f>C3</f>
        <v>18954</v>
      </c>
    </row>
    <row r="4" spans="1:8" ht="15" thickBot="1" x14ac:dyDescent="0.35">
      <c r="A4" s="431" t="s">
        <v>276</v>
      </c>
      <c r="B4" s="432" t="s">
        <v>272</v>
      </c>
      <c r="C4" s="435">
        <v>18954</v>
      </c>
      <c r="D4" s="548">
        <v>0</v>
      </c>
      <c r="E4" s="436">
        <v>46133</v>
      </c>
      <c r="F4" s="433"/>
      <c r="G4" s="438"/>
      <c r="H4" s="439">
        <f>C4</f>
        <v>18954</v>
      </c>
    </row>
    <row r="5" spans="1:8" x14ac:dyDescent="0.3">
      <c r="A5" s="508" t="s">
        <v>254</v>
      </c>
      <c r="B5" s="506" t="s">
        <v>271</v>
      </c>
      <c r="C5" s="511">
        <v>9515.57</v>
      </c>
      <c r="D5" s="511"/>
      <c r="E5" s="509">
        <v>46114</v>
      </c>
      <c r="F5" s="512">
        <v>46135</v>
      </c>
      <c r="G5" s="536">
        <v>1291.53</v>
      </c>
      <c r="H5" s="537">
        <v>8224.0399999999991</v>
      </c>
    </row>
    <row r="6" spans="1:8" ht="15" thickBot="1" x14ac:dyDescent="0.35">
      <c r="A6" s="434" t="s">
        <v>254</v>
      </c>
      <c r="B6" s="432" t="s">
        <v>271</v>
      </c>
      <c r="C6" s="435">
        <v>9515.56</v>
      </c>
      <c r="D6" s="435"/>
      <c r="E6" s="436">
        <v>46144</v>
      </c>
      <c r="F6" s="437"/>
      <c r="G6" s="438"/>
      <c r="H6" s="439">
        <v>9515.56</v>
      </c>
    </row>
    <row r="7" spans="1:8" ht="15" thickBot="1" x14ac:dyDescent="0.35">
      <c r="A7" s="502" t="s">
        <v>310</v>
      </c>
      <c r="B7" s="500" t="s">
        <v>272</v>
      </c>
      <c r="C7" s="541">
        <v>662.4</v>
      </c>
      <c r="D7" s="503"/>
      <c r="E7" s="504">
        <v>46136</v>
      </c>
      <c r="F7" s="500"/>
      <c r="G7" s="542"/>
      <c r="H7" s="543">
        <v>662.4</v>
      </c>
    </row>
    <row r="8" spans="1:8" x14ac:dyDescent="0.3">
      <c r="A8" s="405" t="s">
        <v>327</v>
      </c>
      <c r="B8" s="406" t="s">
        <v>272</v>
      </c>
      <c r="C8" s="445">
        <v>8783</v>
      </c>
      <c r="D8" s="445"/>
      <c r="E8" s="428">
        <v>46120</v>
      </c>
      <c r="F8" s="406"/>
      <c r="G8" s="430"/>
      <c r="H8" s="426">
        <v>8783</v>
      </c>
    </row>
    <row r="9" spans="1:8" x14ac:dyDescent="0.3">
      <c r="A9" s="522" t="s">
        <v>327</v>
      </c>
      <c r="B9" s="520" t="s">
        <v>272</v>
      </c>
      <c r="C9" s="544">
        <v>8783</v>
      </c>
      <c r="D9" s="545"/>
      <c r="E9" s="524">
        <v>46127</v>
      </c>
      <c r="F9" s="520"/>
      <c r="G9" s="534"/>
      <c r="H9" s="535">
        <v>8783</v>
      </c>
    </row>
    <row r="10" spans="1:8" x14ac:dyDescent="0.3">
      <c r="A10" s="405" t="s">
        <v>327</v>
      </c>
      <c r="B10" s="406" t="s">
        <v>272</v>
      </c>
      <c r="C10" s="445">
        <v>8783</v>
      </c>
      <c r="D10" s="425"/>
      <c r="E10" s="428">
        <v>46134</v>
      </c>
      <c r="F10" s="406"/>
      <c r="G10" s="430"/>
      <c r="H10" s="426">
        <v>8783</v>
      </c>
    </row>
    <row r="11" spans="1:8" ht="15" thickBot="1" x14ac:dyDescent="0.35">
      <c r="A11" s="522" t="s">
        <v>327</v>
      </c>
      <c r="B11" s="520" t="s">
        <v>272</v>
      </c>
      <c r="C11" s="544">
        <v>8783</v>
      </c>
      <c r="D11" s="545"/>
      <c r="E11" s="524">
        <v>46141</v>
      </c>
      <c r="F11" s="520"/>
      <c r="G11" s="534"/>
      <c r="H11" s="535">
        <v>8783</v>
      </c>
    </row>
    <row r="12" spans="1:8" x14ac:dyDescent="0.3">
      <c r="A12" s="508" t="s">
        <v>329</v>
      </c>
      <c r="B12" s="506" t="s">
        <v>272</v>
      </c>
      <c r="C12" s="511">
        <v>6100</v>
      </c>
      <c r="D12" s="511"/>
      <c r="E12" s="509">
        <v>46113</v>
      </c>
      <c r="F12" s="506"/>
      <c r="G12" s="536"/>
      <c r="H12" s="537">
        <v>6100</v>
      </c>
    </row>
    <row r="13" spans="1:8" x14ac:dyDescent="0.3">
      <c r="A13" s="405" t="s">
        <v>329</v>
      </c>
      <c r="B13" s="406" t="s">
        <v>272</v>
      </c>
      <c r="C13" s="425">
        <v>6096</v>
      </c>
      <c r="D13" s="425"/>
      <c r="E13" s="428">
        <v>46120</v>
      </c>
      <c r="F13" s="406"/>
      <c r="G13" s="430"/>
      <c r="H13" s="426">
        <v>6096</v>
      </c>
    </row>
    <row r="14" spans="1:8" x14ac:dyDescent="0.3">
      <c r="A14" s="522" t="s">
        <v>329</v>
      </c>
      <c r="B14" s="520" t="s">
        <v>272</v>
      </c>
      <c r="C14" s="545">
        <v>6096</v>
      </c>
      <c r="D14" s="545"/>
      <c r="E14" s="524">
        <v>46127</v>
      </c>
      <c r="F14" s="546"/>
      <c r="G14" s="534"/>
      <c r="H14" s="535">
        <v>6096</v>
      </c>
    </row>
    <row r="15" spans="1:8" x14ac:dyDescent="0.3">
      <c r="A15" s="405" t="s">
        <v>329</v>
      </c>
      <c r="B15" s="406" t="s">
        <v>272</v>
      </c>
      <c r="C15" s="425">
        <v>6096</v>
      </c>
      <c r="D15" s="425"/>
      <c r="E15" s="428">
        <v>46134</v>
      </c>
      <c r="F15" s="406"/>
      <c r="G15" s="430"/>
      <c r="H15" s="426">
        <v>6096</v>
      </c>
    </row>
    <row r="16" spans="1:8" x14ac:dyDescent="0.3">
      <c r="A16" s="522" t="s">
        <v>329</v>
      </c>
      <c r="B16" s="520" t="s">
        <v>272</v>
      </c>
      <c r="C16" s="545">
        <v>6096</v>
      </c>
      <c r="D16" s="545"/>
      <c r="E16" s="524">
        <v>46141</v>
      </c>
      <c r="F16" s="520"/>
      <c r="G16" s="534"/>
      <c r="H16" s="535">
        <v>6096</v>
      </c>
    </row>
    <row r="17" spans="1:8" x14ac:dyDescent="0.3">
      <c r="A17" s="405" t="s">
        <v>330</v>
      </c>
      <c r="B17" s="406" t="s">
        <v>272</v>
      </c>
      <c r="C17" s="425">
        <v>9041</v>
      </c>
      <c r="D17" s="425"/>
      <c r="E17" s="428">
        <v>46120</v>
      </c>
      <c r="F17" s="406"/>
      <c r="G17" s="430"/>
      <c r="H17" s="426">
        <v>9041</v>
      </c>
    </row>
    <row r="18" spans="1:8" x14ac:dyDescent="0.3">
      <c r="A18" s="522" t="s">
        <v>330</v>
      </c>
      <c r="B18" s="520" t="s">
        <v>272</v>
      </c>
      <c r="C18" s="545">
        <v>9041</v>
      </c>
      <c r="D18" s="545"/>
      <c r="E18" s="524">
        <v>46127</v>
      </c>
      <c r="F18" s="520"/>
      <c r="G18" s="534"/>
      <c r="H18" s="535">
        <v>9041</v>
      </c>
    </row>
    <row r="19" spans="1:8" x14ac:dyDescent="0.3">
      <c r="A19" s="405" t="s">
        <v>330</v>
      </c>
      <c r="B19" s="406" t="s">
        <v>272</v>
      </c>
      <c r="C19" s="425">
        <v>9041</v>
      </c>
      <c r="D19" s="425"/>
      <c r="E19" s="428">
        <v>46134</v>
      </c>
      <c r="F19" s="406"/>
      <c r="G19" s="430"/>
      <c r="H19" s="426">
        <v>9041</v>
      </c>
    </row>
    <row r="20" spans="1:8" x14ac:dyDescent="0.3">
      <c r="A20" s="522" t="s">
        <v>330</v>
      </c>
      <c r="B20" s="520" t="s">
        <v>272</v>
      </c>
      <c r="C20" s="545">
        <v>9041</v>
      </c>
      <c r="D20" s="545"/>
      <c r="E20" s="524">
        <v>46141</v>
      </c>
      <c r="F20" s="520"/>
      <c r="G20" s="534"/>
      <c r="H20" s="535">
        <v>9041</v>
      </c>
    </row>
    <row r="21" spans="1:8" x14ac:dyDescent="0.3">
      <c r="A21" s="405" t="s">
        <v>331</v>
      </c>
      <c r="B21" s="406" t="s">
        <v>272</v>
      </c>
      <c r="C21" s="425">
        <v>7762</v>
      </c>
      <c r="D21" s="425"/>
      <c r="E21" s="428">
        <v>46120</v>
      </c>
      <c r="F21" s="406"/>
      <c r="G21" s="430"/>
      <c r="H21" s="426">
        <v>7762</v>
      </c>
    </row>
    <row r="22" spans="1:8" x14ac:dyDescent="0.3">
      <c r="A22" s="522" t="s">
        <v>331</v>
      </c>
      <c r="B22" s="520" t="s">
        <v>272</v>
      </c>
      <c r="C22" s="545">
        <v>7762</v>
      </c>
      <c r="D22" s="545"/>
      <c r="E22" s="524">
        <v>46127</v>
      </c>
      <c r="F22" s="520"/>
      <c r="G22" s="534"/>
      <c r="H22" s="535">
        <v>7762</v>
      </c>
    </row>
    <row r="23" spans="1:8" x14ac:dyDescent="0.3">
      <c r="A23" s="405" t="s">
        <v>331</v>
      </c>
      <c r="B23" s="406" t="s">
        <v>272</v>
      </c>
      <c r="C23" s="425">
        <v>7762</v>
      </c>
      <c r="D23" s="425"/>
      <c r="E23" s="428">
        <v>46134</v>
      </c>
      <c r="F23" s="406"/>
      <c r="G23" s="430"/>
      <c r="H23" s="426">
        <v>7762</v>
      </c>
    </row>
    <row r="24" spans="1:8" x14ac:dyDescent="0.3">
      <c r="A24" s="522" t="s">
        <v>331</v>
      </c>
      <c r="B24" s="520" t="s">
        <v>272</v>
      </c>
      <c r="C24" s="545">
        <v>7762</v>
      </c>
      <c r="D24" s="545"/>
      <c r="E24" s="524">
        <v>46141</v>
      </c>
      <c r="F24" s="520"/>
      <c r="G24" s="534"/>
      <c r="H24" s="535">
        <v>7762</v>
      </c>
    </row>
    <row r="25" spans="1:8" ht="15" thickBot="1" x14ac:dyDescent="0.35">
      <c r="A25" s="522" t="s">
        <v>315</v>
      </c>
      <c r="B25" s="520" t="s">
        <v>332</v>
      </c>
      <c r="C25" s="545">
        <v>1113</v>
      </c>
      <c r="D25" s="545"/>
      <c r="E25" s="524">
        <v>46142</v>
      </c>
      <c r="F25" s="520"/>
      <c r="G25" s="534"/>
      <c r="H25" s="535">
        <v>1113</v>
      </c>
    </row>
    <row r="26" spans="1:8" x14ac:dyDescent="0.3">
      <c r="A26" s="411" t="s">
        <v>254</v>
      </c>
      <c r="B26" s="409" t="s">
        <v>271</v>
      </c>
      <c r="C26" s="413">
        <v>1025.48</v>
      </c>
      <c r="D26" s="413"/>
      <c r="E26" s="414">
        <v>46115</v>
      </c>
      <c r="F26" s="409"/>
      <c r="G26" s="415"/>
      <c r="H26" s="416">
        <v>1025.48</v>
      </c>
    </row>
    <row r="27" spans="1:8" x14ac:dyDescent="0.3">
      <c r="A27" s="522" t="s">
        <v>254</v>
      </c>
      <c r="B27" s="520" t="s">
        <v>271</v>
      </c>
      <c r="C27" s="545">
        <v>1025.48</v>
      </c>
      <c r="D27" s="545"/>
      <c r="E27" s="524">
        <v>46122</v>
      </c>
      <c r="F27" s="520"/>
      <c r="G27" s="534"/>
      <c r="H27" s="535">
        <v>1025.48</v>
      </c>
    </row>
    <row r="28" spans="1:8" x14ac:dyDescent="0.3">
      <c r="A28" s="405" t="s">
        <v>254</v>
      </c>
      <c r="B28" s="406" t="s">
        <v>271</v>
      </c>
      <c r="C28" s="425">
        <v>1025.48</v>
      </c>
      <c r="D28" s="425"/>
      <c r="E28" s="428">
        <v>46129</v>
      </c>
      <c r="F28" s="406"/>
      <c r="G28" s="430"/>
      <c r="H28" s="426">
        <v>1025.48</v>
      </c>
    </row>
    <row r="29" spans="1:8" x14ac:dyDescent="0.3">
      <c r="A29" s="522" t="s">
        <v>254</v>
      </c>
      <c r="B29" s="520" t="s">
        <v>271</v>
      </c>
      <c r="C29" s="545">
        <v>1025.48</v>
      </c>
      <c r="D29" s="545"/>
      <c r="E29" s="524">
        <v>46136</v>
      </c>
      <c r="F29" s="520"/>
      <c r="G29" s="534"/>
      <c r="H29" s="535">
        <v>1025.48</v>
      </c>
    </row>
    <row r="30" spans="1:8" ht="15" thickBot="1" x14ac:dyDescent="0.35">
      <c r="A30" s="405" t="s">
        <v>254</v>
      </c>
      <c r="B30" s="406" t="s">
        <v>271</v>
      </c>
      <c r="C30" s="425">
        <v>1025.48</v>
      </c>
      <c r="D30" s="425"/>
      <c r="E30" s="428">
        <v>46143</v>
      </c>
      <c r="F30" s="406"/>
      <c r="G30" s="430"/>
      <c r="H30" s="426">
        <v>1025.48</v>
      </c>
    </row>
    <row r="31" spans="1:8" x14ac:dyDescent="0.3">
      <c r="A31" s="411" t="s">
        <v>254</v>
      </c>
      <c r="B31" s="409" t="s">
        <v>271</v>
      </c>
      <c r="C31" s="466">
        <v>573.84</v>
      </c>
      <c r="D31" s="466"/>
      <c r="E31" s="414">
        <v>46122</v>
      </c>
      <c r="F31" s="409"/>
      <c r="G31" s="415"/>
      <c r="H31" s="416">
        <v>573.84</v>
      </c>
    </row>
    <row r="32" spans="1:8" x14ac:dyDescent="0.3">
      <c r="A32" s="522" t="s">
        <v>254</v>
      </c>
      <c r="B32" s="520" t="s">
        <v>271</v>
      </c>
      <c r="C32" s="540">
        <v>573.84</v>
      </c>
      <c r="D32" s="540"/>
      <c r="E32" s="524">
        <v>46129</v>
      </c>
      <c r="F32" s="520"/>
      <c r="G32" s="534"/>
      <c r="H32" s="535">
        <v>573.84</v>
      </c>
    </row>
    <row r="33" spans="1:9" x14ac:dyDescent="0.3">
      <c r="A33" s="405" t="s">
        <v>254</v>
      </c>
      <c r="B33" s="406" t="s">
        <v>271</v>
      </c>
      <c r="C33" s="455">
        <v>573.84</v>
      </c>
      <c r="D33" s="455"/>
      <c r="E33" s="428">
        <v>46136</v>
      </c>
      <c r="F33" s="406"/>
      <c r="G33" s="430"/>
      <c r="H33" s="426">
        <v>573.84</v>
      </c>
    </row>
    <row r="34" spans="1:9" x14ac:dyDescent="0.3">
      <c r="A34" s="522" t="s">
        <v>254</v>
      </c>
      <c r="B34" s="520" t="s">
        <v>271</v>
      </c>
      <c r="C34" s="540">
        <v>573.84</v>
      </c>
      <c r="D34" s="540"/>
      <c r="E34" s="524">
        <v>46143</v>
      </c>
      <c r="F34" s="520"/>
      <c r="G34" s="534"/>
      <c r="H34" s="535">
        <v>573.84</v>
      </c>
    </row>
    <row r="35" spans="1:9" ht="15" thickBot="1" x14ac:dyDescent="0.35">
      <c r="A35" s="434" t="s">
        <v>264</v>
      </c>
      <c r="B35" s="432" t="s">
        <v>271</v>
      </c>
      <c r="C35" s="435">
        <v>4990</v>
      </c>
      <c r="D35" s="435"/>
      <c r="E35" s="436">
        <v>46143</v>
      </c>
      <c r="F35" s="437"/>
      <c r="G35" s="438"/>
      <c r="H35" s="439">
        <v>4990</v>
      </c>
    </row>
    <row r="36" spans="1:9" ht="15" thickBot="1" x14ac:dyDescent="0.35">
      <c r="A36" s="411" t="s">
        <v>264</v>
      </c>
      <c r="B36" s="409" t="s">
        <v>271</v>
      </c>
      <c r="C36" s="413">
        <v>2356.6666666666665</v>
      </c>
      <c r="D36" s="413"/>
      <c r="E36" s="414">
        <v>46143</v>
      </c>
      <c r="F36" s="409"/>
      <c r="G36" s="415"/>
      <c r="H36" s="416">
        <v>2356.6666666666665</v>
      </c>
    </row>
    <row r="37" spans="1:9" ht="15" thickBot="1" x14ac:dyDescent="0.35">
      <c r="A37" s="502" t="s">
        <v>317</v>
      </c>
      <c r="B37" s="500" t="s">
        <v>272</v>
      </c>
      <c r="C37" s="503">
        <v>7098.15</v>
      </c>
      <c r="D37" s="503"/>
      <c r="E37" s="504">
        <v>46143</v>
      </c>
      <c r="F37" s="500"/>
      <c r="G37" s="542"/>
      <c r="H37" s="543">
        <v>7098.15</v>
      </c>
      <c r="I37" t="s">
        <v>367</v>
      </c>
    </row>
    <row r="38" spans="1:9" ht="15" thickBot="1" x14ac:dyDescent="0.35">
      <c r="A38" s="363" t="s">
        <v>339</v>
      </c>
      <c r="B38" s="365" t="s">
        <v>273</v>
      </c>
      <c r="C38" s="386">
        <v>1755</v>
      </c>
      <c r="D38" s="386"/>
      <c r="E38" s="387">
        <v>46143</v>
      </c>
      <c r="F38" s="365"/>
      <c r="G38" s="367"/>
      <c r="H38" s="388">
        <v>1755</v>
      </c>
    </row>
    <row r="39" spans="1:9" x14ac:dyDescent="0.3">
      <c r="H39" s="413">
        <f>SUM(H2:H38)</f>
        <v>232827.57666666669</v>
      </c>
    </row>
    <row r="40" spans="1:9" x14ac:dyDescent="0.3">
      <c r="E40" t="s">
        <v>366</v>
      </c>
      <c r="H40" s="20">
        <v>189690</v>
      </c>
    </row>
    <row r="41" spans="1:9" x14ac:dyDescent="0.3">
      <c r="E41" t="s">
        <v>254</v>
      </c>
      <c r="H41" s="20">
        <v>25162.36</v>
      </c>
    </row>
    <row r="42" spans="1:9" x14ac:dyDescent="0.3">
      <c r="E42" t="s">
        <v>264</v>
      </c>
      <c r="H42" s="20">
        <v>7346.67</v>
      </c>
    </row>
  </sheetData>
  <autoFilter ref="A1:H40" xr:uid="{DE96E91F-3F77-4CA0-9063-3A2DF9895E8A}"/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A28D-311D-4C28-9F41-975319B6E5E8}">
  <dimension ref="B1:H51"/>
  <sheetViews>
    <sheetView topLeftCell="A30" workbookViewId="0">
      <selection activeCell="J7" sqref="J7"/>
    </sheetView>
  </sheetViews>
  <sheetFormatPr defaultRowHeight="14.4" x14ac:dyDescent="0.3"/>
  <cols>
    <col min="1" max="1" width="1.88671875" customWidth="1"/>
    <col min="2" max="2" width="12" bestFit="1" customWidth="1"/>
    <col min="3" max="3" width="7.44140625" bestFit="1" customWidth="1"/>
    <col min="4" max="4" width="18.6640625" customWidth="1"/>
    <col min="5" max="5" width="18.109375" bestFit="1" customWidth="1"/>
    <col min="6" max="6" width="15.33203125" bestFit="1" customWidth="1"/>
    <col min="7" max="7" width="14" bestFit="1" customWidth="1"/>
    <col min="8" max="8" width="12.6640625" bestFit="1" customWidth="1"/>
  </cols>
  <sheetData>
    <row r="1" spans="2:8" ht="24" thickBot="1" x14ac:dyDescent="0.35">
      <c r="B1" s="486" t="s">
        <v>342</v>
      </c>
      <c r="C1" s="306"/>
      <c r="D1" s="306"/>
      <c r="E1" s="306"/>
      <c r="F1" s="306"/>
      <c r="G1" s="306"/>
      <c r="H1" s="306"/>
    </row>
    <row r="2" spans="2:8" ht="15" thickBot="1" x14ac:dyDescent="0.35">
      <c r="B2" s="483" t="s">
        <v>223</v>
      </c>
      <c r="C2" s="484" t="s">
        <v>232</v>
      </c>
      <c r="D2" s="485" t="s">
        <v>224</v>
      </c>
      <c r="E2" s="484" t="s">
        <v>225</v>
      </c>
      <c r="F2" s="484" t="s">
        <v>268</v>
      </c>
      <c r="G2" s="484" t="s">
        <v>226</v>
      </c>
      <c r="H2" s="484" t="s">
        <v>228</v>
      </c>
    </row>
    <row r="3" spans="2:8" x14ac:dyDescent="0.3">
      <c r="B3" s="471">
        <v>760</v>
      </c>
      <c r="C3" s="472">
        <v>711</v>
      </c>
      <c r="D3" s="473">
        <v>46092</v>
      </c>
      <c r="E3" s="474" t="s">
        <v>329</v>
      </c>
      <c r="F3" s="472" t="s">
        <v>272</v>
      </c>
      <c r="G3" s="475">
        <v>6100</v>
      </c>
      <c r="H3" s="476">
        <v>46113</v>
      </c>
    </row>
    <row r="4" spans="2:8" x14ac:dyDescent="0.3">
      <c r="B4" s="471">
        <v>761</v>
      </c>
      <c r="C4" s="472">
        <v>712</v>
      </c>
      <c r="D4" s="473">
        <v>46092</v>
      </c>
      <c r="E4" s="474" t="s">
        <v>330</v>
      </c>
      <c r="F4" s="472" t="s">
        <v>272</v>
      </c>
      <c r="G4" s="475">
        <v>9045</v>
      </c>
      <c r="H4" s="476">
        <v>46113</v>
      </c>
    </row>
    <row r="5" spans="2:8" x14ac:dyDescent="0.3">
      <c r="B5" s="471">
        <v>762</v>
      </c>
      <c r="C5" s="472">
        <v>713</v>
      </c>
      <c r="D5" s="473">
        <v>46092</v>
      </c>
      <c r="E5" s="474" t="s">
        <v>331</v>
      </c>
      <c r="F5" s="472" t="s">
        <v>272</v>
      </c>
      <c r="G5" s="475">
        <v>7767.5</v>
      </c>
      <c r="H5" s="476">
        <v>46113</v>
      </c>
    </row>
    <row r="6" spans="2:8" x14ac:dyDescent="0.3">
      <c r="B6" s="471">
        <v>525</v>
      </c>
      <c r="C6" s="472">
        <v>1019</v>
      </c>
      <c r="D6" s="473">
        <v>46360</v>
      </c>
      <c r="E6" s="474" t="s">
        <v>276</v>
      </c>
      <c r="F6" s="472" t="s">
        <v>272</v>
      </c>
      <c r="G6" s="475">
        <v>18954</v>
      </c>
      <c r="H6" s="476">
        <v>46119</v>
      </c>
    </row>
    <row r="7" spans="2:8" x14ac:dyDescent="0.3">
      <c r="B7" s="471">
        <v>759</v>
      </c>
      <c r="C7" s="472">
        <v>709</v>
      </c>
      <c r="D7" s="473">
        <v>46092</v>
      </c>
      <c r="E7" s="474" t="s">
        <v>327</v>
      </c>
      <c r="F7" s="472" t="s">
        <v>272</v>
      </c>
      <c r="G7" s="475">
        <v>8783</v>
      </c>
      <c r="H7" s="476">
        <v>46120</v>
      </c>
    </row>
    <row r="8" spans="2:8" x14ac:dyDescent="0.3">
      <c r="B8" s="471">
        <v>760</v>
      </c>
      <c r="C8" s="472">
        <v>711</v>
      </c>
      <c r="D8" s="473">
        <v>46092</v>
      </c>
      <c r="E8" s="474" t="s">
        <v>329</v>
      </c>
      <c r="F8" s="472" t="s">
        <v>272</v>
      </c>
      <c r="G8" s="475">
        <v>6096</v>
      </c>
      <c r="H8" s="476">
        <v>46120</v>
      </c>
    </row>
    <row r="9" spans="2:8" x14ac:dyDescent="0.3">
      <c r="B9" s="471">
        <v>761</v>
      </c>
      <c r="C9" s="472">
        <v>712</v>
      </c>
      <c r="D9" s="473">
        <v>46092</v>
      </c>
      <c r="E9" s="474" t="s">
        <v>330</v>
      </c>
      <c r="F9" s="472" t="s">
        <v>272</v>
      </c>
      <c r="G9" s="475">
        <v>9041</v>
      </c>
      <c r="H9" s="476">
        <v>46120</v>
      </c>
    </row>
    <row r="10" spans="2:8" x14ac:dyDescent="0.3">
      <c r="B10" s="471">
        <v>762</v>
      </c>
      <c r="C10" s="472">
        <v>713</v>
      </c>
      <c r="D10" s="473">
        <v>46092</v>
      </c>
      <c r="E10" s="474" t="s">
        <v>331</v>
      </c>
      <c r="F10" s="472" t="s">
        <v>272</v>
      </c>
      <c r="G10" s="475">
        <v>7762</v>
      </c>
      <c r="H10" s="476">
        <v>46120</v>
      </c>
    </row>
    <row r="11" spans="2:8" x14ac:dyDescent="0.3">
      <c r="B11" s="471">
        <v>525</v>
      </c>
      <c r="C11" s="472">
        <v>1019</v>
      </c>
      <c r="D11" s="473">
        <v>46360</v>
      </c>
      <c r="E11" s="474" t="s">
        <v>276</v>
      </c>
      <c r="F11" s="472" t="s">
        <v>272</v>
      </c>
      <c r="G11" s="475">
        <v>18954</v>
      </c>
      <c r="H11" s="476">
        <v>46126</v>
      </c>
    </row>
    <row r="12" spans="2:8" x14ac:dyDescent="0.3">
      <c r="B12" s="471">
        <v>759</v>
      </c>
      <c r="C12" s="472">
        <v>709</v>
      </c>
      <c r="D12" s="473">
        <v>46092</v>
      </c>
      <c r="E12" s="474" t="s">
        <v>327</v>
      </c>
      <c r="F12" s="472" t="s">
        <v>272</v>
      </c>
      <c r="G12" s="475">
        <v>8783</v>
      </c>
      <c r="H12" s="476">
        <v>46127</v>
      </c>
    </row>
    <row r="13" spans="2:8" x14ac:dyDescent="0.3">
      <c r="B13" s="471">
        <v>760</v>
      </c>
      <c r="C13" s="472">
        <v>711</v>
      </c>
      <c r="D13" s="473">
        <v>46092</v>
      </c>
      <c r="E13" s="474" t="s">
        <v>329</v>
      </c>
      <c r="F13" s="472" t="s">
        <v>272</v>
      </c>
      <c r="G13" s="475">
        <v>6096</v>
      </c>
      <c r="H13" s="476">
        <v>46127</v>
      </c>
    </row>
    <row r="14" spans="2:8" x14ac:dyDescent="0.3">
      <c r="B14" s="471">
        <v>761</v>
      </c>
      <c r="C14" s="472">
        <v>712</v>
      </c>
      <c r="D14" s="473">
        <v>46092</v>
      </c>
      <c r="E14" s="474" t="s">
        <v>330</v>
      </c>
      <c r="F14" s="472" t="s">
        <v>272</v>
      </c>
      <c r="G14" s="475">
        <v>9041</v>
      </c>
      <c r="H14" s="476">
        <v>46127</v>
      </c>
    </row>
    <row r="15" spans="2:8" x14ac:dyDescent="0.3">
      <c r="B15" s="471">
        <v>762</v>
      </c>
      <c r="C15" s="472">
        <v>713</v>
      </c>
      <c r="D15" s="473">
        <v>46092</v>
      </c>
      <c r="E15" s="474" t="s">
        <v>331</v>
      </c>
      <c r="F15" s="472" t="s">
        <v>272</v>
      </c>
      <c r="G15" s="475">
        <v>7762</v>
      </c>
      <c r="H15" s="476">
        <v>46127</v>
      </c>
    </row>
    <row r="16" spans="2:8" x14ac:dyDescent="0.3">
      <c r="B16" s="471">
        <v>525</v>
      </c>
      <c r="C16" s="472">
        <v>1019</v>
      </c>
      <c r="D16" s="473">
        <v>46360</v>
      </c>
      <c r="E16" s="474" t="s">
        <v>276</v>
      </c>
      <c r="F16" s="472" t="s">
        <v>272</v>
      </c>
      <c r="G16" s="475">
        <v>18954</v>
      </c>
      <c r="H16" s="476">
        <v>46133</v>
      </c>
    </row>
    <row r="17" spans="2:8" x14ac:dyDescent="0.3">
      <c r="B17" s="397">
        <v>759</v>
      </c>
      <c r="C17" s="406">
        <v>709</v>
      </c>
      <c r="D17" s="407">
        <v>46092</v>
      </c>
      <c r="E17" s="405" t="s">
        <v>327</v>
      </c>
      <c r="F17" s="406" t="s">
        <v>272</v>
      </c>
      <c r="G17" s="425">
        <v>8783</v>
      </c>
      <c r="H17" s="428">
        <v>46134</v>
      </c>
    </row>
    <row r="18" spans="2:8" x14ac:dyDescent="0.3">
      <c r="B18" s="397">
        <v>760</v>
      </c>
      <c r="C18" s="406">
        <v>711</v>
      </c>
      <c r="D18" s="407">
        <v>46092</v>
      </c>
      <c r="E18" s="405" t="s">
        <v>329</v>
      </c>
      <c r="F18" s="406" t="s">
        <v>272</v>
      </c>
      <c r="G18" s="425">
        <v>6096</v>
      </c>
      <c r="H18" s="428">
        <v>46134</v>
      </c>
    </row>
    <row r="19" spans="2:8" x14ac:dyDescent="0.3">
      <c r="B19" s="397">
        <v>761</v>
      </c>
      <c r="C19" s="406">
        <v>712</v>
      </c>
      <c r="D19" s="407">
        <v>46092</v>
      </c>
      <c r="E19" s="405" t="s">
        <v>330</v>
      </c>
      <c r="F19" s="406" t="s">
        <v>272</v>
      </c>
      <c r="G19" s="425">
        <v>9041</v>
      </c>
      <c r="H19" s="428">
        <v>46134</v>
      </c>
    </row>
    <row r="20" spans="2:8" x14ac:dyDescent="0.3">
      <c r="B20" s="397">
        <v>762</v>
      </c>
      <c r="C20" s="406">
        <v>713</v>
      </c>
      <c r="D20" s="407">
        <v>46092</v>
      </c>
      <c r="E20" s="405" t="s">
        <v>331</v>
      </c>
      <c r="F20" s="406" t="s">
        <v>272</v>
      </c>
      <c r="G20" s="425">
        <v>7762</v>
      </c>
      <c r="H20" s="428">
        <v>46134</v>
      </c>
    </row>
    <row r="21" spans="2:8" x14ac:dyDescent="0.3">
      <c r="B21" s="397">
        <v>759</v>
      </c>
      <c r="C21" s="406">
        <v>709</v>
      </c>
      <c r="D21" s="407">
        <v>46092</v>
      </c>
      <c r="E21" s="405" t="s">
        <v>327</v>
      </c>
      <c r="F21" s="406" t="s">
        <v>272</v>
      </c>
      <c r="G21" s="425">
        <v>8783</v>
      </c>
      <c r="H21" s="428">
        <v>46141</v>
      </c>
    </row>
    <row r="22" spans="2:8" x14ac:dyDescent="0.3">
      <c r="B22" s="397">
        <v>760</v>
      </c>
      <c r="C22" s="406">
        <v>711</v>
      </c>
      <c r="D22" s="407">
        <v>46092</v>
      </c>
      <c r="E22" s="405" t="s">
        <v>329</v>
      </c>
      <c r="F22" s="406" t="s">
        <v>272</v>
      </c>
      <c r="G22" s="425">
        <v>6096</v>
      </c>
      <c r="H22" s="428">
        <v>46141</v>
      </c>
    </row>
    <row r="23" spans="2:8" x14ac:dyDescent="0.3">
      <c r="B23" s="397">
        <v>761</v>
      </c>
      <c r="C23" s="406">
        <v>712</v>
      </c>
      <c r="D23" s="407">
        <v>46092</v>
      </c>
      <c r="E23" s="405" t="s">
        <v>330</v>
      </c>
      <c r="F23" s="406" t="s">
        <v>272</v>
      </c>
      <c r="G23" s="425">
        <v>9041</v>
      </c>
      <c r="H23" s="428">
        <v>46141</v>
      </c>
    </row>
    <row r="24" spans="2:8" x14ac:dyDescent="0.3">
      <c r="B24" s="397">
        <v>762</v>
      </c>
      <c r="C24" s="406">
        <v>713</v>
      </c>
      <c r="D24" s="407">
        <v>46092</v>
      </c>
      <c r="E24" s="405" t="s">
        <v>331</v>
      </c>
      <c r="F24" s="406" t="s">
        <v>272</v>
      </c>
      <c r="G24" s="425">
        <v>7762</v>
      </c>
      <c r="H24" s="428">
        <v>46141</v>
      </c>
    </row>
    <row r="25" spans="2:8" x14ac:dyDescent="0.3">
      <c r="B25" s="397">
        <v>759</v>
      </c>
      <c r="C25" s="406">
        <v>709</v>
      </c>
      <c r="D25" s="407">
        <v>46092</v>
      </c>
      <c r="E25" s="405" t="s">
        <v>327</v>
      </c>
      <c r="F25" s="406" t="s">
        <v>272</v>
      </c>
      <c r="G25" s="425">
        <v>8783</v>
      </c>
      <c r="H25" s="428">
        <v>46148</v>
      </c>
    </row>
    <row r="26" spans="2:8" x14ac:dyDescent="0.3">
      <c r="B26" s="397">
        <v>760</v>
      </c>
      <c r="C26" s="406">
        <v>711</v>
      </c>
      <c r="D26" s="407">
        <v>46092</v>
      </c>
      <c r="E26" s="405" t="s">
        <v>329</v>
      </c>
      <c r="F26" s="406" t="s">
        <v>272</v>
      </c>
      <c r="G26" s="425">
        <v>6096</v>
      </c>
      <c r="H26" s="428">
        <v>46148</v>
      </c>
    </row>
    <row r="27" spans="2:8" x14ac:dyDescent="0.3">
      <c r="B27" s="397">
        <v>761</v>
      </c>
      <c r="C27" s="406">
        <v>712</v>
      </c>
      <c r="D27" s="407">
        <v>46092</v>
      </c>
      <c r="E27" s="405" t="s">
        <v>330</v>
      </c>
      <c r="F27" s="406" t="s">
        <v>272</v>
      </c>
      <c r="G27" s="425">
        <v>9041</v>
      </c>
      <c r="H27" s="428">
        <v>46148</v>
      </c>
    </row>
    <row r="28" spans="2:8" x14ac:dyDescent="0.3">
      <c r="B28" s="397">
        <v>762</v>
      </c>
      <c r="C28" s="406">
        <v>713</v>
      </c>
      <c r="D28" s="407">
        <v>46092</v>
      </c>
      <c r="E28" s="405" t="s">
        <v>331</v>
      </c>
      <c r="F28" s="406" t="s">
        <v>272</v>
      </c>
      <c r="G28" s="425">
        <v>7762</v>
      </c>
      <c r="H28" s="428">
        <v>46148</v>
      </c>
    </row>
    <row r="29" spans="2:8" ht="15" thickBot="1" x14ac:dyDescent="0.35">
      <c r="B29" s="477"/>
      <c r="C29" s="478"/>
      <c r="D29" s="479"/>
      <c r="E29" s="480"/>
      <c r="F29" s="478"/>
      <c r="G29" s="481">
        <f>SUM(G3:G28)</f>
        <v>238184.5</v>
      </c>
      <c r="H29" s="482"/>
    </row>
    <row r="30" spans="2:8" x14ac:dyDescent="0.3">
      <c r="D30" s="425"/>
      <c r="E30" s="425"/>
      <c r="F30" s="425" t="s">
        <v>343</v>
      </c>
      <c r="G30" s="425">
        <f>SUM(G3:G16)</f>
        <v>143138.5</v>
      </c>
    </row>
    <row r="31" spans="2:8" x14ac:dyDescent="0.3">
      <c r="D31" s="425"/>
      <c r="E31" s="425"/>
      <c r="F31" s="425" t="s">
        <v>344</v>
      </c>
      <c r="G31" s="425">
        <f>SUM(G17:G28)</f>
        <v>95046</v>
      </c>
    </row>
    <row r="33" spans="2:8" ht="15" thickBot="1" x14ac:dyDescent="0.35"/>
    <row r="34" spans="2:8" ht="24" thickBot="1" x14ac:dyDescent="0.35">
      <c r="B34" s="487" t="s">
        <v>345</v>
      </c>
      <c r="C34" s="306"/>
      <c r="D34" s="306"/>
      <c r="E34" s="306"/>
      <c r="F34" s="306"/>
      <c r="G34" s="306"/>
      <c r="H34" s="306"/>
    </row>
    <row r="35" spans="2:8" x14ac:dyDescent="0.3">
      <c r="B35" s="425" t="s">
        <v>350</v>
      </c>
      <c r="C35" s="488" t="s">
        <v>351</v>
      </c>
      <c r="D35" s="425"/>
      <c r="E35" s="425">
        <f>1000*26.95</f>
        <v>26950</v>
      </c>
      <c r="F35" s="407" t="s">
        <v>352</v>
      </c>
    </row>
    <row r="36" spans="2:8" x14ac:dyDescent="0.3">
      <c r="B36" s="425"/>
      <c r="C36" s="488"/>
      <c r="D36" s="425"/>
      <c r="E36" s="425"/>
    </row>
    <row r="37" spans="2:8" x14ac:dyDescent="0.3">
      <c r="B37" s="425"/>
      <c r="C37" s="425"/>
      <c r="D37" s="425"/>
      <c r="E37" s="425"/>
    </row>
    <row r="39" spans="2:8" ht="15" thickBot="1" x14ac:dyDescent="0.35"/>
    <row r="40" spans="2:8" ht="24" thickBot="1" x14ac:dyDescent="0.35">
      <c r="B40" s="487" t="s">
        <v>346</v>
      </c>
      <c r="C40" s="306"/>
      <c r="D40" s="306"/>
      <c r="E40" s="306"/>
      <c r="F40" s="306"/>
      <c r="G40" s="306"/>
      <c r="H40" s="306"/>
    </row>
    <row r="41" spans="2:8" x14ac:dyDescent="0.3">
      <c r="B41" s="425" t="s">
        <v>347</v>
      </c>
      <c r="C41" s="488" t="s">
        <v>348</v>
      </c>
      <c r="D41" s="425"/>
      <c r="E41" s="425">
        <v>31936</v>
      </c>
      <c r="F41" s="407" t="s">
        <v>352</v>
      </c>
    </row>
    <row r="42" spans="2:8" x14ac:dyDescent="0.3">
      <c r="B42" s="425">
        <v>4408</v>
      </c>
      <c r="C42" s="488" t="s">
        <v>349</v>
      </c>
      <c r="D42" s="425"/>
      <c r="E42" s="425">
        <v>5376.52</v>
      </c>
      <c r="F42" s="407" t="s">
        <v>352</v>
      </c>
    </row>
    <row r="43" spans="2:8" x14ac:dyDescent="0.3">
      <c r="B43" s="425"/>
      <c r="C43" s="425"/>
      <c r="D43" s="425"/>
      <c r="E43" s="425">
        <f>SUM(E41:E42)</f>
        <v>37312.520000000004</v>
      </c>
    </row>
    <row r="46" spans="2:8" ht="15" thickBot="1" x14ac:dyDescent="0.35"/>
    <row r="47" spans="2:8" ht="24" thickBot="1" x14ac:dyDescent="0.35">
      <c r="B47" s="487" t="s">
        <v>353</v>
      </c>
      <c r="C47" s="306"/>
      <c r="D47" s="306"/>
      <c r="E47" s="306"/>
      <c r="F47" s="306"/>
      <c r="G47" s="306"/>
      <c r="H47" s="306"/>
    </row>
    <row r="48" spans="2:8" x14ac:dyDescent="0.3">
      <c r="E48" s="494">
        <v>175568.87</v>
      </c>
    </row>
    <row r="50" spans="2:8" ht="15" thickBot="1" x14ac:dyDescent="0.35"/>
    <row r="51" spans="2:8" ht="24" thickBot="1" x14ac:dyDescent="0.4">
      <c r="B51" s="487" t="s">
        <v>214</v>
      </c>
      <c r="C51" s="306"/>
      <c r="D51" s="306"/>
      <c r="E51" s="495">
        <f>G29+E35+E43+E48</f>
        <v>478015.89</v>
      </c>
      <c r="F51" s="306"/>
      <c r="G51" s="306"/>
      <c r="H51" s="306"/>
    </row>
  </sheetData>
  <autoFilter ref="B2:H2" xr:uid="{A1B4A28D-311D-4C28-9F41-975319B6E5E8}"/>
  <sortState xmlns:xlrd2="http://schemas.microsoft.com/office/spreadsheetml/2017/richdata2" ref="B3:H28">
    <sortCondition ref="H3:H28"/>
  </sortState>
  <pageMargins left="0.51181102362204722" right="0.51181102362204722" top="0.78740157480314965" bottom="0.78740157480314965" header="0.31496062992125984" footer="0.31496062992125984"/>
  <pageSetup paperSize="9" scale="85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C360-8A3E-4B63-942B-2ADB2647D309}">
  <dimension ref="A1:K38"/>
  <sheetViews>
    <sheetView workbookViewId="0">
      <selection activeCell="A2" sqref="A2"/>
    </sheetView>
  </sheetViews>
  <sheetFormatPr defaultRowHeight="14.4" x14ac:dyDescent="0.3"/>
  <cols>
    <col min="1" max="1" width="12" bestFit="1" customWidth="1"/>
    <col min="4" max="4" width="13.6640625" bestFit="1" customWidth="1"/>
    <col min="5" max="5" width="15.33203125" bestFit="1" customWidth="1"/>
    <col min="6" max="6" width="13.109375" bestFit="1" customWidth="1"/>
    <col min="7" max="7" width="13.33203125" bestFit="1" customWidth="1"/>
    <col min="8" max="8" width="12.6640625" bestFit="1" customWidth="1"/>
    <col min="9" max="9" width="10.5546875" bestFit="1" customWidth="1"/>
    <col min="10" max="10" width="12.109375" bestFit="1" customWidth="1"/>
    <col min="11" max="11" width="11.88671875" bestFit="1" customWidth="1"/>
  </cols>
  <sheetData>
    <row r="1" spans="1:7" ht="15" thickBot="1" x14ac:dyDescent="0.35">
      <c r="A1" s="85" t="s">
        <v>355</v>
      </c>
      <c r="B1" s="85" t="s">
        <v>232</v>
      </c>
      <c r="C1" s="85" t="s">
        <v>356</v>
      </c>
      <c r="D1" s="85" t="s">
        <v>357</v>
      </c>
      <c r="E1" s="85" t="s">
        <v>358</v>
      </c>
      <c r="F1" s="85" t="s">
        <v>359</v>
      </c>
      <c r="G1" s="85" t="s">
        <v>360</v>
      </c>
    </row>
    <row r="2" spans="1:7" ht="15" thickBot="1" x14ac:dyDescent="0.35">
      <c r="A2" s="364">
        <v>21723</v>
      </c>
      <c r="B2" s="365">
        <v>3637</v>
      </c>
      <c r="C2" s="366">
        <v>46072</v>
      </c>
      <c r="D2" s="384" t="s">
        <v>254</v>
      </c>
      <c r="E2" s="365" t="s">
        <v>271</v>
      </c>
      <c r="F2" s="386">
        <v>2809.31</v>
      </c>
      <c r="G2" s="387">
        <v>46093</v>
      </c>
    </row>
    <row r="3" spans="1:7" ht="15" thickBot="1" x14ac:dyDescent="0.35">
      <c r="A3" s="499">
        <v>21853</v>
      </c>
      <c r="B3" s="500">
        <v>3714</v>
      </c>
      <c r="C3" s="501">
        <v>46079</v>
      </c>
      <c r="D3" s="502" t="s">
        <v>254</v>
      </c>
      <c r="E3" s="500" t="s">
        <v>271</v>
      </c>
      <c r="F3" s="503">
        <v>2899.16</v>
      </c>
      <c r="G3" s="504">
        <v>46093</v>
      </c>
    </row>
    <row r="4" spans="1:7" ht="15" thickBot="1" x14ac:dyDescent="0.35">
      <c r="A4" s="505">
        <v>21938</v>
      </c>
      <c r="B4" s="506">
        <v>3818</v>
      </c>
      <c r="C4" s="507">
        <v>46084</v>
      </c>
      <c r="D4" s="508" t="s">
        <v>254</v>
      </c>
      <c r="E4" s="506" t="s">
        <v>271</v>
      </c>
      <c r="F4" s="511">
        <v>9515.57</v>
      </c>
      <c r="G4" s="509">
        <v>46114</v>
      </c>
    </row>
    <row r="5" spans="1:7" x14ac:dyDescent="0.3">
      <c r="A5" s="505">
        <v>22243</v>
      </c>
      <c r="B5" s="506">
        <v>3370</v>
      </c>
      <c r="C5" s="507">
        <v>46101</v>
      </c>
      <c r="D5" s="508" t="s">
        <v>254</v>
      </c>
      <c r="E5" s="506" t="s">
        <v>271</v>
      </c>
      <c r="F5" s="511">
        <v>1025.48</v>
      </c>
      <c r="G5" s="509">
        <v>46115</v>
      </c>
    </row>
    <row r="6" spans="1:7" x14ac:dyDescent="0.3">
      <c r="A6" s="397">
        <v>22243</v>
      </c>
      <c r="B6" s="406">
        <v>3370</v>
      </c>
      <c r="C6" s="407">
        <v>46101</v>
      </c>
      <c r="D6" s="405" t="s">
        <v>254</v>
      </c>
      <c r="E6" s="406" t="s">
        <v>271</v>
      </c>
      <c r="F6" s="494">
        <v>1025.48</v>
      </c>
      <c r="G6" s="428">
        <v>46122</v>
      </c>
    </row>
    <row r="7" spans="1:7" x14ac:dyDescent="0.3">
      <c r="A7" s="519">
        <v>22243</v>
      </c>
      <c r="B7" s="520">
        <v>3370</v>
      </c>
      <c r="C7" s="521">
        <v>46101</v>
      </c>
      <c r="D7" s="522" t="s">
        <v>254</v>
      </c>
      <c r="E7" s="520" t="s">
        <v>271</v>
      </c>
      <c r="F7" s="523">
        <v>1025.48</v>
      </c>
      <c r="G7" s="524">
        <v>46129</v>
      </c>
    </row>
    <row r="8" spans="1:7" ht="15" thickBot="1" x14ac:dyDescent="0.35">
      <c r="A8" s="397">
        <v>22243</v>
      </c>
      <c r="B8" s="406">
        <v>3370</v>
      </c>
      <c r="C8" s="407">
        <v>46101</v>
      </c>
      <c r="D8" s="405" t="s">
        <v>254</v>
      </c>
      <c r="E8" s="406" t="s">
        <v>271</v>
      </c>
      <c r="F8" s="494">
        <v>1025.48</v>
      </c>
      <c r="G8" s="428">
        <v>46136</v>
      </c>
    </row>
    <row r="9" spans="1:7" x14ac:dyDescent="0.3">
      <c r="A9" s="396">
        <v>22381</v>
      </c>
      <c r="B9" s="409">
        <v>4184</v>
      </c>
      <c r="C9" s="410">
        <v>46108</v>
      </c>
      <c r="D9" s="411" t="s">
        <v>254</v>
      </c>
      <c r="E9" s="409" t="s">
        <v>271</v>
      </c>
      <c r="F9" s="413">
        <v>573.84</v>
      </c>
      <c r="G9" s="414">
        <v>46122</v>
      </c>
    </row>
    <row r="10" spans="1:7" x14ac:dyDescent="0.3">
      <c r="A10" s="519">
        <v>22381</v>
      </c>
      <c r="B10" s="520">
        <v>4184</v>
      </c>
      <c r="C10" s="521">
        <v>46108</v>
      </c>
      <c r="D10" s="522" t="s">
        <v>254</v>
      </c>
      <c r="E10" s="520" t="s">
        <v>271</v>
      </c>
      <c r="F10" s="523">
        <v>573.84</v>
      </c>
      <c r="G10" s="524">
        <v>46129</v>
      </c>
    </row>
    <row r="11" spans="1:7" x14ac:dyDescent="0.3">
      <c r="A11" s="397">
        <v>22381</v>
      </c>
      <c r="B11" s="406">
        <v>4184</v>
      </c>
      <c r="C11" s="407">
        <v>46108</v>
      </c>
      <c r="D11" s="405" t="s">
        <v>254</v>
      </c>
      <c r="E11" s="406" t="s">
        <v>271</v>
      </c>
      <c r="F11" s="494">
        <v>573.84</v>
      </c>
      <c r="G11" s="428">
        <v>46136</v>
      </c>
    </row>
    <row r="12" spans="1:7" ht="15" thickBot="1" x14ac:dyDescent="0.35">
      <c r="A12" s="528"/>
      <c r="B12" s="528"/>
      <c r="C12" s="528"/>
      <c r="D12" s="528"/>
      <c r="E12" s="528"/>
      <c r="F12" s="529">
        <f>SUM(F2:F11)</f>
        <v>21047.48</v>
      </c>
      <c r="G12" s="528"/>
    </row>
    <row r="13" spans="1:7" x14ac:dyDescent="0.3">
      <c r="D13" s="405" t="s">
        <v>361</v>
      </c>
      <c r="F13" s="425">
        <v>2000</v>
      </c>
    </row>
    <row r="14" spans="1:7" ht="15" thickBot="1" x14ac:dyDescent="0.35">
      <c r="A14" s="528"/>
      <c r="B14" s="528"/>
      <c r="C14" s="528"/>
      <c r="D14" s="480" t="s">
        <v>362</v>
      </c>
      <c r="E14" s="528"/>
      <c r="F14" s="529">
        <f>F12-F13</f>
        <v>19047.48</v>
      </c>
      <c r="G14" s="528"/>
    </row>
    <row r="18" spans="1:11" ht="15" thickBot="1" x14ac:dyDescent="0.35"/>
    <row r="19" spans="1:11" ht="28.8" x14ac:dyDescent="0.3">
      <c r="A19" s="530" t="s">
        <v>223</v>
      </c>
      <c r="B19" s="531" t="s">
        <v>232</v>
      </c>
      <c r="C19" s="532" t="s">
        <v>224</v>
      </c>
      <c r="D19" s="531" t="s">
        <v>225</v>
      </c>
      <c r="E19" s="531" t="s">
        <v>268</v>
      </c>
      <c r="F19" s="531" t="s">
        <v>226</v>
      </c>
      <c r="G19" s="531" t="s">
        <v>228</v>
      </c>
    </row>
    <row r="20" spans="1:11" ht="15" thickBot="1" x14ac:dyDescent="0.35">
      <c r="A20" s="418">
        <v>22371</v>
      </c>
      <c r="B20" s="432">
        <v>4207</v>
      </c>
      <c r="C20" s="433">
        <v>46108</v>
      </c>
      <c r="D20" s="434" t="s">
        <v>264</v>
      </c>
      <c r="E20" s="432" t="s">
        <v>271</v>
      </c>
      <c r="F20" s="435">
        <v>1892.4</v>
      </c>
      <c r="G20" s="436">
        <v>46136</v>
      </c>
    </row>
    <row r="21" spans="1:11" ht="15" thickBot="1" x14ac:dyDescent="0.35">
      <c r="A21" s="513">
        <v>22379</v>
      </c>
      <c r="B21" s="516">
        <v>4208</v>
      </c>
      <c r="C21" s="514">
        <v>46108</v>
      </c>
      <c r="D21" s="515" t="s">
        <v>264</v>
      </c>
      <c r="E21" s="516" t="s">
        <v>271</v>
      </c>
      <c r="F21" s="517">
        <v>942.66666666666663</v>
      </c>
      <c r="G21" s="518">
        <v>46139</v>
      </c>
    </row>
    <row r="22" spans="1:11" ht="15" thickBot="1" x14ac:dyDescent="0.35">
      <c r="A22" s="418">
        <v>22368</v>
      </c>
      <c r="B22" s="432">
        <v>4205</v>
      </c>
      <c r="C22" s="433">
        <v>46108</v>
      </c>
      <c r="D22" s="434" t="s">
        <v>264</v>
      </c>
      <c r="E22" s="432" t="s">
        <v>271</v>
      </c>
      <c r="F22" s="435">
        <v>4990</v>
      </c>
      <c r="G22" s="436">
        <v>46136</v>
      </c>
    </row>
    <row r="23" spans="1:11" ht="15" thickBot="1" x14ac:dyDescent="0.35">
      <c r="A23" s="513">
        <v>834</v>
      </c>
      <c r="B23" s="516">
        <v>795</v>
      </c>
      <c r="C23" s="514">
        <v>46119</v>
      </c>
      <c r="D23" s="515" t="s">
        <v>264</v>
      </c>
      <c r="E23" s="516" t="s">
        <v>271</v>
      </c>
      <c r="F23" s="517">
        <v>2828</v>
      </c>
      <c r="G23" s="518">
        <v>46140</v>
      </c>
    </row>
    <row r="24" spans="1:11" x14ac:dyDescent="0.3">
      <c r="A24" s="519">
        <v>22591</v>
      </c>
      <c r="B24" s="520">
        <v>4318</v>
      </c>
      <c r="C24" s="521">
        <v>46122</v>
      </c>
      <c r="D24" s="522" t="s">
        <v>264</v>
      </c>
      <c r="E24" s="520" t="s">
        <v>271</v>
      </c>
      <c r="F24" s="523">
        <v>4990</v>
      </c>
      <c r="G24" s="524">
        <v>46136</v>
      </c>
    </row>
    <row r="25" spans="1:11" ht="15" thickBot="1" x14ac:dyDescent="0.35">
      <c r="A25" s="528"/>
      <c r="B25" s="528"/>
      <c r="C25" s="528"/>
      <c r="D25" s="480" t="s">
        <v>362</v>
      </c>
      <c r="E25" s="528"/>
      <c r="F25" s="529">
        <f>SUM(F20:F24)</f>
        <v>15643.066666666666</v>
      </c>
      <c r="G25" s="528"/>
    </row>
    <row r="28" spans="1:11" ht="15" thickBot="1" x14ac:dyDescent="0.35"/>
    <row r="29" spans="1:11" ht="43.8" thickBot="1" x14ac:dyDescent="0.35">
      <c r="A29" s="530" t="s">
        <v>223</v>
      </c>
      <c r="B29" s="531" t="s">
        <v>232</v>
      </c>
      <c r="C29" s="532" t="s">
        <v>224</v>
      </c>
      <c r="D29" s="531" t="s">
        <v>225</v>
      </c>
      <c r="E29" s="531" t="s">
        <v>268</v>
      </c>
      <c r="F29" s="531" t="s">
        <v>226</v>
      </c>
      <c r="G29" s="531" t="s">
        <v>227</v>
      </c>
      <c r="H29" s="531" t="s">
        <v>228</v>
      </c>
      <c r="I29" s="532" t="s">
        <v>229</v>
      </c>
      <c r="J29" s="531" t="s">
        <v>252</v>
      </c>
      <c r="K29" s="533" t="s">
        <v>230</v>
      </c>
    </row>
    <row r="30" spans="1:11" ht="15" thickBot="1" x14ac:dyDescent="0.35">
      <c r="A30" s="505">
        <v>21938</v>
      </c>
      <c r="B30" s="525">
        <v>3818</v>
      </c>
      <c r="C30" s="507">
        <v>46084</v>
      </c>
      <c r="D30" s="508" t="s">
        <v>254</v>
      </c>
      <c r="E30" s="506" t="s">
        <v>271</v>
      </c>
      <c r="F30" s="511">
        <v>9515.57</v>
      </c>
      <c r="G30" s="511"/>
      <c r="H30" s="509">
        <v>46114</v>
      </c>
      <c r="I30" s="512">
        <v>46135</v>
      </c>
      <c r="J30" s="536">
        <v>1291.53</v>
      </c>
      <c r="K30" s="537">
        <v>8224.0399999999991</v>
      </c>
    </row>
    <row r="31" spans="1:11" x14ac:dyDescent="0.3">
      <c r="A31" s="505">
        <v>22243</v>
      </c>
      <c r="B31" s="525">
        <v>3370</v>
      </c>
      <c r="C31" s="507">
        <v>46101</v>
      </c>
      <c r="D31" s="508" t="s">
        <v>254</v>
      </c>
      <c r="E31" s="506" t="s">
        <v>271</v>
      </c>
      <c r="F31" s="511">
        <v>1025.48</v>
      </c>
      <c r="G31" s="511"/>
      <c r="H31" s="509">
        <v>46115</v>
      </c>
      <c r="I31" s="506"/>
      <c r="J31" s="536"/>
      <c r="K31" s="537">
        <v>1025.48</v>
      </c>
    </row>
    <row r="32" spans="1:11" x14ac:dyDescent="0.3">
      <c r="A32" s="397">
        <v>22243</v>
      </c>
      <c r="B32" s="469">
        <v>3370</v>
      </c>
      <c r="C32" s="407">
        <v>46101</v>
      </c>
      <c r="D32" s="405" t="s">
        <v>254</v>
      </c>
      <c r="E32" s="406" t="s">
        <v>271</v>
      </c>
      <c r="F32" s="494">
        <v>1025.48</v>
      </c>
      <c r="G32" s="494"/>
      <c r="H32" s="428">
        <v>46122</v>
      </c>
      <c r="I32" s="406"/>
      <c r="J32" s="430"/>
      <c r="K32" s="426">
        <v>1025.48</v>
      </c>
    </row>
    <row r="33" spans="1:11" x14ac:dyDescent="0.3">
      <c r="A33" s="519">
        <v>22243</v>
      </c>
      <c r="B33" s="526">
        <v>3370</v>
      </c>
      <c r="C33" s="521">
        <v>46101</v>
      </c>
      <c r="D33" s="522" t="s">
        <v>254</v>
      </c>
      <c r="E33" s="520" t="s">
        <v>271</v>
      </c>
      <c r="F33" s="523">
        <v>1025.48</v>
      </c>
      <c r="G33" s="523"/>
      <c r="H33" s="524">
        <v>46129</v>
      </c>
      <c r="I33" s="520"/>
      <c r="J33" s="534"/>
      <c r="K33" s="535">
        <v>1025.48</v>
      </c>
    </row>
    <row r="34" spans="1:11" ht="15" thickBot="1" x14ac:dyDescent="0.35">
      <c r="A34" s="397">
        <v>22243</v>
      </c>
      <c r="B34" s="469">
        <v>3370</v>
      </c>
      <c r="C34" s="407">
        <v>46101</v>
      </c>
      <c r="D34" s="405" t="s">
        <v>254</v>
      </c>
      <c r="E34" s="406" t="s">
        <v>271</v>
      </c>
      <c r="F34" s="494">
        <v>1025.48</v>
      </c>
      <c r="G34" s="494"/>
      <c r="H34" s="428">
        <v>46136</v>
      </c>
      <c r="I34" s="406"/>
      <c r="J34" s="430"/>
      <c r="K34" s="426">
        <v>1025.48</v>
      </c>
    </row>
    <row r="35" spans="1:11" x14ac:dyDescent="0.3">
      <c r="A35" s="396">
        <v>22381</v>
      </c>
      <c r="B35" s="409">
        <v>4184</v>
      </c>
      <c r="C35" s="410">
        <v>46108</v>
      </c>
      <c r="D35" s="411" t="s">
        <v>254</v>
      </c>
      <c r="E35" s="409" t="s">
        <v>271</v>
      </c>
      <c r="F35" s="466">
        <v>573.84</v>
      </c>
      <c r="G35" s="466"/>
      <c r="H35" s="414">
        <v>46122</v>
      </c>
      <c r="I35" s="409"/>
      <c r="J35" s="415"/>
      <c r="K35" s="416">
        <v>573.84</v>
      </c>
    </row>
    <row r="36" spans="1:11" x14ac:dyDescent="0.3">
      <c r="A36" s="519">
        <v>22381</v>
      </c>
      <c r="B36" s="520">
        <v>4184</v>
      </c>
      <c r="C36" s="521">
        <v>46108</v>
      </c>
      <c r="D36" s="522" t="s">
        <v>254</v>
      </c>
      <c r="E36" s="520" t="s">
        <v>271</v>
      </c>
      <c r="F36" s="527">
        <v>573.84</v>
      </c>
      <c r="G36" s="527"/>
      <c r="H36" s="524">
        <v>46129</v>
      </c>
      <c r="I36" s="520"/>
      <c r="J36" s="534"/>
      <c r="K36" s="535">
        <v>573.84</v>
      </c>
    </row>
    <row r="37" spans="1:11" x14ac:dyDescent="0.3">
      <c r="A37" s="397">
        <v>22381</v>
      </c>
      <c r="B37" s="406">
        <v>4184</v>
      </c>
      <c r="C37" s="407">
        <v>46108</v>
      </c>
      <c r="D37" s="405" t="s">
        <v>254</v>
      </c>
      <c r="E37" s="406" t="s">
        <v>271</v>
      </c>
      <c r="F37" s="510">
        <v>573.84</v>
      </c>
      <c r="G37" s="510"/>
      <c r="H37" s="428">
        <v>46136</v>
      </c>
      <c r="I37" s="406"/>
      <c r="J37" s="430"/>
      <c r="K37" s="426">
        <v>573.84</v>
      </c>
    </row>
    <row r="38" spans="1:11" x14ac:dyDescent="0.3">
      <c r="K38" s="20">
        <f>SUM(K30:K37)</f>
        <v>14047.479999999998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A24A-4A0F-42BD-86BF-0112C511524F}">
  <dimension ref="A1:AF2"/>
  <sheetViews>
    <sheetView topLeftCell="Q1" workbookViewId="0">
      <selection activeCell="U1" sqref="U1:AF1"/>
    </sheetView>
  </sheetViews>
  <sheetFormatPr defaultRowHeight="14.4" x14ac:dyDescent="0.3"/>
  <cols>
    <col min="1" max="2" width="10.5546875" bestFit="1" customWidth="1"/>
    <col min="5" max="5" width="38.44140625" bestFit="1" customWidth="1"/>
    <col min="16" max="16" width="27.5546875" bestFit="1" customWidth="1"/>
    <col min="17" max="17" width="10.6640625" bestFit="1" customWidth="1"/>
    <col min="21" max="21" width="12.21875" bestFit="1" customWidth="1"/>
    <col min="22" max="22" width="10.5546875" bestFit="1" customWidth="1"/>
    <col min="23" max="23" width="12.21875" bestFit="1" customWidth="1"/>
    <col min="24" max="24" width="10.5546875" bestFit="1" customWidth="1"/>
    <col min="25" max="25" width="12.21875" bestFit="1" customWidth="1"/>
    <col min="26" max="26" width="10.5546875" bestFit="1" customWidth="1"/>
    <col min="27" max="27" width="12.21875" bestFit="1" customWidth="1"/>
    <col min="28" max="28" width="10.5546875" bestFit="1" customWidth="1"/>
    <col min="29" max="29" width="12.21875" bestFit="1" customWidth="1"/>
    <col min="30" max="30" width="10.5546875" bestFit="1" customWidth="1"/>
    <col min="31" max="31" width="12.21875" bestFit="1" customWidth="1"/>
    <col min="32" max="32" width="10.5546875" bestFit="1" customWidth="1"/>
  </cols>
  <sheetData>
    <row r="1" spans="1:32" x14ac:dyDescent="0.3">
      <c r="A1" s="339" t="s">
        <v>277</v>
      </c>
      <c r="B1" s="339" t="s">
        <v>278</v>
      </c>
      <c r="C1" s="339" t="s">
        <v>279</v>
      </c>
      <c r="D1" s="339" t="s">
        <v>280</v>
      </c>
      <c r="E1" s="339" t="s">
        <v>281</v>
      </c>
      <c r="F1" s="339" t="s">
        <v>282</v>
      </c>
      <c r="G1" s="339" t="s">
        <v>3</v>
      </c>
      <c r="H1" s="339" t="s">
        <v>283</v>
      </c>
      <c r="I1" s="339" t="s">
        <v>284</v>
      </c>
      <c r="J1" s="339" t="s">
        <v>285</v>
      </c>
      <c r="K1" s="339" t="s">
        <v>286</v>
      </c>
      <c r="L1" s="339" t="s">
        <v>287</v>
      </c>
      <c r="M1" s="339" t="s">
        <v>288</v>
      </c>
      <c r="N1" s="339" t="s">
        <v>289</v>
      </c>
      <c r="O1" s="339" t="s">
        <v>290</v>
      </c>
      <c r="P1" s="339" t="s">
        <v>291</v>
      </c>
      <c r="Q1" s="339" t="s">
        <v>292</v>
      </c>
      <c r="R1" s="339" t="s">
        <v>293</v>
      </c>
      <c r="S1" s="339" t="s">
        <v>294</v>
      </c>
      <c r="T1" s="339" t="s">
        <v>295</v>
      </c>
      <c r="U1" s="339" t="s">
        <v>303</v>
      </c>
      <c r="V1" s="339" t="s">
        <v>304</v>
      </c>
      <c r="W1" s="339" t="s">
        <v>305</v>
      </c>
      <c r="X1" s="339" t="s">
        <v>304</v>
      </c>
      <c r="Y1" s="339" t="s">
        <v>306</v>
      </c>
      <c r="Z1" s="339" t="s">
        <v>304</v>
      </c>
      <c r="AA1" s="339" t="s">
        <v>307</v>
      </c>
      <c r="AB1" s="339" t="s">
        <v>304</v>
      </c>
      <c r="AC1" s="339" t="s">
        <v>308</v>
      </c>
      <c r="AD1" s="339" t="s">
        <v>304</v>
      </c>
      <c r="AE1" s="339" t="s">
        <v>309</v>
      </c>
      <c r="AF1" s="339" t="s">
        <v>304</v>
      </c>
    </row>
    <row r="2" spans="1:32" x14ac:dyDescent="0.3">
      <c r="A2" s="340">
        <v>45992</v>
      </c>
      <c r="B2" s="340">
        <v>45993</v>
      </c>
      <c r="C2" s="341">
        <v>475</v>
      </c>
      <c r="D2" s="341">
        <v>11922</v>
      </c>
      <c r="E2" s="338" t="s">
        <v>296</v>
      </c>
      <c r="F2" s="341">
        <v>39</v>
      </c>
      <c r="G2" s="338" t="s">
        <v>297</v>
      </c>
      <c r="H2" s="341">
        <v>515</v>
      </c>
      <c r="I2" s="341">
        <v>6102</v>
      </c>
      <c r="J2" s="342">
        <v>120</v>
      </c>
      <c r="K2" s="342">
        <v>120</v>
      </c>
      <c r="L2" s="343">
        <v>3234</v>
      </c>
      <c r="M2" s="343">
        <v>26.95</v>
      </c>
      <c r="N2" s="338" t="s">
        <v>298</v>
      </c>
      <c r="O2" s="341">
        <v>1177</v>
      </c>
      <c r="P2" s="338" t="s">
        <v>299</v>
      </c>
      <c r="Q2" s="338" t="s">
        <v>273</v>
      </c>
      <c r="R2" s="338" t="s">
        <v>300</v>
      </c>
      <c r="S2" s="338" t="s">
        <v>301</v>
      </c>
      <c r="T2" s="338" t="s">
        <v>302</v>
      </c>
      <c r="U2" s="343">
        <v>3234</v>
      </c>
      <c r="V2" s="340">
        <v>45993</v>
      </c>
      <c r="W2" s="343">
        <v>3234</v>
      </c>
      <c r="X2" s="340">
        <v>45993</v>
      </c>
      <c r="Y2" s="343">
        <v>3234</v>
      </c>
      <c r="Z2" s="340">
        <v>45993</v>
      </c>
      <c r="AA2" s="343">
        <v>3234</v>
      </c>
      <c r="AB2" s="340">
        <v>45993</v>
      </c>
      <c r="AC2" s="343">
        <v>3234</v>
      </c>
      <c r="AD2" s="340">
        <v>45993</v>
      </c>
      <c r="AE2" s="343">
        <v>3234</v>
      </c>
      <c r="AF2" s="340">
        <v>45993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995C-7B9D-40F5-9362-AE2151AD0CD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893E-2900-4333-9503-BCA9088D5101}">
  <dimension ref="A1:AA958"/>
  <sheetViews>
    <sheetView tabSelected="1" zoomScaleNormal="100" workbookViewId="0">
      <pane ySplit="1" topLeftCell="A946" activePane="bottomLeft" state="frozen"/>
      <selection pane="bottomLeft" activeCell="N958" sqref="N958"/>
    </sheetView>
  </sheetViews>
  <sheetFormatPr defaultRowHeight="14.4" x14ac:dyDescent="0.3"/>
  <cols>
    <col min="1" max="1" width="12.6640625" bestFit="1" customWidth="1"/>
    <col min="2" max="2" width="9.33203125" bestFit="1" customWidth="1"/>
    <col min="3" max="3" width="13.6640625" bestFit="1" customWidth="1"/>
    <col min="4" max="4" width="16.44140625" bestFit="1" customWidth="1"/>
    <col min="5" max="5" width="22.109375" bestFit="1" customWidth="1"/>
    <col min="6" max="6" width="18.5546875" style="179" bestFit="1" customWidth="1"/>
    <col min="7" max="7" width="18.109375" bestFit="1" customWidth="1"/>
    <col min="8" max="8" width="16.6640625" bestFit="1" customWidth="1"/>
    <col min="9" max="9" width="19.77734375" bestFit="1" customWidth="1"/>
    <col min="10" max="10" width="12.6640625" style="583" bestFit="1" customWidth="1"/>
    <col min="11" max="11" width="17.77734375" style="583" bestFit="1" customWidth="1"/>
    <col min="12" max="12" width="12.6640625" bestFit="1" customWidth="1"/>
    <col min="13" max="13" width="17.109375" style="179" bestFit="1" customWidth="1"/>
    <col min="14" max="14" width="26.33203125" style="179" customWidth="1"/>
    <col min="15" max="15" width="19.109375" customWidth="1"/>
    <col min="16" max="16" width="23" customWidth="1"/>
    <col min="17" max="17" width="26.6640625" customWidth="1"/>
    <col min="18" max="18" width="24.21875" customWidth="1"/>
    <col min="19" max="19" width="26.88671875" customWidth="1"/>
    <col min="20" max="20" width="23.77734375" customWidth="1"/>
    <col min="21" max="21" width="25.77734375" customWidth="1"/>
    <col min="22" max="24" width="23.21875" customWidth="1"/>
    <col min="25" max="25" width="16.5546875" bestFit="1" customWidth="1"/>
    <col min="27" max="27" width="14.21875" bestFit="1" customWidth="1"/>
  </cols>
  <sheetData>
    <row r="1" spans="1:27" x14ac:dyDescent="0.3">
      <c r="A1" s="86" t="s">
        <v>380</v>
      </c>
      <c r="B1" s="86" t="s">
        <v>381</v>
      </c>
      <c r="C1" s="86" t="s">
        <v>251</v>
      </c>
      <c r="D1" s="86" t="s">
        <v>223</v>
      </c>
      <c r="E1" s="86" t="s">
        <v>232</v>
      </c>
      <c r="F1" s="581" t="s">
        <v>382</v>
      </c>
      <c r="G1" s="86" t="s">
        <v>225</v>
      </c>
      <c r="H1" s="86" t="s">
        <v>383</v>
      </c>
      <c r="I1" s="86" t="s">
        <v>268</v>
      </c>
      <c r="J1" s="582" t="s">
        <v>226</v>
      </c>
      <c r="K1" s="582" t="s">
        <v>227</v>
      </c>
      <c r="L1" s="86" t="s">
        <v>214</v>
      </c>
      <c r="M1" s="581" t="s">
        <v>228</v>
      </c>
      <c r="N1" s="581" t="s">
        <v>419</v>
      </c>
      <c r="O1" s="86" t="s">
        <v>412</v>
      </c>
      <c r="P1" s="86" t="s">
        <v>230</v>
      </c>
      <c r="Q1" s="86" t="s">
        <v>418</v>
      </c>
      <c r="R1" s="86" t="s">
        <v>413</v>
      </c>
      <c r="S1" s="86" t="s">
        <v>415</v>
      </c>
      <c r="T1" s="86" t="s">
        <v>414</v>
      </c>
      <c r="U1" s="86" t="s">
        <v>417</v>
      </c>
      <c r="V1" s="86" t="s">
        <v>416</v>
      </c>
      <c r="W1" s="86" t="s">
        <v>421</v>
      </c>
      <c r="X1" s="86" t="s">
        <v>420</v>
      </c>
      <c r="Y1" s="86" t="s">
        <v>384</v>
      </c>
      <c r="Z1" s="86" t="s">
        <v>8</v>
      </c>
      <c r="AA1" s="86" t="s">
        <v>385</v>
      </c>
    </row>
    <row r="2" spans="1:27" x14ac:dyDescent="0.3">
      <c r="A2" t="s">
        <v>215</v>
      </c>
      <c r="B2" s="562">
        <v>2025</v>
      </c>
      <c r="C2" t="s">
        <v>248</v>
      </c>
      <c r="D2">
        <v>16412</v>
      </c>
      <c r="F2" s="179">
        <v>45665</v>
      </c>
      <c r="G2" t="s">
        <v>236</v>
      </c>
      <c r="H2" t="s">
        <v>386</v>
      </c>
      <c r="J2" s="583">
        <v>0</v>
      </c>
      <c r="K2" s="583">
        <v>365.03</v>
      </c>
      <c r="L2" s="565">
        <f>J2+K2</f>
        <v>365.03</v>
      </c>
      <c r="M2" s="179">
        <v>45693</v>
      </c>
      <c r="N2" s="179">
        <v>45691</v>
      </c>
      <c r="O2" s="565">
        <v>365.03</v>
      </c>
      <c r="P2" s="565">
        <f>L2-O2</f>
        <v>0</v>
      </c>
      <c r="Q2" s="565"/>
      <c r="R2" s="565"/>
      <c r="S2" s="565"/>
      <c r="T2" s="565"/>
      <c r="U2" s="565"/>
      <c r="V2" s="565"/>
      <c r="W2" s="565"/>
      <c r="X2" s="565"/>
      <c r="Y2" t="str">
        <f ca="1">IF(L2=0,"SEM VALOR",IF(P2&lt;=0.01,"PAGO",IF(M2="","SEM VENCIMENTO",IF(M2&lt;TODAY(),"VENCIDO","A VENCER"))))</f>
        <v>PAGO</v>
      </c>
      <c r="AA2" t="s">
        <v>13</v>
      </c>
    </row>
    <row r="3" spans="1:27" x14ac:dyDescent="0.3">
      <c r="A3" t="s">
        <v>215</v>
      </c>
      <c r="B3" s="562">
        <v>2025</v>
      </c>
      <c r="C3" t="s">
        <v>248</v>
      </c>
      <c r="D3">
        <v>16437</v>
      </c>
      <c r="F3" s="179">
        <v>45667</v>
      </c>
      <c r="G3" t="s">
        <v>236</v>
      </c>
      <c r="H3" t="s">
        <v>37</v>
      </c>
      <c r="J3" s="583">
        <v>0</v>
      </c>
      <c r="K3" s="583">
        <v>137.16999999999999</v>
      </c>
      <c r="L3" s="565">
        <f t="shared" ref="L3:L66" si="0">J3+K3</f>
        <v>137.16999999999999</v>
      </c>
      <c r="M3" s="179">
        <v>45694</v>
      </c>
      <c r="N3" s="179">
        <v>45691</v>
      </c>
      <c r="O3" s="565">
        <v>137.16999999999999</v>
      </c>
      <c r="P3" s="565">
        <f t="shared" ref="P3:P66" si="1">L3-O3</f>
        <v>0</v>
      </c>
      <c r="Q3" s="565"/>
      <c r="R3" s="565"/>
      <c r="S3" s="565"/>
      <c r="T3" s="565"/>
      <c r="U3" s="565"/>
      <c r="V3" s="565"/>
      <c r="W3" s="565"/>
      <c r="X3" s="565"/>
      <c r="Y3" t="str">
        <f t="shared" ref="Y3:Y66" ca="1" si="2">IF(L3=0,"SEM VALOR",IF(P3&lt;=0.01,"PAGO",IF(M3="","SEM VENCIMENTO",IF(M3&lt;TODAY(),"VENCIDO","A VENCER"))))</f>
        <v>PAGO</v>
      </c>
      <c r="AA3" t="s">
        <v>13</v>
      </c>
    </row>
    <row r="4" spans="1:27" x14ac:dyDescent="0.3">
      <c r="A4" t="s">
        <v>215</v>
      </c>
      <c r="B4" s="562">
        <v>2025</v>
      </c>
      <c r="C4" t="s">
        <v>248</v>
      </c>
      <c r="D4">
        <v>16437</v>
      </c>
      <c r="F4" s="179">
        <v>45667</v>
      </c>
      <c r="G4" t="s">
        <v>236</v>
      </c>
      <c r="H4" t="s">
        <v>37</v>
      </c>
      <c r="J4" s="583">
        <v>0</v>
      </c>
      <c r="K4" s="583">
        <v>136</v>
      </c>
      <c r="L4" s="565">
        <f t="shared" si="0"/>
        <v>136</v>
      </c>
      <c r="M4" s="179">
        <v>45701</v>
      </c>
      <c r="N4" s="179">
        <v>45698</v>
      </c>
      <c r="O4" s="565">
        <v>136</v>
      </c>
      <c r="P4" s="565">
        <f t="shared" si="1"/>
        <v>0</v>
      </c>
      <c r="Q4" s="565"/>
      <c r="R4" s="565"/>
      <c r="S4" s="565"/>
      <c r="T4" s="565"/>
      <c r="U4" s="565"/>
      <c r="V4" s="565"/>
      <c r="W4" s="565"/>
      <c r="X4" s="565"/>
      <c r="Y4" t="str">
        <f t="shared" ca="1" si="2"/>
        <v>PAGO</v>
      </c>
      <c r="AA4" t="s">
        <v>13</v>
      </c>
    </row>
    <row r="5" spans="1:27" x14ac:dyDescent="0.3">
      <c r="A5" t="s">
        <v>215</v>
      </c>
      <c r="B5" s="562">
        <v>2025</v>
      </c>
      <c r="C5" t="s">
        <v>248</v>
      </c>
      <c r="D5">
        <v>16437</v>
      </c>
      <c r="F5" s="179">
        <v>45667</v>
      </c>
      <c r="G5" t="s">
        <v>236</v>
      </c>
      <c r="H5" t="s">
        <v>37</v>
      </c>
      <c r="J5" s="583">
        <v>0</v>
      </c>
      <c r="K5" s="583">
        <v>136</v>
      </c>
      <c r="L5" s="565">
        <f t="shared" si="0"/>
        <v>136</v>
      </c>
      <c r="M5" s="179">
        <v>45708</v>
      </c>
      <c r="N5" s="179">
        <v>45708</v>
      </c>
      <c r="O5" s="565">
        <v>136</v>
      </c>
      <c r="P5" s="565">
        <f t="shared" si="1"/>
        <v>0</v>
      </c>
      <c r="Q5" s="565"/>
      <c r="R5" s="565"/>
      <c r="S5" s="565"/>
      <c r="T5" s="565"/>
      <c r="U5" s="565"/>
      <c r="V5" s="565"/>
      <c r="W5" s="565"/>
      <c r="X5" s="565"/>
      <c r="Y5" t="str">
        <f t="shared" ca="1" si="2"/>
        <v>PAGO</v>
      </c>
      <c r="AA5" t="s">
        <v>13</v>
      </c>
    </row>
    <row r="6" spans="1:27" x14ac:dyDescent="0.3">
      <c r="A6" t="s">
        <v>215</v>
      </c>
      <c r="B6" s="562">
        <v>2025</v>
      </c>
      <c r="C6" t="s">
        <v>248</v>
      </c>
      <c r="D6">
        <v>16488</v>
      </c>
      <c r="F6" s="179">
        <v>45671</v>
      </c>
      <c r="G6" t="s">
        <v>236</v>
      </c>
      <c r="H6" t="s">
        <v>37</v>
      </c>
      <c r="J6" s="583">
        <v>0</v>
      </c>
      <c r="K6" s="583">
        <v>89.65</v>
      </c>
      <c r="L6" s="565">
        <f t="shared" si="0"/>
        <v>89.65</v>
      </c>
      <c r="M6" s="179">
        <v>45699</v>
      </c>
      <c r="N6" s="179">
        <v>45698</v>
      </c>
      <c r="O6" s="565">
        <v>89.65</v>
      </c>
      <c r="P6" s="565">
        <f t="shared" si="1"/>
        <v>0</v>
      </c>
      <c r="Q6" s="565"/>
      <c r="R6" s="565"/>
      <c r="S6" s="565"/>
      <c r="T6" s="565"/>
      <c r="U6" s="565"/>
      <c r="V6" s="565"/>
      <c r="W6" s="565"/>
      <c r="X6" s="565"/>
      <c r="Y6" t="str">
        <f t="shared" ca="1" si="2"/>
        <v>PAGO</v>
      </c>
      <c r="AA6" t="s">
        <v>13</v>
      </c>
    </row>
    <row r="7" spans="1:27" x14ac:dyDescent="0.3">
      <c r="A7" t="s">
        <v>215</v>
      </c>
      <c r="B7" s="562">
        <v>2025</v>
      </c>
      <c r="C7" t="s">
        <v>248</v>
      </c>
      <c r="D7">
        <v>16488</v>
      </c>
      <c r="F7" s="179">
        <v>45671</v>
      </c>
      <c r="G7" t="s">
        <v>236</v>
      </c>
      <c r="H7" t="s">
        <v>37</v>
      </c>
      <c r="J7" s="583">
        <v>0</v>
      </c>
      <c r="K7" s="583">
        <v>88</v>
      </c>
      <c r="L7" s="565">
        <f t="shared" si="0"/>
        <v>88</v>
      </c>
      <c r="M7" s="179">
        <v>45706</v>
      </c>
      <c r="N7" s="179">
        <v>45706</v>
      </c>
      <c r="O7" s="565">
        <v>88</v>
      </c>
      <c r="P7" s="565">
        <f t="shared" si="1"/>
        <v>0</v>
      </c>
      <c r="Q7" s="565"/>
      <c r="R7" s="565"/>
      <c r="S7" s="565"/>
      <c r="T7" s="565"/>
      <c r="U7" s="565"/>
      <c r="V7" s="565"/>
      <c r="W7" s="565"/>
      <c r="X7" s="565"/>
      <c r="Y7" t="str">
        <f t="shared" ca="1" si="2"/>
        <v>PAGO</v>
      </c>
      <c r="AA7" t="s">
        <v>13</v>
      </c>
    </row>
    <row r="8" spans="1:27" x14ac:dyDescent="0.3">
      <c r="A8" t="s">
        <v>215</v>
      </c>
      <c r="B8" s="562">
        <v>2025</v>
      </c>
      <c r="C8" t="s">
        <v>248</v>
      </c>
      <c r="D8">
        <v>16488</v>
      </c>
      <c r="F8" s="179">
        <v>45671</v>
      </c>
      <c r="G8" t="s">
        <v>236</v>
      </c>
      <c r="H8" t="s">
        <v>37</v>
      </c>
      <c r="J8" s="583">
        <v>0</v>
      </c>
      <c r="K8" s="583">
        <v>88</v>
      </c>
      <c r="L8" s="565">
        <f t="shared" si="0"/>
        <v>88</v>
      </c>
      <c r="M8" s="179">
        <v>45713</v>
      </c>
      <c r="N8" s="179">
        <v>45713</v>
      </c>
      <c r="O8" s="565">
        <v>88</v>
      </c>
      <c r="P8" s="565">
        <f t="shared" si="1"/>
        <v>0</v>
      </c>
      <c r="Q8" s="565"/>
      <c r="R8" s="565"/>
      <c r="S8" s="565"/>
      <c r="T8" s="565"/>
      <c r="U8" s="565"/>
      <c r="V8" s="565"/>
      <c r="W8" s="565"/>
      <c r="X8" s="565"/>
      <c r="Y8" t="str">
        <f t="shared" ca="1" si="2"/>
        <v>PAGO</v>
      </c>
      <c r="AA8" t="s">
        <v>13</v>
      </c>
    </row>
    <row r="9" spans="1:27" x14ac:dyDescent="0.3">
      <c r="A9" t="s">
        <v>215</v>
      </c>
      <c r="B9" s="562">
        <v>2025</v>
      </c>
      <c r="C9" t="s">
        <v>248</v>
      </c>
      <c r="D9">
        <v>16540</v>
      </c>
      <c r="F9" s="179">
        <v>45674</v>
      </c>
      <c r="G9" t="s">
        <v>236</v>
      </c>
      <c r="H9" t="s">
        <v>100</v>
      </c>
      <c r="J9" s="583">
        <v>0</v>
      </c>
      <c r="K9" s="583">
        <v>135.24</v>
      </c>
      <c r="L9" s="565">
        <f t="shared" si="0"/>
        <v>135.24</v>
      </c>
      <c r="M9" s="179">
        <v>45702</v>
      </c>
      <c r="N9" s="179">
        <v>45698</v>
      </c>
      <c r="O9" s="565">
        <v>135.24</v>
      </c>
      <c r="P9" s="565">
        <f t="shared" si="1"/>
        <v>0</v>
      </c>
      <c r="Q9" s="565"/>
      <c r="R9" s="565"/>
      <c r="S9" s="565"/>
      <c r="T9" s="565"/>
      <c r="U9" s="565"/>
      <c r="V9" s="565"/>
      <c r="W9" s="565"/>
      <c r="X9" s="565"/>
      <c r="Y9" t="str">
        <f t="shared" ca="1" si="2"/>
        <v>PAGO</v>
      </c>
      <c r="AA9" t="s">
        <v>13</v>
      </c>
    </row>
    <row r="10" spans="1:27" x14ac:dyDescent="0.3">
      <c r="A10" t="s">
        <v>215</v>
      </c>
      <c r="B10" s="562">
        <v>2025</v>
      </c>
      <c r="C10" t="s">
        <v>248</v>
      </c>
      <c r="D10">
        <v>16542</v>
      </c>
      <c r="F10" s="179">
        <v>45674</v>
      </c>
      <c r="G10" t="s">
        <v>236</v>
      </c>
      <c r="H10" t="s">
        <v>387</v>
      </c>
      <c r="J10" s="583">
        <v>0</v>
      </c>
      <c r="K10" s="583">
        <v>267.38</v>
      </c>
      <c r="L10" s="565">
        <f t="shared" si="0"/>
        <v>267.38</v>
      </c>
      <c r="M10" s="179">
        <v>45702</v>
      </c>
      <c r="N10" s="179">
        <v>45698</v>
      </c>
      <c r="O10" s="565">
        <v>267.38</v>
      </c>
      <c r="P10" s="565">
        <f t="shared" si="1"/>
        <v>0</v>
      </c>
      <c r="Q10" s="565"/>
      <c r="R10" s="565"/>
      <c r="S10" s="565"/>
      <c r="T10" s="565"/>
      <c r="U10" s="565"/>
      <c r="V10" s="565"/>
      <c r="W10" s="565"/>
      <c r="X10" s="565"/>
      <c r="Y10" t="str">
        <f t="shared" ca="1" si="2"/>
        <v>PAGO</v>
      </c>
      <c r="AA10" t="s">
        <v>13</v>
      </c>
    </row>
    <row r="11" spans="1:27" x14ac:dyDescent="0.3">
      <c r="A11" t="s">
        <v>215</v>
      </c>
      <c r="B11" s="562">
        <v>2025</v>
      </c>
      <c r="C11" t="s">
        <v>248</v>
      </c>
      <c r="D11">
        <v>16541</v>
      </c>
      <c r="F11" s="179">
        <v>45674</v>
      </c>
      <c r="G11" t="s">
        <v>236</v>
      </c>
      <c r="H11" t="s">
        <v>387</v>
      </c>
      <c r="J11" s="583">
        <v>0</v>
      </c>
      <c r="K11" s="583">
        <v>423.78</v>
      </c>
      <c r="L11" s="565">
        <f t="shared" si="0"/>
        <v>423.78</v>
      </c>
      <c r="M11" s="179">
        <v>45702</v>
      </c>
      <c r="N11" s="179">
        <v>45698</v>
      </c>
      <c r="O11" s="565">
        <v>423.78</v>
      </c>
      <c r="P11" s="565">
        <f t="shared" si="1"/>
        <v>0</v>
      </c>
      <c r="Q11" s="565"/>
      <c r="R11" s="565"/>
      <c r="S11" s="565"/>
      <c r="T11" s="565"/>
      <c r="U11" s="565"/>
      <c r="V11" s="565"/>
      <c r="W11" s="565"/>
      <c r="X11" s="565"/>
      <c r="Y11" t="str">
        <f t="shared" ca="1" si="2"/>
        <v>PAGO</v>
      </c>
      <c r="AA11" t="s">
        <v>13</v>
      </c>
    </row>
    <row r="12" spans="1:27" x14ac:dyDescent="0.3">
      <c r="A12" t="s">
        <v>215</v>
      </c>
      <c r="B12" s="562">
        <v>2025</v>
      </c>
      <c r="C12" t="s">
        <v>248</v>
      </c>
      <c r="D12">
        <v>16541</v>
      </c>
      <c r="F12" s="179">
        <v>45674</v>
      </c>
      <c r="G12" t="s">
        <v>236</v>
      </c>
      <c r="H12" t="s">
        <v>387</v>
      </c>
      <c r="J12" s="583">
        <v>0</v>
      </c>
      <c r="K12" s="583">
        <v>423.78</v>
      </c>
      <c r="L12" s="565">
        <f t="shared" si="0"/>
        <v>423.78</v>
      </c>
      <c r="M12" s="179">
        <v>45709</v>
      </c>
      <c r="N12" s="179">
        <v>45698</v>
      </c>
      <c r="O12" s="565">
        <v>423.78</v>
      </c>
      <c r="P12" s="565">
        <f t="shared" si="1"/>
        <v>0</v>
      </c>
      <c r="Q12" s="565"/>
      <c r="R12" s="565"/>
      <c r="S12" s="565"/>
      <c r="T12" s="565"/>
      <c r="U12" s="565"/>
      <c r="V12" s="565"/>
      <c r="W12" s="565"/>
      <c r="X12" s="565"/>
      <c r="Y12" t="str">
        <f t="shared" ca="1" si="2"/>
        <v>PAGO</v>
      </c>
      <c r="AA12" t="s">
        <v>13</v>
      </c>
    </row>
    <row r="13" spans="1:27" x14ac:dyDescent="0.3">
      <c r="A13" t="s">
        <v>215</v>
      </c>
      <c r="B13" s="562">
        <v>2025</v>
      </c>
      <c r="C13" t="s">
        <v>248</v>
      </c>
      <c r="D13">
        <v>16541</v>
      </c>
      <c r="F13" s="179">
        <v>45674</v>
      </c>
      <c r="G13" t="s">
        <v>236</v>
      </c>
      <c r="H13" t="s">
        <v>387</v>
      </c>
      <c r="J13" s="583">
        <v>0</v>
      </c>
      <c r="K13" s="583">
        <v>423.78</v>
      </c>
      <c r="L13" s="565">
        <f t="shared" si="0"/>
        <v>423.78</v>
      </c>
      <c r="M13" s="179">
        <v>45716</v>
      </c>
      <c r="N13" s="179">
        <v>45698</v>
      </c>
      <c r="O13" s="565">
        <v>423.78</v>
      </c>
      <c r="P13" s="565">
        <f t="shared" si="1"/>
        <v>0</v>
      </c>
      <c r="Q13" s="565"/>
      <c r="R13" s="565"/>
      <c r="S13" s="565"/>
      <c r="T13" s="565"/>
      <c r="U13" s="565"/>
      <c r="V13" s="565"/>
      <c r="W13" s="565"/>
      <c r="X13" s="565"/>
      <c r="Y13" t="str">
        <f t="shared" ca="1" si="2"/>
        <v>PAGO</v>
      </c>
      <c r="AA13" t="s">
        <v>13</v>
      </c>
    </row>
    <row r="14" spans="1:27" x14ac:dyDescent="0.3">
      <c r="A14" t="s">
        <v>215</v>
      </c>
      <c r="B14" s="562">
        <v>2025</v>
      </c>
      <c r="C14" t="s">
        <v>248</v>
      </c>
      <c r="D14">
        <v>16545</v>
      </c>
      <c r="F14" s="179">
        <v>45677</v>
      </c>
      <c r="G14" t="s">
        <v>236</v>
      </c>
      <c r="H14" t="s">
        <v>37</v>
      </c>
      <c r="J14" s="583">
        <v>0</v>
      </c>
      <c r="K14" s="583">
        <v>1093.78</v>
      </c>
      <c r="L14" s="565">
        <f t="shared" si="0"/>
        <v>1093.78</v>
      </c>
      <c r="M14" s="179">
        <v>45705</v>
      </c>
      <c r="N14" s="179">
        <v>45706</v>
      </c>
      <c r="O14" s="565">
        <v>1093.78</v>
      </c>
      <c r="P14" s="565">
        <f t="shared" si="1"/>
        <v>0</v>
      </c>
      <c r="Q14" s="565"/>
      <c r="R14" s="565"/>
      <c r="S14" s="565"/>
      <c r="T14" s="565"/>
      <c r="U14" s="565"/>
      <c r="V14" s="565"/>
      <c r="W14" s="565"/>
      <c r="X14" s="565"/>
      <c r="Y14" t="str">
        <f t="shared" ca="1" si="2"/>
        <v>PAGO</v>
      </c>
      <c r="AA14" t="s">
        <v>13</v>
      </c>
    </row>
    <row r="15" spans="1:27" x14ac:dyDescent="0.3">
      <c r="A15" t="s">
        <v>215</v>
      </c>
      <c r="B15" s="562">
        <v>2025</v>
      </c>
      <c r="C15" t="s">
        <v>248</v>
      </c>
      <c r="D15">
        <v>16545</v>
      </c>
      <c r="F15" s="179">
        <v>45677</v>
      </c>
      <c r="G15" t="s">
        <v>236</v>
      </c>
      <c r="H15" t="s">
        <v>37</v>
      </c>
      <c r="J15" s="583">
        <v>0</v>
      </c>
      <c r="K15" s="583">
        <v>1091</v>
      </c>
      <c r="L15" s="565">
        <f t="shared" si="0"/>
        <v>1091</v>
      </c>
      <c r="M15" s="179">
        <v>45712</v>
      </c>
      <c r="N15" s="179">
        <v>45712</v>
      </c>
      <c r="O15" s="565">
        <v>1091</v>
      </c>
      <c r="P15" s="565">
        <f t="shared" si="1"/>
        <v>0</v>
      </c>
      <c r="Q15" s="565"/>
      <c r="R15" s="565"/>
      <c r="S15" s="565"/>
      <c r="T15" s="565"/>
      <c r="U15" s="565"/>
      <c r="V15" s="565"/>
      <c r="W15" s="565"/>
      <c r="X15" s="565"/>
      <c r="Y15" t="str">
        <f t="shared" ca="1" si="2"/>
        <v>PAGO</v>
      </c>
      <c r="AA15" t="s">
        <v>13</v>
      </c>
    </row>
    <row r="16" spans="1:27" x14ac:dyDescent="0.3">
      <c r="A16" t="s">
        <v>215</v>
      </c>
      <c r="B16" s="562">
        <v>2025</v>
      </c>
      <c r="C16" t="s">
        <v>248</v>
      </c>
      <c r="D16">
        <v>16545</v>
      </c>
      <c r="F16" s="179">
        <v>45677</v>
      </c>
      <c r="G16" t="s">
        <v>236</v>
      </c>
      <c r="H16" t="s">
        <v>37</v>
      </c>
      <c r="J16" s="583">
        <v>0</v>
      </c>
      <c r="K16" s="583">
        <v>1091</v>
      </c>
      <c r="L16" s="565">
        <f t="shared" si="0"/>
        <v>1091</v>
      </c>
      <c r="M16" s="179">
        <v>45719</v>
      </c>
      <c r="N16" s="179">
        <v>45721</v>
      </c>
      <c r="O16" s="565">
        <v>1091</v>
      </c>
      <c r="P16" s="565">
        <f t="shared" si="1"/>
        <v>0</v>
      </c>
      <c r="Q16" s="565"/>
      <c r="R16" s="565"/>
      <c r="S16" s="565"/>
      <c r="T16" s="565"/>
      <c r="U16" s="565"/>
      <c r="V16" s="565"/>
      <c r="W16" s="565"/>
      <c r="X16" s="565"/>
      <c r="Y16" t="str">
        <f t="shared" ca="1" si="2"/>
        <v>PAGO</v>
      </c>
      <c r="AA16" t="s">
        <v>13</v>
      </c>
    </row>
    <row r="17" spans="1:27" x14ac:dyDescent="0.3">
      <c r="A17" t="s">
        <v>215</v>
      </c>
      <c r="B17" s="562">
        <v>2025</v>
      </c>
      <c r="C17" t="s">
        <v>248</v>
      </c>
      <c r="D17">
        <v>16575</v>
      </c>
      <c r="F17" s="179">
        <v>45678</v>
      </c>
      <c r="G17" t="s">
        <v>236</v>
      </c>
      <c r="H17" t="s">
        <v>37</v>
      </c>
      <c r="J17" s="583">
        <v>0</v>
      </c>
      <c r="K17" s="583">
        <v>319.93</v>
      </c>
      <c r="L17" s="565">
        <f t="shared" si="0"/>
        <v>319.93</v>
      </c>
      <c r="M17" s="179">
        <v>45706</v>
      </c>
      <c r="N17" s="179">
        <v>45706</v>
      </c>
      <c r="O17" s="565">
        <v>319.93</v>
      </c>
      <c r="P17" s="565">
        <f t="shared" si="1"/>
        <v>0</v>
      </c>
      <c r="Q17" s="565"/>
      <c r="R17" s="565"/>
      <c r="S17" s="565"/>
      <c r="T17" s="565"/>
      <c r="U17" s="565"/>
      <c r="V17" s="565"/>
      <c r="W17" s="565"/>
      <c r="X17" s="565"/>
      <c r="Y17" t="str">
        <f t="shared" ca="1" si="2"/>
        <v>PAGO</v>
      </c>
      <c r="AA17" t="s">
        <v>13</v>
      </c>
    </row>
    <row r="18" spans="1:27" x14ac:dyDescent="0.3">
      <c r="A18" t="s">
        <v>215</v>
      </c>
      <c r="B18" s="562">
        <v>2025</v>
      </c>
      <c r="C18" t="s">
        <v>248</v>
      </c>
      <c r="D18">
        <v>16575</v>
      </c>
      <c r="F18" s="179">
        <v>45678</v>
      </c>
      <c r="G18" t="s">
        <v>236</v>
      </c>
      <c r="H18" t="s">
        <v>37</v>
      </c>
      <c r="J18" s="583">
        <v>0</v>
      </c>
      <c r="K18" s="583">
        <v>317</v>
      </c>
      <c r="L18" s="565">
        <f t="shared" si="0"/>
        <v>317</v>
      </c>
      <c r="M18" s="179">
        <v>45713</v>
      </c>
      <c r="N18" s="179">
        <v>45713</v>
      </c>
      <c r="O18" s="565">
        <v>317</v>
      </c>
      <c r="P18" s="565">
        <f t="shared" si="1"/>
        <v>0</v>
      </c>
      <c r="Q18" s="565"/>
      <c r="R18" s="565"/>
      <c r="S18" s="565"/>
      <c r="T18" s="565"/>
      <c r="U18" s="565"/>
      <c r="V18" s="565"/>
      <c r="W18" s="565"/>
      <c r="X18" s="565"/>
      <c r="Y18" t="str">
        <f t="shared" ca="1" si="2"/>
        <v>PAGO</v>
      </c>
      <c r="AA18" t="s">
        <v>13</v>
      </c>
    </row>
    <row r="19" spans="1:27" x14ac:dyDescent="0.3">
      <c r="A19" t="s">
        <v>215</v>
      </c>
      <c r="B19" s="562">
        <v>2025</v>
      </c>
      <c r="C19" t="s">
        <v>248</v>
      </c>
      <c r="D19">
        <v>16575</v>
      </c>
      <c r="F19" s="179">
        <v>45678</v>
      </c>
      <c r="G19" t="s">
        <v>236</v>
      </c>
      <c r="H19" t="s">
        <v>37</v>
      </c>
      <c r="J19" s="583">
        <v>0</v>
      </c>
      <c r="K19" s="583">
        <v>317</v>
      </c>
      <c r="L19" s="565">
        <f t="shared" si="0"/>
        <v>317</v>
      </c>
      <c r="M19" s="179">
        <v>45720</v>
      </c>
      <c r="N19" s="179">
        <v>45721</v>
      </c>
      <c r="O19" s="565">
        <v>317</v>
      </c>
      <c r="P19" s="565">
        <f t="shared" si="1"/>
        <v>0</v>
      </c>
      <c r="Q19" s="565"/>
      <c r="R19" s="565"/>
      <c r="S19" s="565"/>
      <c r="T19" s="565"/>
      <c r="U19" s="565"/>
      <c r="V19" s="565"/>
      <c r="W19" s="565"/>
      <c r="X19" s="565"/>
      <c r="Y19" t="str">
        <f t="shared" ca="1" si="2"/>
        <v>PAGO</v>
      </c>
      <c r="AA19" t="s">
        <v>13</v>
      </c>
    </row>
    <row r="20" spans="1:27" x14ac:dyDescent="0.3">
      <c r="A20" t="s">
        <v>215</v>
      </c>
      <c r="B20" s="562">
        <v>2025</v>
      </c>
      <c r="C20" t="s">
        <v>248</v>
      </c>
      <c r="D20">
        <v>16600</v>
      </c>
      <c r="F20" s="179">
        <v>45679</v>
      </c>
      <c r="G20" t="s">
        <v>236</v>
      </c>
      <c r="H20" t="s">
        <v>58</v>
      </c>
      <c r="J20" s="583">
        <v>0</v>
      </c>
      <c r="K20" s="583">
        <v>361.31</v>
      </c>
      <c r="L20" s="565">
        <f t="shared" si="0"/>
        <v>361.31</v>
      </c>
      <c r="M20" s="179">
        <v>45707</v>
      </c>
      <c r="N20" s="179">
        <v>45706</v>
      </c>
      <c r="O20" s="565">
        <v>361.31</v>
      </c>
      <c r="P20" s="565">
        <f t="shared" si="1"/>
        <v>0</v>
      </c>
      <c r="Q20" s="565"/>
      <c r="R20" s="565"/>
      <c r="S20" s="565"/>
      <c r="T20" s="565"/>
      <c r="U20" s="565"/>
      <c r="V20" s="565"/>
      <c r="W20" s="565"/>
      <c r="X20" s="565"/>
      <c r="Y20" t="str">
        <f t="shared" ca="1" si="2"/>
        <v>PAGO</v>
      </c>
      <c r="AA20" t="s">
        <v>13</v>
      </c>
    </row>
    <row r="21" spans="1:27" x14ac:dyDescent="0.3">
      <c r="A21" t="s">
        <v>215</v>
      </c>
      <c r="B21" s="562">
        <v>2025</v>
      </c>
      <c r="C21" t="s">
        <v>248</v>
      </c>
      <c r="D21">
        <v>16600</v>
      </c>
      <c r="F21" s="179">
        <v>45679</v>
      </c>
      <c r="G21" t="s">
        <v>236</v>
      </c>
      <c r="H21" t="s">
        <v>58</v>
      </c>
      <c r="J21" s="583">
        <v>0</v>
      </c>
      <c r="K21" s="583">
        <v>361</v>
      </c>
      <c r="L21" s="565">
        <f t="shared" si="0"/>
        <v>361</v>
      </c>
      <c r="M21" s="179">
        <v>45714</v>
      </c>
      <c r="N21" s="179">
        <v>45714</v>
      </c>
      <c r="O21" s="565">
        <v>361</v>
      </c>
      <c r="P21" s="565">
        <f t="shared" si="1"/>
        <v>0</v>
      </c>
      <c r="Q21" s="565"/>
      <c r="R21" s="565"/>
      <c r="S21" s="565"/>
      <c r="T21" s="565"/>
      <c r="U21" s="565"/>
      <c r="V21" s="565"/>
      <c r="W21" s="565"/>
      <c r="X21" s="565"/>
      <c r="Y21" t="str">
        <f t="shared" ca="1" si="2"/>
        <v>PAGO</v>
      </c>
      <c r="AA21" t="s">
        <v>13</v>
      </c>
    </row>
    <row r="22" spans="1:27" x14ac:dyDescent="0.3">
      <c r="A22" t="s">
        <v>215</v>
      </c>
      <c r="B22" s="562">
        <v>2025</v>
      </c>
      <c r="C22" t="s">
        <v>248</v>
      </c>
      <c r="D22">
        <v>16600</v>
      </c>
      <c r="F22" s="179">
        <v>45679</v>
      </c>
      <c r="G22" t="s">
        <v>236</v>
      </c>
      <c r="H22" t="s">
        <v>58</v>
      </c>
      <c r="J22" s="583">
        <v>0</v>
      </c>
      <c r="K22" s="583">
        <v>361</v>
      </c>
      <c r="L22" s="565">
        <f t="shared" si="0"/>
        <v>361</v>
      </c>
      <c r="M22" s="179">
        <v>45721</v>
      </c>
      <c r="N22" s="179">
        <v>45721</v>
      </c>
      <c r="O22" s="565">
        <v>361</v>
      </c>
      <c r="P22" s="565">
        <f t="shared" si="1"/>
        <v>0</v>
      </c>
      <c r="Q22" s="565"/>
      <c r="R22" s="565"/>
      <c r="S22" s="565"/>
      <c r="T22" s="565"/>
      <c r="U22" s="565"/>
      <c r="V22" s="565"/>
      <c r="W22" s="565"/>
      <c r="X22" s="565"/>
      <c r="Y22" t="str">
        <f t="shared" ca="1" si="2"/>
        <v>PAGO</v>
      </c>
      <c r="AA22" t="s">
        <v>13</v>
      </c>
    </row>
    <row r="23" spans="1:27" x14ac:dyDescent="0.3">
      <c r="A23" t="s">
        <v>215</v>
      </c>
      <c r="B23" s="562">
        <v>2025</v>
      </c>
      <c r="C23" t="s">
        <v>248</v>
      </c>
      <c r="D23">
        <v>16615</v>
      </c>
      <c r="F23" s="179">
        <v>45680</v>
      </c>
      <c r="G23" t="s">
        <v>236</v>
      </c>
      <c r="H23" t="s">
        <v>37</v>
      </c>
      <c r="J23" s="583">
        <v>0</v>
      </c>
      <c r="K23" s="583">
        <v>138</v>
      </c>
      <c r="L23" s="565">
        <f t="shared" si="0"/>
        <v>138</v>
      </c>
      <c r="M23" s="179">
        <v>45708</v>
      </c>
      <c r="N23" s="179">
        <v>45708</v>
      </c>
      <c r="O23" s="565">
        <v>138</v>
      </c>
      <c r="P23" s="565">
        <f t="shared" si="1"/>
        <v>0</v>
      </c>
      <c r="Q23" s="565"/>
      <c r="R23" s="565"/>
      <c r="S23" s="565"/>
      <c r="T23" s="565"/>
      <c r="U23" s="565"/>
      <c r="V23" s="565"/>
      <c r="W23" s="565"/>
      <c r="X23" s="565"/>
      <c r="Y23" t="str">
        <f t="shared" ca="1" si="2"/>
        <v>PAGO</v>
      </c>
      <c r="AA23" t="s">
        <v>13</v>
      </c>
    </row>
    <row r="24" spans="1:27" x14ac:dyDescent="0.3">
      <c r="A24" t="s">
        <v>215</v>
      </c>
      <c r="B24" s="562">
        <v>2025</v>
      </c>
      <c r="C24" t="s">
        <v>248</v>
      </c>
      <c r="D24">
        <v>16616</v>
      </c>
      <c r="F24" s="179">
        <v>45680</v>
      </c>
      <c r="G24" t="s">
        <v>236</v>
      </c>
      <c r="H24" t="s">
        <v>37</v>
      </c>
      <c r="J24" s="583">
        <v>0</v>
      </c>
      <c r="K24" s="583">
        <v>374.96</v>
      </c>
      <c r="L24" s="565">
        <f t="shared" si="0"/>
        <v>374.96</v>
      </c>
      <c r="M24" s="179">
        <v>45708</v>
      </c>
      <c r="N24" s="179">
        <v>45708</v>
      </c>
      <c r="O24" s="565">
        <v>374.96</v>
      </c>
      <c r="P24" s="565">
        <f t="shared" si="1"/>
        <v>0</v>
      </c>
      <c r="Q24" s="565"/>
      <c r="R24" s="565"/>
      <c r="S24" s="565"/>
      <c r="T24" s="565"/>
      <c r="U24" s="565"/>
      <c r="V24" s="565"/>
      <c r="W24" s="565"/>
      <c r="X24" s="565"/>
      <c r="Y24" t="str">
        <f t="shared" ca="1" si="2"/>
        <v>PAGO</v>
      </c>
      <c r="AA24" t="s">
        <v>13</v>
      </c>
    </row>
    <row r="25" spans="1:27" x14ac:dyDescent="0.3">
      <c r="A25" t="s">
        <v>215</v>
      </c>
      <c r="B25" s="562">
        <v>2025</v>
      </c>
      <c r="C25" t="s">
        <v>248</v>
      </c>
      <c r="D25">
        <v>16616</v>
      </c>
      <c r="F25" s="179">
        <v>45680</v>
      </c>
      <c r="G25" t="s">
        <v>236</v>
      </c>
      <c r="H25" t="s">
        <v>37</v>
      </c>
      <c r="J25" s="583">
        <v>0</v>
      </c>
      <c r="K25" s="583">
        <v>373</v>
      </c>
      <c r="L25" s="565">
        <f t="shared" si="0"/>
        <v>373</v>
      </c>
      <c r="M25" s="179">
        <v>45715</v>
      </c>
      <c r="N25" s="179">
        <v>45715</v>
      </c>
      <c r="O25" s="565">
        <v>373</v>
      </c>
      <c r="P25" s="565">
        <f t="shared" si="1"/>
        <v>0</v>
      </c>
      <c r="Q25" s="565"/>
      <c r="R25" s="565"/>
      <c r="S25" s="565"/>
      <c r="T25" s="565"/>
      <c r="U25" s="565"/>
      <c r="V25" s="565"/>
      <c r="W25" s="565"/>
      <c r="X25" s="565"/>
      <c r="Y25" t="str">
        <f t="shared" ca="1" si="2"/>
        <v>PAGO</v>
      </c>
      <c r="AA25" t="s">
        <v>13</v>
      </c>
    </row>
    <row r="26" spans="1:27" x14ac:dyDescent="0.3">
      <c r="A26" t="s">
        <v>215</v>
      </c>
      <c r="B26" s="562">
        <v>2025</v>
      </c>
      <c r="C26" t="s">
        <v>248</v>
      </c>
      <c r="D26">
        <v>16616</v>
      </c>
      <c r="F26" s="179">
        <v>45680</v>
      </c>
      <c r="G26" t="s">
        <v>236</v>
      </c>
      <c r="H26" t="s">
        <v>37</v>
      </c>
      <c r="J26" s="583">
        <v>0</v>
      </c>
      <c r="K26" s="583">
        <v>373</v>
      </c>
      <c r="L26" s="565">
        <f t="shared" si="0"/>
        <v>373</v>
      </c>
      <c r="M26" s="179">
        <v>45722</v>
      </c>
      <c r="N26" s="179">
        <v>45722</v>
      </c>
      <c r="O26" s="565">
        <v>373</v>
      </c>
      <c r="P26" s="565">
        <f t="shared" si="1"/>
        <v>0</v>
      </c>
      <c r="Q26" s="565"/>
      <c r="R26" s="565"/>
      <c r="S26" s="565"/>
      <c r="T26" s="565"/>
      <c r="U26" s="565"/>
      <c r="V26" s="565"/>
      <c r="W26" s="565"/>
      <c r="X26" s="565"/>
      <c r="Y26" t="str">
        <f t="shared" ca="1" si="2"/>
        <v>PAGO</v>
      </c>
      <c r="AA26" t="s">
        <v>13</v>
      </c>
    </row>
    <row r="27" spans="1:27" x14ac:dyDescent="0.3">
      <c r="A27" t="s">
        <v>215</v>
      </c>
      <c r="B27" s="562">
        <v>2025</v>
      </c>
      <c r="C27" t="s">
        <v>248</v>
      </c>
      <c r="D27">
        <v>16618</v>
      </c>
      <c r="F27" s="179">
        <v>45680</v>
      </c>
      <c r="G27" t="s">
        <v>236</v>
      </c>
      <c r="H27" t="s">
        <v>65</v>
      </c>
      <c r="J27" s="583">
        <v>0</v>
      </c>
      <c r="K27" s="583">
        <v>472.5</v>
      </c>
      <c r="L27" s="565">
        <f t="shared" si="0"/>
        <v>472.5</v>
      </c>
      <c r="M27" s="179">
        <v>45708</v>
      </c>
      <c r="N27" s="179">
        <v>45708</v>
      </c>
      <c r="O27" s="565">
        <v>472.5</v>
      </c>
      <c r="P27" s="565">
        <f t="shared" si="1"/>
        <v>0</v>
      </c>
      <c r="Q27" s="565"/>
      <c r="R27" s="565"/>
      <c r="S27" s="565"/>
      <c r="T27" s="565"/>
      <c r="U27" s="565"/>
      <c r="V27" s="565"/>
      <c r="W27" s="565"/>
      <c r="X27" s="565"/>
      <c r="Y27" t="str">
        <f t="shared" ca="1" si="2"/>
        <v>PAGO</v>
      </c>
      <c r="AA27" t="s">
        <v>13</v>
      </c>
    </row>
    <row r="28" spans="1:27" x14ac:dyDescent="0.3">
      <c r="A28" t="s">
        <v>215</v>
      </c>
      <c r="B28" s="562">
        <v>2025</v>
      </c>
      <c r="C28" t="s">
        <v>248</v>
      </c>
      <c r="D28">
        <v>16618</v>
      </c>
      <c r="F28" s="179">
        <v>45680</v>
      </c>
      <c r="G28" t="s">
        <v>236</v>
      </c>
      <c r="H28" t="s">
        <v>65</v>
      </c>
      <c r="J28" s="583">
        <v>0</v>
      </c>
      <c r="K28" s="583">
        <v>470</v>
      </c>
      <c r="L28" s="565">
        <f t="shared" si="0"/>
        <v>470</v>
      </c>
      <c r="M28" s="179">
        <v>45715</v>
      </c>
      <c r="N28" s="179">
        <v>45715</v>
      </c>
      <c r="O28" s="565">
        <v>470</v>
      </c>
      <c r="P28" s="565">
        <f t="shared" si="1"/>
        <v>0</v>
      </c>
      <c r="Q28" s="565"/>
      <c r="R28" s="565"/>
      <c r="S28" s="565"/>
      <c r="T28" s="565"/>
      <c r="U28" s="565"/>
      <c r="V28" s="565"/>
      <c r="W28" s="565"/>
      <c r="X28" s="565"/>
      <c r="Y28" t="str">
        <f t="shared" ca="1" si="2"/>
        <v>PAGO</v>
      </c>
      <c r="AA28" t="s">
        <v>13</v>
      </c>
    </row>
    <row r="29" spans="1:27" x14ac:dyDescent="0.3">
      <c r="A29" t="s">
        <v>215</v>
      </c>
      <c r="B29" s="562">
        <v>2025</v>
      </c>
      <c r="C29" t="s">
        <v>248</v>
      </c>
      <c r="D29">
        <v>16618</v>
      </c>
      <c r="F29" s="179">
        <v>45680</v>
      </c>
      <c r="G29" t="s">
        <v>236</v>
      </c>
      <c r="H29" t="s">
        <v>65</v>
      </c>
      <c r="J29" s="583">
        <v>0</v>
      </c>
      <c r="K29" s="583">
        <v>470</v>
      </c>
      <c r="L29" s="565">
        <f t="shared" si="0"/>
        <v>470</v>
      </c>
      <c r="M29" s="179">
        <v>45722</v>
      </c>
      <c r="N29" s="179">
        <v>45722</v>
      </c>
      <c r="O29" s="565">
        <v>470</v>
      </c>
      <c r="P29" s="565">
        <f t="shared" si="1"/>
        <v>0</v>
      </c>
      <c r="Q29" s="565"/>
      <c r="R29" s="565"/>
      <c r="S29" s="565"/>
      <c r="T29" s="565"/>
      <c r="U29" s="565"/>
      <c r="V29" s="565"/>
      <c r="W29" s="565"/>
      <c r="X29" s="565"/>
      <c r="Y29" t="str">
        <f t="shared" ca="1" si="2"/>
        <v>PAGO</v>
      </c>
      <c r="AA29" t="s">
        <v>13</v>
      </c>
    </row>
    <row r="30" spans="1:27" x14ac:dyDescent="0.3">
      <c r="A30" t="s">
        <v>215</v>
      </c>
      <c r="B30" s="562">
        <v>2025</v>
      </c>
      <c r="C30" t="s">
        <v>248</v>
      </c>
      <c r="D30">
        <v>16619</v>
      </c>
      <c r="F30" s="179">
        <v>45680</v>
      </c>
      <c r="G30" t="s">
        <v>236</v>
      </c>
      <c r="H30" t="s">
        <v>65</v>
      </c>
      <c r="J30" s="583">
        <v>0</v>
      </c>
      <c r="K30" s="583">
        <v>468.13</v>
      </c>
      <c r="L30" s="565">
        <f t="shared" si="0"/>
        <v>468.13</v>
      </c>
      <c r="M30" s="179">
        <v>45708</v>
      </c>
      <c r="N30" s="179">
        <v>45708</v>
      </c>
      <c r="O30" s="565">
        <v>468.13</v>
      </c>
      <c r="P30" s="565">
        <f t="shared" si="1"/>
        <v>0</v>
      </c>
      <c r="Q30" s="565"/>
      <c r="R30" s="565"/>
      <c r="S30" s="565"/>
      <c r="T30" s="565"/>
      <c r="U30" s="565"/>
      <c r="V30" s="565"/>
      <c r="W30" s="565"/>
      <c r="X30" s="565"/>
      <c r="Y30" t="str">
        <f t="shared" ca="1" si="2"/>
        <v>PAGO</v>
      </c>
      <c r="AA30" t="s">
        <v>13</v>
      </c>
    </row>
    <row r="31" spans="1:27" x14ac:dyDescent="0.3">
      <c r="A31" t="s">
        <v>215</v>
      </c>
      <c r="B31" s="562">
        <v>2025</v>
      </c>
      <c r="C31" t="s">
        <v>248</v>
      </c>
      <c r="D31">
        <v>16619</v>
      </c>
      <c r="F31" s="179">
        <v>45680</v>
      </c>
      <c r="G31" t="s">
        <v>236</v>
      </c>
      <c r="H31" t="s">
        <v>65</v>
      </c>
      <c r="J31" s="583">
        <v>0</v>
      </c>
      <c r="K31" s="583">
        <v>468</v>
      </c>
      <c r="L31" s="565">
        <f t="shared" si="0"/>
        <v>468</v>
      </c>
      <c r="M31" s="179">
        <v>45715</v>
      </c>
      <c r="N31" s="179">
        <v>45715</v>
      </c>
      <c r="O31" s="565">
        <v>468</v>
      </c>
      <c r="P31" s="565">
        <f t="shared" si="1"/>
        <v>0</v>
      </c>
      <c r="Q31" s="565"/>
      <c r="R31" s="565"/>
      <c r="S31" s="565"/>
      <c r="T31" s="565"/>
      <c r="U31" s="565"/>
      <c r="V31" s="565"/>
      <c r="W31" s="565"/>
      <c r="X31" s="565"/>
      <c r="Y31" t="str">
        <f t="shared" ca="1" si="2"/>
        <v>PAGO</v>
      </c>
      <c r="AA31" t="s">
        <v>13</v>
      </c>
    </row>
    <row r="32" spans="1:27" x14ac:dyDescent="0.3">
      <c r="A32" t="s">
        <v>215</v>
      </c>
      <c r="B32" s="562">
        <v>2025</v>
      </c>
      <c r="C32" t="s">
        <v>248</v>
      </c>
      <c r="D32">
        <v>16619</v>
      </c>
      <c r="F32" s="179">
        <v>45680</v>
      </c>
      <c r="G32" t="s">
        <v>236</v>
      </c>
      <c r="H32" t="s">
        <v>65</v>
      </c>
      <c r="J32" s="583">
        <v>0</v>
      </c>
      <c r="K32" s="583">
        <v>468</v>
      </c>
      <c r="L32" s="565">
        <f t="shared" si="0"/>
        <v>468</v>
      </c>
      <c r="M32" s="179">
        <v>45722</v>
      </c>
      <c r="N32" s="179">
        <v>45722</v>
      </c>
      <c r="O32" s="565">
        <v>468</v>
      </c>
      <c r="P32" s="565">
        <f t="shared" si="1"/>
        <v>0</v>
      </c>
      <c r="Q32" s="565"/>
      <c r="R32" s="565"/>
      <c r="S32" s="565"/>
      <c r="T32" s="565"/>
      <c r="U32" s="565"/>
      <c r="V32" s="565"/>
      <c r="W32" s="565"/>
      <c r="X32" s="565"/>
      <c r="Y32" t="str">
        <f t="shared" ca="1" si="2"/>
        <v>PAGO</v>
      </c>
      <c r="AA32" t="s">
        <v>13</v>
      </c>
    </row>
    <row r="33" spans="1:27" x14ac:dyDescent="0.3">
      <c r="A33" t="s">
        <v>215</v>
      </c>
      <c r="B33" s="562">
        <v>2025</v>
      </c>
      <c r="C33" t="s">
        <v>248</v>
      </c>
      <c r="D33" t="s">
        <v>68</v>
      </c>
      <c r="F33" s="179">
        <v>45681</v>
      </c>
      <c r="G33" t="s">
        <v>68</v>
      </c>
      <c r="H33" t="s">
        <v>388</v>
      </c>
      <c r="J33" s="583">
        <v>2637</v>
      </c>
      <c r="K33" s="583">
        <v>0</v>
      </c>
      <c r="L33" s="565">
        <f t="shared" si="0"/>
        <v>2637</v>
      </c>
      <c r="M33" s="179">
        <v>45708</v>
      </c>
      <c r="O33" s="565">
        <v>0</v>
      </c>
      <c r="P33" s="565">
        <f t="shared" si="1"/>
        <v>2637</v>
      </c>
      <c r="Q33" s="565"/>
      <c r="R33" s="565"/>
      <c r="S33" s="565"/>
      <c r="T33" s="565"/>
      <c r="U33" s="565"/>
      <c r="V33" s="565"/>
      <c r="W33" s="565"/>
      <c r="X33" s="565"/>
      <c r="Y33" t="str">
        <f t="shared" ca="1" si="2"/>
        <v>VENCIDO</v>
      </c>
      <c r="AA33" t="s">
        <v>13</v>
      </c>
    </row>
    <row r="34" spans="1:27" x14ac:dyDescent="0.3">
      <c r="A34" t="s">
        <v>215</v>
      </c>
      <c r="B34" s="562">
        <v>2025</v>
      </c>
      <c r="C34" t="s">
        <v>248</v>
      </c>
      <c r="D34" t="s">
        <v>68</v>
      </c>
      <c r="F34" s="179">
        <v>45681</v>
      </c>
      <c r="G34" t="s">
        <v>68</v>
      </c>
      <c r="H34" t="s">
        <v>388</v>
      </c>
      <c r="J34" s="583">
        <v>3800</v>
      </c>
      <c r="K34" s="583">
        <v>0</v>
      </c>
      <c r="L34" s="565">
        <f t="shared" si="0"/>
        <v>3800</v>
      </c>
      <c r="M34" s="179">
        <v>45717</v>
      </c>
      <c r="O34" s="565">
        <v>0</v>
      </c>
      <c r="P34" s="565">
        <f t="shared" si="1"/>
        <v>3800</v>
      </c>
      <c r="Q34" s="565"/>
      <c r="R34" s="565"/>
      <c r="S34" s="565"/>
      <c r="T34" s="565"/>
      <c r="U34" s="565"/>
      <c r="V34" s="565"/>
      <c r="W34" s="565"/>
      <c r="X34" s="565"/>
      <c r="Y34" t="str">
        <f t="shared" ca="1" si="2"/>
        <v>VENCIDO</v>
      </c>
      <c r="AA34" t="s">
        <v>13</v>
      </c>
    </row>
    <row r="35" spans="1:27" x14ac:dyDescent="0.3">
      <c r="A35" t="s">
        <v>215</v>
      </c>
      <c r="B35" s="562">
        <v>2025</v>
      </c>
      <c r="C35" t="s">
        <v>248</v>
      </c>
      <c r="D35" t="s">
        <v>68</v>
      </c>
      <c r="F35" s="179">
        <v>45681</v>
      </c>
      <c r="G35" t="s">
        <v>68</v>
      </c>
      <c r="H35" t="s">
        <v>388</v>
      </c>
      <c r="J35" s="583">
        <v>3800</v>
      </c>
      <c r="K35" s="583">
        <v>0</v>
      </c>
      <c r="L35" s="565">
        <f t="shared" si="0"/>
        <v>3800</v>
      </c>
      <c r="M35" s="179">
        <v>45724</v>
      </c>
      <c r="O35" s="565">
        <v>0</v>
      </c>
      <c r="P35" s="565">
        <f t="shared" si="1"/>
        <v>3800</v>
      </c>
      <c r="Q35" s="565"/>
      <c r="R35" s="565"/>
      <c r="S35" s="565"/>
      <c r="T35" s="565"/>
      <c r="U35" s="565"/>
      <c r="V35" s="565"/>
      <c r="W35" s="565"/>
      <c r="X35" s="565"/>
      <c r="Y35" t="str">
        <f t="shared" ca="1" si="2"/>
        <v>VENCIDO</v>
      </c>
      <c r="AA35" t="s">
        <v>13</v>
      </c>
    </row>
    <row r="36" spans="1:27" x14ac:dyDescent="0.3">
      <c r="A36" t="s">
        <v>215</v>
      </c>
      <c r="B36" s="562">
        <v>2025</v>
      </c>
      <c r="C36" t="s">
        <v>248</v>
      </c>
      <c r="D36" t="s">
        <v>68</v>
      </c>
      <c r="F36" s="179">
        <v>45681</v>
      </c>
      <c r="G36" t="s">
        <v>68</v>
      </c>
      <c r="H36" t="s">
        <v>388</v>
      </c>
      <c r="J36" s="583">
        <v>3800</v>
      </c>
      <c r="K36" s="583">
        <v>0</v>
      </c>
      <c r="L36" s="565">
        <f t="shared" si="0"/>
        <v>3800</v>
      </c>
      <c r="M36" s="179">
        <v>45736</v>
      </c>
      <c r="O36" s="565">
        <v>0</v>
      </c>
      <c r="P36" s="565">
        <f t="shared" si="1"/>
        <v>3800</v>
      </c>
      <c r="Q36" s="565"/>
      <c r="R36" s="565"/>
      <c r="S36" s="565"/>
      <c r="T36" s="565"/>
      <c r="U36" s="565"/>
      <c r="V36" s="565"/>
      <c r="W36" s="565"/>
      <c r="X36" s="565"/>
      <c r="Y36" t="str">
        <f t="shared" ca="1" si="2"/>
        <v>VENCIDO</v>
      </c>
      <c r="AA36" t="s">
        <v>13</v>
      </c>
    </row>
    <row r="37" spans="1:27" x14ac:dyDescent="0.3">
      <c r="A37" t="s">
        <v>215</v>
      </c>
      <c r="B37" s="562">
        <v>2025</v>
      </c>
      <c r="C37" t="s">
        <v>248</v>
      </c>
      <c r="D37" t="s">
        <v>68</v>
      </c>
      <c r="F37" s="179">
        <v>45681</v>
      </c>
      <c r="G37" t="s">
        <v>68</v>
      </c>
      <c r="H37" t="s">
        <v>388</v>
      </c>
      <c r="J37" s="583">
        <v>3800</v>
      </c>
      <c r="K37" s="583">
        <v>0</v>
      </c>
      <c r="L37" s="565">
        <f t="shared" si="0"/>
        <v>3800</v>
      </c>
      <c r="M37" s="179">
        <v>45738</v>
      </c>
      <c r="O37" s="565">
        <v>0</v>
      </c>
      <c r="P37" s="565">
        <f t="shared" si="1"/>
        <v>3800</v>
      </c>
      <c r="Q37" s="565"/>
      <c r="R37" s="565"/>
      <c r="S37" s="565"/>
      <c r="T37" s="565"/>
      <c r="U37" s="565"/>
      <c r="V37" s="565"/>
      <c r="W37" s="565"/>
      <c r="X37" s="565"/>
      <c r="Y37" t="str">
        <f t="shared" ca="1" si="2"/>
        <v>VENCIDO</v>
      </c>
      <c r="AA37" t="s">
        <v>13</v>
      </c>
    </row>
    <row r="38" spans="1:27" x14ac:dyDescent="0.3">
      <c r="A38" t="s">
        <v>215</v>
      </c>
      <c r="B38" s="562">
        <v>2025</v>
      </c>
      <c r="C38" t="s">
        <v>248</v>
      </c>
      <c r="D38" t="s">
        <v>68</v>
      </c>
      <c r="F38" s="179">
        <v>45681</v>
      </c>
      <c r="G38" t="s">
        <v>68</v>
      </c>
      <c r="H38" t="s">
        <v>388</v>
      </c>
      <c r="J38" s="583">
        <v>3800</v>
      </c>
      <c r="K38" s="583">
        <v>0</v>
      </c>
      <c r="L38" s="565">
        <f t="shared" si="0"/>
        <v>3800</v>
      </c>
      <c r="M38" s="179">
        <v>47206</v>
      </c>
      <c r="O38" s="565">
        <v>0</v>
      </c>
      <c r="P38" s="565">
        <f t="shared" si="1"/>
        <v>3800</v>
      </c>
      <c r="Q38" s="565"/>
      <c r="R38" s="565"/>
      <c r="S38" s="565"/>
      <c r="T38" s="565"/>
      <c r="U38" s="565"/>
      <c r="V38" s="565"/>
      <c r="W38" s="565"/>
      <c r="X38" s="565"/>
      <c r="Y38" t="str">
        <f t="shared" ca="1" si="2"/>
        <v>A VENCER</v>
      </c>
      <c r="AA38" t="s">
        <v>13</v>
      </c>
    </row>
    <row r="39" spans="1:27" x14ac:dyDescent="0.3">
      <c r="A39" t="s">
        <v>215</v>
      </c>
      <c r="B39" s="562">
        <v>2025</v>
      </c>
      <c r="C39" t="s">
        <v>248</v>
      </c>
      <c r="D39">
        <v>16639</v>
      </c>
      <c r="F39" s="179">
        <v>45681</v>
      </c>
      <c r="G39" t="s">
        <v>236</v>
      </c>
      <c r="H39" t="s">
        <v>95</v>
      </c>
      <c r="J39" s="583">
        <v>0</v>
      </c>
      <c r="K39" s="583">
        <v>421.74</v>
      </c>
      <c r="L39" s="565">
        <f t="shared" si="0"/>
        <v>421.74</v>
      </c>
      <c r="M39" s="179">
        <v>45709</v>
      </c>
      <c r="N39" s="179">
        <v>45708</v>
      </c>
      <c r="O39" s="565">
        <v>421.74</v>
      </c>
      <c r="P39" s="565">
        <f t="shared" si="1"/>
        <v>0</v>
      </c>
      <c r="Q39" s="565"/>
      <c r="R39" s="565"/>
      <c r="S39" s="565"/>
      <c r="T39" s="565"/>
      <c r="U39" s="565"/>
      <c r="V39" s="565"/>
      <c r="W39" s="565"/>
      <c r="X39" s="565"/>
      <c r="Y39" t="str">
        <f t="shared" ca="1" si="2"/>
        <v>PAGO</v>
      </c>
      <c r="AA39" t="s">
        <v>13</v>
      </c>
    </row>
    <row r="40" spans="1:27" x14ac:dyDescent="0.3">
      <c r="A40" t="s">
        <v>215</v>
      </c>
      <c r="B40" s="562">
        <v>2025</v>
      </c>
      <c r="C40" t="s">
        <v>248</v>
      </c>
      <c r="D40">
        <v>16639</v>
      </c>
      <c r="F40" s="179">
        <v>45681</v>
      </c>
      <c r="G40" t="s">
        <v>236</v>
      </c>
      <c r="H40" t="s">
        <v>95</v>
      </c>
      <c r="J40" s="583">
        <v>0</v>
      </c>
      <c r="K40" s="583">
        <v>421.74</v>
      </c>
      <c r="L40" s="565">
        <f t="shared" si="0"/>
        <v>421.74</v>
      </c>
      <c r="M40" s="179">
        <v>45716</v>
      </c>
      <c r="N40" s="179">
        <v>45716</v>
      </c>
      <c r="O40" s="565">
        <v>421.74</v>
      </c>
      <c r="P40" s="565">
        <f t="shared" si="1"/>
        <v>0</v>
      </c>
      <c r="Q40" s="565"/>
      <c r="R40" s="565"/>
      <c r="S40" s="565"/>
      <c r="T40" s="565"/>
      <c r="U40" s="565"/>
      <c r="V40" s="565"/>
      <c r="W40" s="565"/>
      <c r="X40" s="565"/>
      <c r="Y40" t="str">
        <f t="shared" ca="1" si="2"/>
        <v>PAGO</v>
      </c>
      <c r="AA40" t="s">
        <v>13</v>
      </c>
    </row>
    <row r="41" spans="1:27" x14ac:dyDescent="0.3">
      <c r="A41" t="s">
        <v>215</v>
      </c>
      <c r="B41" s="562">
        <v>2025</v>
      </c>
      <c r="C41" t="s">
        <v>248</v>
      </c>
      <c r="D41">
        <v>16639</v>
      </c>
      <c r="F41" s="179">
        <v>45681</v>
      </c>
      <c r="G41" t="s">
        <v>236</v>
      </c>
      <c r="H41" t="s">
        <v>95</v>
      </c>
      <c r="J41" s="583">
        <v>0</v>
      </c>
      <c r="K41" s="583">
        <v>421.74</v>
      </c>
      <c r="L41" s="565">
        <f t="shared" si="0"/>
        <v>421.74</v>
      </c>
      <c r="M41" s="179">
        <v>45723</v>
      </c>
      <c r="N41" s="179">
        <v>45723</v>
      </c>
      <c r="O41" s="565">
        <v>421.74</v>
      </c>
      <c r="P41" s="565">
        <f t="shared" si="1"/>
        <v>0</v>
      </c>
      <c r="Q41" s="565"/>
      <c r="R41" s="565"/>
      <c r="S41" s="565"/>
      <c r="T41" s="565"/>
      <c r="U41" s="565"/>
      <c r="V41" s="565"/>
      <c r="W41" s="565"/>
      <c r="X41" s="565"/>
      <c r="Y41" t="str">
        <f t="shared" ca="1" si="2"/>
        <v>PAGO</v>
      </c>
      <c r="AA41" t="s">
        <v>13</v>
      </c>
    </row>
    <row r="42" spans="1:27" x14ac:dyDescent="0.3">
      <c r="A42" t="s">
        <v>215</v>
      </c>
      <c r="B42" s="562">
        <v>2025</v>
      </c>
      <c r="C42" t="s">
        <v>248</v>
      </c>
      <c r="D42">
        <v>16638</v>
      </c>
      <c r="F42" s="179">
        <v>45681</v>
      </c>
      <c r="G42" t="s">
        <v>236</v>
      </c>
      <c r="H42" t="s">
        <v>386</v>
      </c>
      <c r="J42" s="583">
        <v>0</v>
      </c>
      <c r="K42" s="583">
        <v>307.64</v>
      </c>
      <c r="L42" s="565">
        <f t="shared" si="0"/>
        <v>307.64</v>
      </c>
      <c r="M42" s="179">
        <v>45709</v>
      </c>
      <c r="N42" s="179">
        <v>45708</v>
      </c>
      <c r="O42" s="565">
        <v>307.64</v>
      </c>
      <c r="P42" s="565">
        <f t="shared" si="1"/>
        <v>0</v>
      </c>
      <c r="Q42" s="565"/>
      <c r="R42" s="565"/>
      <c r="S42" s="565"/>
      <c r="T42" s="565"/>
      <c r="U42" s="565"/>
      <c r="V42" s="565"/>
      <c r="W42" s="565"/>
      <c r="X42" s="565"/>
      <c r="Y42" t="str">
        <f t="shared" ca="1" si="2"/>
        <v>PAGO</v>
      </c>
      <c r="AA42" t="s">
        <v>13</v>
      </c>
    </row>
    <row r="43" spans="1:27" x14ac:dyDescent="0.3">
      <c r="A43" t="s">
        <v>215</v>
      </c>
      <c r="B43" s="562">
        <v>2025</v>
      </c>
      <c r="C43" t="s">
        <v>248</v>
      </c>
      <c r="D43">
        <v>16638</v>
      </c>
      <c r="F43" s="179">
        <v>45681</v>
      </c>
      <c r="G43" t="s">
        <v>236</v>
      </c>
      <c r="H43" t="s">
        <v>386</v>
      </c>
      <c r="J43" s="583">
        <v>0</v>
      </c>
      <c r="K43" s="583">
        <v>307</v>
      </c>
      <c r="L43" s="565">
        <f t="shared" si="0"/>
        <v>307</v>
      </c>
      <c r="M43" s="179">
        <v>45716</v>
      </c>
      <c r="N43" s="179">
        <v>45716</v>
      </c>
      <c r="O43" s="565">
        <v>307</v>
      </c>
      <c r="P43" s="565">
        <f t="shared" si="1"/>
        <v>0</v>
      </c>
      <c r="Q43" s="565"/>
      <c r="R43" s="565"/>
      <c r="S43" s="565"/>
      <c r="T43" s="565"/>
      <c r="U43" s="565"/>
      <c r="V43" s="565"/>
      <c r="W43" s="565"/>
      <c r="X43" s="565"/>
      <c r="Y43" t="str">
        <f t="shared" ca="1" si="2"/>
        <v>PAGO</v>
      </c>
      <c r="AA43" t="s">
        <v>13</v>
      </c>
    </row>
    <row r="44" spans="1:27" x14ac:dyDescent="0.3">
      <c r="A44" t="s">
        <v>215</v>
      </c>
      <c r="B44" s="562">
        <v>2025</v>
      </c>
      <c r="C44" t="s">
        <v>248</v>
      </c>
      <c r="D44">
        <v>16638</v>
      </c>
      <c r="F44" s="179">
        <v>45681</v>
      </c>
      <c r="G44" t="s">
        <v>236</v>
      </c>
      <c r="H44" t="s">
        <v>386</v>
      </c>
      <c r="J44" s="583">
        <v>0</v>
      </c>
      <c r="K44" s="583">
        <v>307</v>
      </c>
      <c r="L44" s="565">
        <f t="shared" si="0"/>
        <v>307</v>
      </c>
      <c r="M44" s="179">
        <v>45723</v>
      </c>
      <c r="N44" s="179">
        <v>45723</v>
      </c>
      <c r="O44" s="565">
        <v>307</v>
      </c>
      <c r="P44" s="565">
        <f t="shared" si="1"/>
        <v>0</v>
      </c>
      <c r="Q44" s="565"/>
      <c r="R44" s="565"/>
      <c r="S44" s="565"/>
      <c r="T44" s="565"/>
      <c r="U44" s="565"/>
      <c r="V44" s="565"/>
      <c r="W44" s="565"/>
      <c r="X44" s="565"/>
      <c r="Y44" t="str">
        <f t="shared" ca="1" si="2"/>
        <v>PAGO</v>
      </c>
      <c r="AA44" t="s">
        <v>13</v>
      </c>
    </row>
    <row r="45" spans="1:27" x14ac:dyDescent="0.3">
      <c r="A45" t="s">
        <v>215</v>
      </c>
      <c r="B45" s="562">
        <v>2025</v>
      </c>
      <c r="C45" t="s">
        <v>248</v>
      </c>
      <c r="D45">
        <v>16654</v>
      </c>
      <c r="F45" s="179">
        <v>45684</v>
      </c>
      <c r="G45" t="s">
        <v>236</v>
      </c>
      <c r="H45" t="s">
        <v>387</v>
      </c>
      <c r="J45" s="583">
        <v>0</v>
      </c>
      <c r="K45" s="583">
        <v>133.03</v>
      </c>
      <c r="L45" s="565">
        <f t="shared" si="0"/>
        <v>133.03</v>
      </c>
      <c r="M45" s="179">
        <v>45712</v>
      </c>
      <c r="N45" s="179">
        <v>45712</v>
      </c>
      <c r="O45" s="565">
        <v>133.03</v>
      </c>
      <c r="P45" s="565">
        <f t="shared" si="1"/>
        <v>0</v>
      </c>
      <c r="Q45" s="565"/>
      <c r="R45" s="565"/>
      <c r="S45" s="565"/>
      <c r="T45" s="565"/>
      <c r="U45" s="565"/>
      <c r="V45" s="565"/>
      <c r="W45" s="565"/>
      <c r="X45" s="565"/>
      <c r="Y45" t="str">
        <f t="shared" ca="1" si="2"/>
        <v>PAGO</v>
      </c>
      <c r="AA45" t="s">
        <v>13</v>
      </c>
    </row>
    <row r="46" spans="1:27" x14ac:dyDescent="0.3">
      <c r="A46" t="s">
        <v>215</v>
      </c>
      <c r="B46" s="562">
        <v>2025</v>
      </c>
      <c r="C46" t="s">
        <v>248</v>
      </c>
      <c r="D46">
        <v>16654</v>
      </c>
      <c r="F46" s="179">
        <v>45684</v>
      </c>
      <c r="G46" t="s">
        <v>236</v>
      </c>
      <c r="H46" t="s">
        <v>387</v>
      </c>
      <c r="J46" s="583">
        <v>0</v>
      </c>
      <c r="K46" s="583">
        <v>131</v>
      </c>
      <c r="L46" s="565">
        <f t="shared" si="0"/>
        <v>131</v>
      </c>
      <c r="M46" s="179">
        <v>45719</v>
      </c>
      <c r="N46" s="179">
        <v>45721</v>
      </c>
      <c r="O46" s="565">
        <v>131</v>
      </c>
      <c r="P46" s="565">
        <f t="shared" si="1"/>
        <v>0</v>
      </c>
      <c r="Q46" s="565"/>
      <c r="R46" s="565"/>
      <c r="S46" s="565"/>
      <c r="T46" s="565"/>
      <c r="U46" s="565"/>
      <c r="V46" s="565"/>
      <c r="W46" s="565"/>
      <c r="X46" s="565"/>
      <c r="Y46" t="str">
        <f t="shared" ca="1" si="2"/>
        <v>PAGO</v>
      </c>
      <c r="AA46" t="s">
        <v>13</v>
      </c>
    </row>
    <row r="47" spans="1:27" x14ac:dyDescent="0.3">
      <c r="A47" t="s">
        <v>215</v>
      </c>
      <c r="B47" s="562">
        <v>2025</v>
      </c>
      <c r="C47" t="s">
        <v>248</v>
      </c>
      <c r="D47">
        <v>16654</v>
      </c>
      <c r="F47" s="179">
        <v>45684</v>
      </c>
      <c r="G47" t="s">
        <v>236</v>
      </c>
      <c r="H47" t="s">
        <v>387</v>
      </c>
      <c r="J47" s="583">
        <v>0</v>
      </c>
      <c r="K47" s="583">
        <v>131</v>
      </c>
      <c r="L47" s="565">
        <f t="shared" si="0"/>
        <v>131</v>
      </c>
      <c r="M47" s="179">
        <v>45726</v>
      </c>
      <c r="N47" s="179">
        <v>45727</v>
      </c>
      <c r="O47" s="565">
        <v>131</v>
      </c>
      <c r="P47" s="565">
        <f t="shared" si="1"/>
        <v>0</v>
      </c>
      <c r="Q47" s="565"/>
      <c r="R47" s="565"/>
      <c r="S47" s="565"/>
      <c r="T47" s="565"/>
      <c r="U47" s="565"/>
      <c r="V47" s="565"/>
      <c r="W47" s="565"/>
      <c r="X47" s="565"/>
      <c r="Y47" t="str">
        <f t="shared" ca="1" si="2"/>
        <v>PAGO</v>
      </c>
      <c r="AA47" t="s">
        <v>13</v>
      </c>
    </row>
    <row r="48" spans="1:27" x14ac:dyDescent="0.3">
      <c r="A48" t="s">
        <v>215</v>
      </c>
      <c r="B48" s="562">
        <v>2025</v>
      </c>
      <c r="C48" t="s">
        <v>248</v>
      </c>
      <c r="D48">
        <v>16656</v>
      </c>
      <c r="F48" s="179">
        <v>45684</v>
      </c>
      <c r="G48" t="s">
        <v>236</v>
      </c>
      <c r="H48" t="s">
        <v>389</v>
      </c>
      <c r="J48" s="583">
        <v>0</v>
      </c>
      <c r="K48" s="583">
        <v>1131.67</v>
      </c>
      <c r="L48" s="565">
        <f t="shared" si="0"/>
        <v>1131.67</v>
      </c>
      <c r="M48" s="179">
        <v>45712</v>
      </c>
      <c r="N48" s="179">
        <v>45712</v>
      </c>
      <c r="O48" s="565">
        <v>1131.67</v>
      </c>
      <c r="P48" s="565">
        <f t="shared" si="1"/>
        <v>0</v>
      </c>
      <c r="Q48" s="565"/>
      <c r="R48" s="565"/>
      <c r="S48" s="565"/>
      <c r="T48" s="565"/>
      <c r="U48" s="565"/>
      <c r="V48" s="565"/>
      <c r="W48" s="565"/>
      <c r="X48" s="565"/>
      <c r="Y48" t="str">
        <f t="shared" ca="1" si="2"/>
        <v>PAGO</v>
      </c>
      <c r="AA48" t="s">
        <v>13</v>
      </c>
    </row>
    <row r="49" spans="1:27" x14ac:dyDescent="0.3">
      <c r="A49" t="s">
        <v>215</v>
      </c>
      <c r="B49" s="562">
        <v>2025</v>
      </c>
      <c r="C49" t="s">
        <v>248</v>
      </c>
      <c r="D49">
        <v>16656</v>
      </c>
      <c r="F49" s="179">
        <v>45684</v>
      </c>
      <c r="G49" t="s">
        <v>236</v>
      </c>
      <c r="H49" t="s">
        <v>389</v>
      </c>
      <c r="J49" s="583">
        <v>0</v>
      </c>
      <c r="K49" s="583">
        <v>1129</v>
      </c>
      <c r="L49" s="565">
        <f t="shared" si="0"/>
        <v>1129</v>
      </c>
      <c r="M49" s="179">
        <v>45719</v>
      </c>
      <c r="N49" s="179">
        <v>45721</v>
      </c>
      <c r="O49" s="565">
        <v>1129</v>
      </c>
      <c r="P49" s="565">
        <f t="shared" si="1"/>
        <v>0</v>
      </c>
      <c r="Q49" s="565"/>
      <c r="R49" s="565"/>
      <c r="S49" s="565"/>
      <c r="T49" s="565"/>
      <c r="U49" s="565"/>
      <c r="V49" s="565"/>
      <c r="W49" s="565"/>
      <c r="X49" s="565"/>
      <c r="Y49" t="str">
        <f t="shared" ca="1" si="2"/>
        <v>PAGO</v>
      </c>
      <c r="AA49" t="s">
        <v>13</v>
      </c>
    </row>
    <row r="50" spans="1:27" x14ac:dyDescent="0.3">
      <c r="A50" t="s">
        <v>215</v>
      </c>
      <c r="B50" s="562">
        <v>2025</v>
      </c>
      <c r="C50" t="s">
        <v>248</v>
      </c>
      <c r="D50">
        <v>16656</v>
      </c>
      <c r="F50" s="179">
        <v>45684</v>
      </c>
      <c r="G50" t="s">
        <v>236</v>
      </c>
      <c r="H50" t="s">
        <v>389</v>
      </c>
      <c r="J50" s="583">
        <v>0</v>
      </c>
      <c r="K50" s="583">
        <v>1129</v>
      </c>
      <c r="L50" s="565">
        <f t="shared" si="0"/>
        <v>1129</v>
      </c>
      <c r="M50" s="179">
        <v>45726</v>
      </c>
      <c r="N50" s="179">
        <v>45727</v>
      </c>
      <c r="O50" s="565">
        <v>1129</v>
      </c>
      <c r="P50" s="565">
        <f t="shared" si="1"/>
        <v>0</v>
      </c>
      <c r="Q50" s="565"/>
      <c r="R50" s="565"/>
      <c r="S50" s="565"/>
      <c r="T50" s="565"/>
      <c r="U50" s="565"/>
      <c r="V50" s="565"/>
      <c r="W50" s="565"/>
      <c r="X50" s="565"/>
      <c r="Y50" t="str">
        <f t="shared" ca="1" si="2"/>
        <v>PAGO</v>
      </c>
      <c r="AA50" t="s">
        <v>13</v>
      </c>
    </row>
    <row r="51" spans="1:27" x14ac:dyDescent="0.3">
      <c r="A51" t="s">
        <v>215</v>
      </c>
      <c r="B51" s="562">
        <v>2025</v>
      </c>
      <c r="C51" t="s">
        <v>248</v>
      </c>
      <c r="D51">
        <v>16687</v>
      </c>
      <c r="F51" s="179">
        <v>45686</v>
      </c>
      <c r="G51" t="s">
        <v>236</v>
      </c>
      <c r="H51" t="s">
        <v>81</v>
      </c>
      <c r="J51" s="583">
        <v>0</v>
      </c>
      <c r="K51" s="583">
        <v>320.39</v>
      </c>
      <c r="L51" s="565">
        <f t="shared" si="0"/>
        <v>320.39</v>
      </c>
      <c r="M51" s="179">
        <v>45714</v>
      </c>
      <c r="N51" s="179">
        <v>45714</v>
      </c>
      <c r="O51" s="565">
        <v>320.39</v>
      </c>
      <c r="P51" s="565">
        <f t="shared" si="1"/>
        <v>0</v>
      </c>
      <c r="Q51" s="565"/>
      <c r="R51" s="565"/>
      <c r="S51" s="565"/>
      <c r="T51" s="565"/>
      <c r="U51" s="565"/>
      <c r="V51" s="565"/>
      <c r="W51" s="565"/>
      <c r="X51" s="565"/>
      <c r="Y51" t="str">
        <f t="shared" ca="1" si="2"/>
        <v>PAGO</v>
      </c>
      <c r="AA51" t="s">
        <v>13</v>
      </c>
    </row>
    <row r="52" spans="1:27" x14ac:dyDescent="0.3">
      <c r="A52" t="s">
        <v>215</v>
      </c>
      <c r="B52" s="562">
        <v>2025</v>
      </c>
      <c r="C52" t="s">
        <v>248</v>
      </c>
      <c r="D52">
        <v>16688</v>
      </c>
      <c r="F52" s="179">
        <v>45686</v>
      </c>
      <c r="G52" t="s">
        <v>236</v>
      </c>
      <c r="H52" t="s">
        <v>386</v>
      </c>
      <c r="J52" s="583">
        <v>0</v>
      </c>
      <c r="K52" s="583">
        <v>428.15</v>
      </c>
      <c r="L52" s="565">
        <f t="shared" si="0"/>
        <v>428.15</v>
      </c>
      <c r="M52" s="179">
        <v>45714</v>
      </c>
      <c r="N52" s="179">
        <v>45714</v>
      </c>
      <c r="O52" s="565">
        <v>428.15</v>
      </c>
      <c r="P52" s="565">
        <f t="shared" si="1"/>
        <v>0</v>
      </c>
      <c r="Q52" s="565"/>
      <c r="R52" s="565"/>
      <c r="S52" s="565"/>
      <c r="T52" s="565"/>
      <c r="U52" s="565"/>
      <c r="V52" s="565"/>
      <c r="W52" s="565"/>
      <c r="X52" s="565"/>
      <c r="Y52" t="str">
        <f t="shared" ca="1" si="2"/>
        <v>PAGO</v>
      </c>
      <c r="AA52" t="s">
        <v>13</v>
      </c>
    </row>
    <row r="53" spans="1:27" x14ac:dyDescent="0.3">
      <c r="A53" t="s">
        <v>215</v>
      </c>
      <c r="B53" s="562">
        <v>2025</v>
      </c>
      <c r="C53" t="s">
        <v>248</v>
      </c>
      <c r="D53">
        <v>16688</v>
      </c>
      <c r="F53" s="179">
        <v>45686</v>
      </c>
      <c r="G53" t="s">
        <v>236</v>
      </c>
      <c r="H53" t="s">
        <v>386</v>
      </c>
      <c r="J53" s="583">
        <v>0</v>
      </c>
      <c r="K53" s="583">
        <v>426</v>
      </c>
      <c r="L53" s="565">
        <f t="shared" si="0"/>
        <v>426</v>
      </c>
      <c r="M53" s="179">
        <v>45721</v>
      </c>
      <c r="N53" s="179">
        <v>45721</v>
      </c>
      <c r="O53" s="565">
        <v>426</v>
      </c>
      <c r="P53" s="565">
        <f t="shared" si="1"/>
        <v>0</v>
      </c>
      <c r="Q53" s="565"/>
      <c r="R53" s="565"/>
      <c r="S53" s="565"/>
      <c r="T53" s="565"/>
      <c r="U53" s="565"/>
      <c r="V53" s="565"/>
      <c r="W53" s="565"/>
      <c r="X53" s="565"/>
      <c r="Y53" t="str">
        <f t="shared" ca="1" si="2"/>
        <v>PAGO</v>
      </c>
      <c r="AA53" t="s">
        <v>13</v>
      </c>
    </row>
    <row r="54" spans="1:27" x14ac:dyDescent="0.3">
      <c r="A54" t="s">
        <v>215</v>
      </c>
      <c r="B54" s="562">
        <v>2025</v>
      </c>
      <c r="C54" t="s">
        <v>248</v>
      </c>
      <c r="D54">
        <v>16688</v>
      </c>
      <c r="F54" s="179">
        <v>45686</v>
      </c>
      <c r="G54" t="s">
        <v>236</v>
      </c>
      <c r="H54" t="s">
        <v>386</v>
      </c>
      <c r="J54" s="583">
        <v>0</v>
      </c>
      <c r="K54" s="583">
        <v>426</v>
      </c>
      <c r="L54" s="565">
        <f t="shared" si="0"/>
        <v>426</v>
      </c>
      <c r="M54" s="179">
        <v>45728</v>
      </c>
      <c r="N54" s="179">
        <v>45728</v>
      </c>
      <c r="O54" s="565">
        <v>426</v>
      </c>
      <c r="P54" s="565">
        <f t="shared" si="1"/>
        <v>0</v>
      </c>
      <c r="Q54" s="565"/>
      <c r="R54" s="565"/>
      <c r="S54" s="565"/>
      <c r="T54" s="565"/>
      <c r="U54" s="565"/>
      <c r="V54" s="565"/>
      <c r="W54" s="565"/>
      <c r="X54" s="565"/>
      <c r="Y54" t="str">
        <f t="shared" ca="1" si="2"/>
        <v>PAGO</v>
      </c>
      <c r="AA54" t="s">
        <v>13</v>
      </c>
    </row>
    <row r="55" spans="1:27" x14ac:dyDescent="0.3">
      <c r="A55" t="s">
        <v>215</v>
      </c>
      <c r="B55" s="562">
        <v>2025</v>
      </c>
      <c r="C55" t="s">
        <v>248</v>
      </c>
      <c r="D55">
        <v>16704</v>
      </c>
      <c r="F55" s="179">
        <v>45687</v>
      </c>
      <c r="G55" t="s">
        <v>236</v>
      </c>
      <c r="H55" t="s">
        <v>387</v>
      </c>
      <c r="J55" s="583">
        <v>0</v>
      </c>
      <c r="K55" s="583">
        <v>1359.52</v>
      </c>
      <c r="L55" s="565">
        <f t="shared" si="0"/>
        <v>1359.52</v>
      </c>
      <c r="M55" s="179">
        <v>45715</v>
      </c>
      <c r="N55" s="179">
        <v>45715</v>
      </c>
      <c r="O55" s="565">
        <v>1359.52</v>
      </c>
      <c r="P55" s="565">
        <f t="shared" si="1"/>
        <v>0</v>
      </c>
      <c r="Q55" s="565"/>
      <c r="R55" s="565"/>
      <c r="S55" s="565"/>
      <c r="T55" s="565"/>
      <c r="U55" s="565"/>
      <c r="V55" s="565"/>
      <c r="W55" s="565"/>
      <c r="X55" s="565"/>
      <c r="Y55" t="str">
        <f t="shared" ca="1" si="2"/>
        <v>PAGO</v>
      </c>
      <c r="AA55" t="s">
        <v>13</v>
      </c>
    </row>
    <row r="56" spans="1:27" x14ac:dyDescent="0.3">
      <c r="A56" t="s">
        <v>215</v>
      </c>
      <c r="B56" s="562">
        <v>2025</v>
      </c>
      <c r="C56" t="s">
        <v>248</v>
      </c>
      <c r="D56">
        <v>16704</v>
      </c>
      <c r="F56" s="179">
        <v>45687</v>
      </c>
      <c r="G56" t="s">
        <v>236</v>
      </c>
      <c r="H56" t="s">
        <v>387</v>
      </c>
      <c r="J56" s="583">
        <v>0</v>
      </c>
      <c r="K56" s="583">
        <v>1358</v>
      </c>
      <c r="L56" s="565">
        <f t="shared" si="0"/>
        <v>1358</v>
      </c>
      <c r="M56" s="179">
        <v>45722</v>
      </c>
      <c r="N56" s="179">
        <v>45722</v>
      </c>
      <c r="O56" s="565">
        <v>1358</v>
      </c>
      <c r="P56" s="565">
        <f t="shared" si="1"/>
        <v>0</v>
      </c>
      <c r="Q56" s="565"/>
      <c r="R56" s="565"/>
      <c r="S56" s="565"/>
      <c r="T56" s="565"/>
      <c r="U56" s="565"/>
      <c r="V56" s="565"/>
      <c r="W56" s="565"/>
      <c r="X56" s="565"/>
      <c r="Y56" t="str">
        <f t="shared" ca="1" si="2"/>
        <v>PAGO</v>
      </c>
      <c r="AA56" t="s">
        <v>13</v>
      </c>
    </row>
    <row r="57" spans="1:27" x14ac:dyDescent="0.3">
      <c r="A57" t="s">
        <v>215</v>
      </c>
      <c r="B57" s="562">
        <v>2025</v>
      </c>
      <c r="C57" t="s">
        <v>248</v>
      </c>
      <c r="D57">
        <v>16704</v>
      </c>
      <c r="F57" s="179">
        <v>45687</v>
      </c>
      <c r="G57" t="s">
        <v>236</v>
      </c>
      <c r="H57" t="s">
        <v>387</v>
      </c>
      <c r="J57" s="583">
        <v>0</v>
      </c>
      <c r="K57" s="583">
        <v>1358</v>
      </c>
      <c r="L57" s="565">
        <f t="shared" si="0"/>
        <v>1358</v>
      </c>
      <c r="M57" s="179">
        <v>45729</v>
      </c>
      <c r="N57" s="179">
        <v>45729</v>
      </c>
      <c r="O57" s="565">
        <v>1358</v>
      </c>
      <c r="P57" s="565">
        <f t="shared" si="1"/>
        <v>0</v>
      </c>
      <c r="Q57" s="565"/>
      <c r="R57" s="565"/>
      <c r="S57" s="565"/>
      <c r="T57" s="565"/>
      <c r="U57" s="565"/>
      <c r="V57" s="565"/>
      <c r="W57" s="565"/>
      <c r="X57" s="565"/>
      <c r="Y57" t="str">
        <f t="shared" ca="1" si="2"/>
        <v>PAGO</v>
      </c>
      <c r="AA57" t="s">
        <v>13</v>
      </c>
    </row>
    <row r="58" spans="1:27" x14ac:dyDescent="0.3">
      <c r="A58" t="s">
        <v>215</v>
      </c>
      <c r="B58" s="562">
        <v>2025</v>
      </c>
      <c r="C58" t="s">
        <v>248</v>
      </c>
      <c r="D58">
        <v>16726</v>
      </c>
      <c r="F58" s="179">
        <v>45688</v>
      </c>
      <c r="G58" t="s">
        <v>236</v>
      </c>
      <c r="H58" t="s">
        <v>37</v>
      </c>
      <c r="J58" s="583">
        <v>0</v>
      </c>
      <c r="K58" s="583">
        <v>310.33999999999997</v>
      </c>
      <c r="L58" s="565">
        <f t="shared" si="0"/>
        <v>310.33999999999997</v>
      </c>
      <c r="M58" s="179">
        <v>45716</v>
      </c>
      <c r="N58" s="179">
        <v>45716</v>
      </c>
      <c r="O58" s="565">
        <v>310.33999999999997</v>
      </c>
      <c r="P58" s="565">
        <f t="shared" si="1"/>
        <v>0</v>
      </c>
      <c r="Q58" s="565"/>
      <c r="R58" s="565"/>
      <c r="S58" s="565"/>
      <c r="T58" s="565"/>
      <c r="U58" s="565"/>
      <c r="V58" s="565"/>
      <c r="W58" s="565"/>
      <c r="X58" s="565"/>
      <c r="Y58" t="str">
        <f t="shared" ca="1" si="2"/>
        <v>PAGO</v>
      </c>
      <c r="AA58" t="s">
        <v>13</v>
      </c>
    </row>
    <row r="59" spans="1:27" x14ac:dyDescent="0.3">
      <c r="A59" t="s">
        <v>215</v>
      </c>
      <c r="B59" s="562">
        <v>2025</v>
      </c>
      <c r="C59" t="s">
        <v>248</v>
      </c>
      <c r="D59">
        <v>16726</v>
      </c>
      <c r="F59" s="179">
        <v>45688</v>
      </c>
      <c r="G59" t="s">
        <v>236</v>
      </c>
      <c r="H59" t="s">
        <v>37</v>
      </c>
      <c r="J59" s="583">
        <v>0</v>
      </c>
      <c r="K59" s="583">
        <v>308</v>
      </c>
      <c r="L59" s="565">
        <f t="shared" si="0"/>
        <v>308</v>
      </c>
      <c r="M59" s="179">
        <v>45723</v>
      </c>
      <c r="N59" s="179">
        <v>45723</v>
      </c>
      <c r="O59" s="565">
        <v>308</v>
      </c>
      <c r="P59" s="565">
        <f t="shared" si="1"/>
        <v>0</v>
      </c>
      <c r="Q59" s="565"/>
      <c r="R59" s="565"/>
      <c r="S59" s="565"/>
      <c r="T59" s="565"/>
      <c r="U59" s="565"/>
      <c r="V59" s="565"/>
      <c r="W59" s="565"/>
      <c r="X59" s="565"/>
      <c r="Y59" t="str">
        <f t="shared" ca="1" si="2"/>
        <v>PAGO</v>
      </c>
      <c r="AA59" t="s">
        <v>13</v>
      </c>
    </row>
    <row r="60" spans="1:27" x14ac:dyDescent="0.3">
      <c r="A60" t="s">
        <v>215</v>
      </c>
      <c r="B60" s="562">
        <v>2025</v>
      </c>
      <c r="C60" t="s">
        <v>248</v>
      </c>
      <c r="D60">
        <v>16726</v>
      </c>
      <c r="F60" s="179">
        <v>45688</v>
      </c>
      <c r="G60" t="s">
        <v>236</v>
      </c>
      <c r="H60" t="s">
        <v>37</v>
      </c>
      <c r="J60" s="583">
        <v>0</v>
      </c>
      <c r="K60" s="583">
        <v>308</v>
      </c>
      <c r="L60" s="565">
        <f t="shared" si="0"/>
        <v>308</v>
      </c>
      <c r="M60" s="179">
        <v>45730</v>
      </c>
      <c r="N60" s="179">
        <v>45730</v>
      </c>
      <c r="O60" s="565">
        <v>308</v>
      </c>
      <c r="P60" s="565">
        <f t="shared" si="1"/>
        <v>0</v>
      </c>
      <c r="Q60" s="565"/>
      <c r="R60" s="565"/>
      <c r="S60" s="565"/>
      <c r="T60" s="565"/>
      <c r="U60" s="565"/>
      <c r="V60" s="565"/>
      <c r="W60" s="565"/>
      <c r="X60" s="565"/>
      <c r="Y60" t="str">
        <f t="shared" ca="1" si="2"/>
        <v>PAGO</v>
      </c>
      <c r="AA60" t="s">
        <v>13</v>
      </c>
    </row>
    <row r="61" spans="1:27" x14ac:dyDescent="0.3">
      <c r="A61" t="s">
        <v>215</v>
      </c>
      <c r="B61" s="562">
        <v>2025</v>
      </c>
      <c r="C61" t="s">
        <v>248</v>
      </c>
      <c r="D61">
        <v>16727</v>
      </c>
      <c r="F61" s="179">
        <v>45688</v>
      </c>
      <c r="G61" t="s">
        <v>236</v>
      </c>
      <c r="H61" t="s">
        <v>37</v>
      </c>
      <c r="J61" s="583">
        <v>0</v>
      </c>
      <c r="K61" s="583">
        <v>134.55000000000001</v>
      </c>
      <c r="L61" s="565">
        <f t="shared" si="0"/>
        <v>134.55000000000001</v>
      </c>
      <c r="M61" s="179">
        <v>45716</v>
      </c>
      <c r="N61" s="179">
        <v>45716</v>
      </c>
      <c r="O61" s="565">
        <v>134.55000000000001</v>
      </c>
      <c r="P61" s="565">
        <f t="shared" si="1"/>
        <v>0</v>
      </c>
      <c r="Q61" s="565"/>
      <c r="R61" s="565"/>
      <c r="S61" s="565"/>
      <c r="T61" s="565"/>
      <c r="U61" s="565"/>
      <c r="V61" s="565"/>
      <c r="W61" s="565"/>
      <c r="X61" s="565"/>
      <c r="Y61" t="str">
        <f t="shared" ca="1" si="2"/>
        <v>PAGO</v>
      </c>
      <c r="AA61" t="s">
        <v>13</v>
      </c>
    </row>
    <row r="62" spans="1:27" x14ac:dyDescent="0.3">
      <c r="A62" t="s">
        <v>215</v>
      </c>
      <c r="B62" s="562">
        <v>2025</v>
      </c>
      <c r="C62" t="s">
        <v>248</v>
      </c>
      <c r="D62">
        <v>16728</v>
      </c>
      <c r="F62" s="179">
        <v>45688</v>
      </c>
      <c r="G62" t="s">
        <v>236</v>
      </c>
      <c r="H62" t="s">
        <v>37</v>
      </c>
      <c r="J62" s="583">
        <v>0</v>
      </c>
      <c r="K62" s="583">
        <v>415.04</v>
      </c>
      <c r="L62" s="565">
        <f t="shared" si="0"/>
        <v>415.04</v>
      </c>
      <c r="M62" s="179">
        <v>45716</v>
      </c>
      <c r="N62" s="179">
        <v>45716</v>
      </c>
      <c r="O62" s="565">
        <v>415.04</v>
      </c>
      <c r="P62" s="565">
        <f t="shared" si="1"/>
        <v>0</v>
      </c>
      <c r="Q62" s="565"/>
      <c r="R62" s="565"/>
      <c r="S62" s="565"/>
      <c r="T62" s="565"/>
      <c r="U62" s="565"/>
      <c r="V62" s="565"/>
      <c r="W62" s="565"/>
      <c r="X62" s="565"/>
      <c r="Y62" t="str">
        <f t="shared" ca="1" si="2"/>
        <v>PAGO</v>
      </c>
      <c r="AA62" t="s">
        <v>13</v>
      </c>
    </row>
    <row r="63" spans="1:27" x14ac:dyDescent="0.3">
      <c r="A63" t="s">
        <v>215</v>
      </c>
      <c r="B63" s="562">
        <v>2025</v>
      </c>
      <c r="C63" t="s">
        <v>248</v>
      </c>
      <c r="D63">
        <v>16728</v>
      </c>
      <c r="F63" s="179">
        <v>45688</v>
      </c>
      <c r="G63" t="s">
        <v>236</v>
      </c>
      <c r="H63" t="s">
        <v>387</v>
      </c>
      <c r="J63" s="583">
        <v>0</v>
      </c>
      <c r="K63" s="583">
        <v>364.89</v>
      </c>
      <c r="L63" s="565">
        <f t="shared" si="0"/>
        <v>364.89</v>
      </c>
      <c r="M63" s="179">
        <v>45716</v>
      </c>
      <c r="N63" s="179">
        <v>45716</v>
      </c>
      <c r="O63" s="565">
        <v>364.89</v>
      </c>
      <c r="P63" s="565">
        <f t="shared" si="1"/>
        <v>0</v>
      </c>
      <c r="Q63" s="565"/>
      <c r="R63" s="565"/>
      <c r="S63" s="565"/>
      <c r="T63" s="565"/>
      <c r="U63" s="565"/>
      <c r="V63" s="565"/>
      <c r="W63" s="565"/>
      <c r="X63" s="565"/>
      <c r="Y63" t="str">
        <f t="shared" ca="1" si="2"/>
        <v>PAGO</v>
      </c>
      <c r="AA63" t="s">
        <v>13</v>
      </c>
    </row>
    <row r="64" spans="1:27" x14ac:dyDescent="0.3">
      <c r="A64" t="s">
        <v>215</v>
      </c>
      <c r="B64" s="562">
        <v>2025</v>
      </c>
      <c r="C64" t="s">
        <v>248</v>
      </c>
      <c r="D64">
        <v>16728</v>
      </c>
      <c r="F64" s="179">
        <v>45688</v>
      </c>
      <c r="G64" t="s">
        <v>236</v>
      </c>
      <c r="H64" t="s">
        <v>387</v>
      </c>
      <c r="J64" s="583">
        <v>0</v>
      </c>
      <c r="K64" s="583">
        <v>363</v>
      </c>
      <c r="L64" s="565">
        <f t="shared" si="0"/>
        <v>363</v>
      </c>
      <c r="M64" s="179">
        <v>45723</v>
      </c>
      <c r="N64" s="179">
        <v>45723</v>
      </c>
      <c r="O64" s="565">
        <v>363</v>
      </c>
      <c r="P64" s="565">
        <f t="shared" si="1"/>
        <v>0</v>
      </c>
      <c r="Q64" s="565"/>
      <c r="R64" s="565"/>
      <c r="S64" s="565"/>
      <c r="T64" s="565"/>
      <c r="U64" s="565"/>
      <c r="V64" s="565"/>
      <c r="W64" s="565"/>
      <c r="X64" s="565"/>
      <c r="Y64" t="str">
        <f t="shared" ca="1" si="2"/>
        <v>PAGO</v>
      </c>
      <c r="AA64" t="s">
        <v>13</v>
      </c>
    </row>
    <row r="65" spans="1:27" x14ac:dyDescent="0.3">
      <c r="A65" t="s">
        <v>215</v>
      </c>
      <c r="B65" s="562">
        <v>2025</v>
      </c>
      <c r="C65" t="s">
        <v>248</v>
      </c>
      <c r="D65">
        <v>16728</v>
      </c>
      <c r="F65" s="179">
        <v>45688</v>
      </c>
      <c r="G65" t="s">
        <v>236</v>
      </c>
      <c r="H65" t="s">
        <v>387</v>
      </c>
      <c r="J65" s="583">
        <v>0</v>
      </c>
      <c r="K65" s="583">
        <v>363</v>
      </c>
      <c r="L65" s="565">
        <f t="shared" si="0"/>
        <v>363</v>
      </c>
      <c r="M65" s="179">
        <v>45730</v>
      </c>
      <c r="N65" s="179">
        <v>45730</v>
      </c>
      <c r="O65" s="565">
        <v>363</v>
      </c>
      <c r="P65" s="565">
        <f t="shared" si="1"/>
        <v>0</v>
      </c>
      <c r="Q65" s="565"/>
      <c r="R65" s="565"/>
      <c r="S65" s="565"/>
      <c r="T65" s="565"/>
      <c r="U65" s="565"/>
      <c r="V65" s="565"/>
      <c r="W65" s="565"/>
      <c r="X65" s="565"/>
      <c r="Y65" t="str">
        <f t="shared" ca="1" si="2"/>
        <v>PAGO</v>
      </c>
      <c r="AA65" t="s">
        <v>13</v>
      </c>
    </row>
    <row r="66" spans="1:27" x14ac:dyDescent="0.3">
      <c r="A66" t="s">
        <v>215</v>
      </c>
      <c r="B66" s="562">
        <v>2025</v>
      </c>
      <c r="C66" t="s">
        <v>248</v>
      </c>
      <c r="D66">
        <v>16511</v>
      </c>
      <c r="F66" s="179">
        <v>45672</v>
      </c>
      <c r="G66" t="s">
        <v>390</v>
      </c>
      <c r="H66" t="s">
        <v>90</v>
      </c>
      <c r="J66" s="583">
        <v>0</v>
      </c>
      <c r="K66" s="583">
        <v>389.8</v>
      </c>
      <c r="L66" s="565">
        <f t="shared" si="0"/>
        <v>389.8</v>
      </c>
      <c r="M66" s="179">
        <v>45679</v>
      </c>
      <c r="N66" s="179">
        <v>45698</v>
      </c>
      <c r="O66" s="565">
        <v>389.8</v>
      </c>
      <c r="P66" s="565">
        <f t="shared" si="1"/>
        <v>0</v>
      </c>
      <c r="Q66" s="565"/>
      <c r="R66" s="565"/>
      <c r="S66" s="565"/>
      <c r="T66" s="565"/>
      <c r="U66" s="565"/>
      <c r="V66" s="565"/>
      <c r="W66" s="565"/>
      <c r="X66" s="565"/>
      <c r="Y66" t="str">
        <f t="shared" ca="1" si="2"/>
        <v>PAGO</v>
      </c>
      <c r="AA66" t="s">
        <v>13</v>
      </c>
    </row>
    <row r="67" spans="1:27" x14ac:dyDescent="0.3">
      <c r="A67" t="s">
        <v>215</v>
      </c>
      <c r="B67" s="562">
        <v>2025</v>
      </c>
      <c r="C67" t="s">
        <v>248</v>
      </c>
      <c r="D67">
        <v>16511</v>
      </c>
      <c r="F67" s="179">
        <v>45672</v>
      </c>
      <c r="G67" t="s">
        <v>390</v>
      </c>
      <c r="H67" t="s">
        <v>90</v>
      </c>
      <c r="J67" s="583">
        <v>0</v>
      </c>
      <c r="K67" s="583">
        <v>386</v>
      </c>
      <c r="L67" s="565">
        <f t="shared" ref="L67:L130" si="3">J67+K67</f>
        <v>386</v>
      </c>
      <c r="M67" s="179">
        <v>45686</v>
      </c>
      <c r="N67" s="179">
        <v>45698</v>
      </c>
      <c r="O67" s="565">
        <v>386</v>
      </c>
      <c r="P67" s="565">
        <f t="shared" ref="P67:P130" si="4">L67-O67</f>
        <v>0</v>
      </c>
      <c r="Q67" s="565"/>
      <c r="R67" s="565"/>
      <c r="S67" s="565"/>
      <c r="T67" s="565"/>
      <c r="U67" s="565"/>
      <c r="V67" s="565"/>
      <c r="W67" s="565"/>
      <c r="X67" s="565"/>
      <c r="Y67" t="str">
        <f t="shared" ref="Y67:Y130" ca="1" si="5">IF(L67=0,"SEM VALOR",IF(P67&lt;=0.01,"PAGO",IF(M67="","SEM VENCIMENTO",IF(M67&lt;TODAY(),"VENCIDO","A VENCER"))))</f>
        <v>PAGO</v>
      </c>
      <c r="AA67" t="s">
        <v>13</v>
      </c>
    </row>
    <row r="68" spans="1:27" x14ac:dyDescent="0.3">
      <c r="A68" t="s">
        <v>215</v>
      </c>
      <c r="B68" s="562">
        <v>2025</v>
      </c>
      <c r="C68" t="s">
        <v>248</v>
      </c>
      <c r="D68">
        <v>16511</v>
      </c>
      <c r="F68" s="179">
        <v>45672</v>
      </c>
      <c r="G68" t="s">
        <v>390</v>
      </c>
      <c r="H68" t="s">
        <v>90</v>
      </c>
      <c r="J68" s="583">
        <v>0</v>
      </c>
      <c r="K68" s="583">
        <v>386</v>
      </c>
      <c r="L68" s="565">
        <f t="shared" si="3"/>
        <v>386</v>
      </c>
      <c r="M68" s="179">
        <v>45693</v>
      </c>
      <c r="N68" s="179">
        <v>45698</v>
      </c>
      <c r="O68" s="565">
        <v>386</v>
      </c>
      <c r="P68" s="565">
        <f t="shared" si="4"/>
        <v>0</v>
      </c>
      <c r="Q68" s="565"/>
      <c r="R68" s="565"/>
      <c r="S68" s="565"/>
      <c r="T68" s="565"/>
      <c r="U68" s="565"/>
      <c r="V68" s="565"/>
      <c r="W68" s="565"/>
      <c r="X68" s="565"/>
      <c r="Y68" t="str">
        <f t="shared" ca="1" si="5"/>
        <v>PAGO</v>
      </c>
      <c r="AA68" t="s">
        <v>13</v>
      </c>
    </row>
    <row r="69" spans="1:27" x14ac:dyDescent="0.3">
      <c r="A69" t="s">
        <v>215</v>
      </c>
      <c r="B69" s="562">
        <v>2025</v>
      </c>
      <c r="C69" t="s">
        <v>248</v>
      </c>
      <c r="D69">
        <v>16511</v>
      </c>
      <c r="F69" s="179">
        <v>45672</v>
      </c>
      <c r="G69" t="s">
        <v>390</v>
      </c>
      <c r="H69" t="s">
        <v>90</v>
      </c>
      <c r="J69" s="583">
        <v>0</v>
      </c>
      <c r="K69" s="583">
        <v>386</v>
      </c>
      <c r="L69" s="565">
        <f t="shared" si="3"/>
        <v>386</v>
      </c>
      <c r="M69" s="179">
        <v>45700</v>
      </c>
      <c r="N69" s="179">
        <v>45699</v>
      </c>
      <c r="O69" s="565">
        <v>386</v>
      </c>
      <c r="P69" s="565">
        <f t="shared" si="4"/>
        <v>0</v>
      </c>
      <c r="Q69" s="565"/>
      <c r="R69" s="565"/>
      <c r="S69" s="565"/>
      <c r="T69" s="565"/>
      <c r="U69" s="565"/>
      <c r="V69" s="565"/>
      <c r="W69" s="565"/>
      <c r="X69" s="565"/>
      <c r="Y69" t="str">
        <f t="shared" ca="1" si="5"/>
        <v>PAGO</v>
      </c>
      <c r="AA69" t="s">
        <v>13</v>
      </c>
    </row>
    <row r="70" spans="1:27" x14ac:dyDescent="0.3">
      <c r="A70" t="s">
        <v>215</v>
      </c>
      <c r="B70" s="562">
        <v>2025</v>
      </c>
      <c r="C70" t="s">
        <v>248</v>
      </c>
      <c r="D70">
        <v>16511</v>
      </c>
      <c r="F70" s="179">
        <v>45672</v>
      </c>
      <c r="G70" t="s">
        <v>390</v>
      </c>
      <c r="H70" t="s">
        <v>90</v>
      </c>
      <c r="J70" s="583">
        <v>0</v>
      </c>
      <c r="K70" s="583">
        <v>386</v>
      </c>
      <c r="L70" s="565">
        <f t="shared" si="3"/>
        <v>386</v>
      </c>
      <c r="M70" s="179">
        <v>45707</v>
      </c>
      <c r="N70" s="179">
        <v>45707</v>
      </c>
      <c r="O70" s="565">
        <v>386</v>
      </c>
      <c r="P70" s="565">
        <f t="shared" si="4"/>
        <v>0</v>
      </c>
      <c r="Q70" s="565"/>
      <c r="R70" s="565"/>
      <c r="S70" s="565"/>
      <c r="T70" s="565"/>
      <c r="U70" s="565"/>
      <c r="V70" s="565"/>
      <c r="W70" s="565"/>
      <c r="X70" s="565"/>
      <c r="Y70" t="str">
        <f t="shared" ca="1" si="5"/>
        <v>PAGO</v>
      </c>
      <c r="AA70" t="s">
        <v>13</v>
      </c>
    </row>
    <row r="71" spans="1:27" x14ac:dyDescent="0.3">
      <c r="A71" t="s">
        <v>210</v>
      </c>
      <c r="B71" s="562">
        <v>2025</v>
      </c>
      <c r="C71" t="s">
        <v>248</v>
      </c>
      <c r="D71">
        <v>16787</v>
      </c>
      <c r="F71" s="179">
        <v>45693</v>
      </c>
      <c r="G71" t="s">
        <v>236</v>
      </c>
      <c r="H71" t="s">
        <v>92</v>
      </c>
      <c r="J71" s="583">
        <v>0</v>
      </c>
      <c r="K71" s="583">
        <v>1075.77</v>
      </c>
      <c r="L71" s="565">
        <f t="shared" si="3"/>
        <v>1075.77</v>
      </c>
      <c r="M71" s="179">
        <v>45721</v>
      </c>
      <c r="N71" s="179">
        <v>45722</v>
      </c>
      <c r="O71" s="565">
        <v>1075.77</v>
      </c>
      <c r="P71" s="565">
        <f t="shared" si="4"/>
        <v>0</v>
      </c>
      <c r="Q71" s="565"/>
      <c r="R71" s="565"/>
      <c r="S71" s="565"/>
      <c r="T71" s="565"/>
      <c r="U71" s="565"/>
      <c r="V71" s="565"/>
      <c r="W71" s="565"/>
      <c r="X71" s="565"/>
      <c r="Y71" t="str">
        <f t="shared" ca="1" si="5"/>
        <v>PAGO</v>
      </c>
      <c r="AA71" t="s">
        <v>14</v>
      </c>
    </row>
    <row r="72" spans="1:27" x14ac:dyDescent="0.3">
      <c r="A72" t="s">
        <v>210</v>
      </c>
      <c r="B72" s="562">
        <v>2025</v>
      </c>
      <c r="C72" t="s">
        <v>248</v>
      </c>
      <c r="D72">
        <v>16787</v>
      </c>
      <c r="F72" s="179">
        <v>45693</v>
      </c>
      <c r="G72" t="s">
        <v>236</v>
      </c>
      <c r="H72" t="s">
        <v>92</v>
      </c>
      <c r="J72" s="583">
        <v>0</v>
      </c>
      <c r="K72" s="583">
        <v>1075</v>
      </c>
      <c r="L72" s="565">
        <f t="shared" si="3"/>
        <v>1075</v>
      </c>
      <c r="M72" s="179">
        <v>45728</v>
      </c>
      <c r="N72" s="179">
        <v>45728</v>
      </c>
      <c r="O72" s="565">
        <v>1075</v>
      </c>
      <c r="P72" s="565">
        <f t="shared" si="4"/>
        <v>0</v>
      </c>
      <c r="Q72" s="565"/>
      <c r="R72" s="565"/>
      <c r="S72" s="565"/>
      <c r="T72" s="565"/>
      <c r="U72" s="565"/>
      <c r="V72" s="565"/>
      <c r="W72" s="565"/>
      <c r="X72" s="565"/>
      <c r="Y72" t="str">
        <f t="shared" ca="1" si="5"/>
        <v>PAGO</v>
      </c>
      <c r="AA72" t="s">
        <v>14</v>
      </c>
    </row>
    <row r="73" spans="1:27" x14ac:dyDescent="0.3">
      <c r="A73" t="s">
        <v>210</v>
      </c>
      <c r="B73" s="562">
        <v>2025</v>
      </c>
      <c r="C73" t="s">
        <v>248</v>
      </c>
      <c r="D73">
        <v>16787</v>
      </c>
      <c r="F73" s="179">
        <v>45693</v>
      </c>
      <c r="G73" t="s">
        <v>236</v>
      </c>
      <c r="H73" t="s">
        <v>92</v>
      </c>
      <c r="J73" s="583">
        <v>0</v>
      </c>
      <c r="K73" s="583">
        <v>1075</v>
      </c>
      <c r="L73" s="565">
        <f t="shared" si="3"/>
        <v>1075</v>
      </c>
      <c r="M73" s="179">
        <v>45735</v>
      </c>
      <c r="N73" s="179">
        <v>45735</v>
      </c>
      <c r="O73" s="565">
        <v>1075</v>
      </c>
      <c r="P73" s="565">
        <f t="shared" si="4"/>
        <v>0</v>
      </c>
      <c r="Q73" s="565"/>
      <c r="R73" s="565"/>
      <c r="S73" s="565"/>
      <c r="T73" s="565"/>
      <c r="U73" s="565"/>
      <c r="V73" s="565"/>
      <c r="W73" s="565"/>
      <c r="X73" s="565"/>
      <c r="Y73" t="str">
        <f t="shared" ca="1" si="5"/>
        <v>PAGO</v>
      </c>
      <c r="AA73" t="s">
        <v>14</v>
      </c>
    </row>
    <row r="74" spans="1:27" x14ac:dyDescent="0.3">
      <c r="A74" t="s">
        <v>210</v>
      </c>
      <c r="B74" s="562">
        <v>2025</v>
      </c>
      <c r="C74" t="s">
        <v>248</v>
      </c>
      <c r="D74">
        <v>16796</v>
      </c>
      <c r="F74" s="179">
        <v>45693</v>
      </c>
      <c r="G74" t="s">
        <v>236</v>
      </c>
      <c r="H74" t="s">
        <v>37</v>
      </c>
      <c r="J74" s="583">
        <v>0</v>
      </c>
      <c r="K74" s="583">
        <v>1033.3599999999999</v>
      </c>
      <c r="L74" s="565">
        <f t="shared" si="3"/>
        <v>1033.3599999999999</v>
      </c>
      <c r="M74" s="179">
        <v>45721</v>
      </c>
      <c r="N74" s="179">
        <v>45721</v>
      </c>
      <c r="O74" s="565">
        <v>1033.3599999999999</v>
      </c>
      <c r="P74" s="565">
        <f t="shared" si="4"/>
        <v>0</v>
      </c>
      <c r="Q74" s="565"/>
      <c r="R74" s="565"/>
      <c r="S74" s="565"/>
      <c r="T74" s="565"/>
      <c r="U74" s="565"/>
      <c r="V74" s="565"/>
      <c r="W74" s="565"/>
      <c r="X74" s="565"/>
      <c r="Y74" t="str">
        <f t="shared" ca="1" si="5"/>
        <v>PAGO</v>
      </c>
      <c r="AA74" t="s">
        <v>14</v>
      </c>
    </row>
    <row r="75" spans="1:27" x14ac:dyDescent="0.3">
      <c r="A75" t="s">
        <v>210</v>
      </c>
      <c r="B75" s="562">
        <v>2025</v>
      </c>
      <c r="C75" t="s">
        <v>248</v>
      </c>
      <c r="D75">
        <v>16796</v>
      </c>
      <c r="F75" s="179">
        <v>45693</v>
      </c>
      <c r="G75" t="s">
        <v>236</v>
      </c>
      <c r="H75" t="s">
        <v>37</v>
      </c>
      <c r="J75" s="583">
        <v>0</v>
      </c>
      <c r="K75" s="583">
        <v>1031</v>
      </c>
      <c r="L75" s="565">
        <f t="shared" si="3"/>
        <v>1031</v>
      </c>
      <c r="M75" s="179">
        <v>45728</v>
      </c>
      <c r="N75" s="179">
        <v>45728</v>
      </c>
      <c r="O75" s="565">
        <v>1031</v>
      </c>
      <c r="P75" s="565">
        <f t="shared" si="4"/>
        <v>0</v>
      </c>
      <c r="Q75" s="565"/>
      <c r="R75" s="565"/>
      <c r="S75" s="565"/>
      <c r="T75" s="565"/>
      <c r="U75" s="565"/>
      <c r="V75" s="565"/>
      <c r="W75" s="565"/>
      <c r="X75" s="565"/>
      <c r="Y75" t="str">
        <f t="shared" ca="1" si="5"/>
        <v>PAGO</v>
      </c>
      <c r="AA75" t="s">
        <v>14</v>
      </c>
    </row>
    <row r="76" spans="1:27" x14ac:dyDescent="0.3">
      <c r="A76" t="s">
        <v>210</v>
      </c>
      <c r="B76" s="562">
        <v>2025</v>
      </c>
      <c r="C76" t="s">
        <v>248</v>
      </c>
      <c r="D76">
        <v>16796</v>
      </c>
      <c r="F76" s="179">
        <v>45693</v>
      </c>
      <c r="G76" t="s">
        <v>236</v>
      </c>
      <c r="H76" t="s">
        <v>37</v>
      </c>
      <c r="J76" s="583">
        <v>0</v>
      </c>
      <c r="K76" s="583">
        <v>1031</v>
      </c>
      <c r="L76" s="565">
        <f t="shared" si="3"/>
        <v>1031</v>
      </c>
      <c r="M76" s="179">
        <v>45735</v>
      </c>
      <c r="N76" s="179">
        <v>45735</v>
      </c>
      <c r="O76" s="565">
        <v>1031</v>
      </c>
      <c r="P76" s="565">
        <f t="shared" si="4"/>
        <v>0</v>
      </c>
      <c r="Q76" s="565"/>
      <c r="R76" s="565"/>
      <c r="S76" s="565"/>
      <c r="T76" s="565"/>
      <c r="U76" s="565"/>
      <c r="V76" s="565"/>
      <c r="W76" s="565"/>
      <c r="X76" s="565"/>
      <c r="Y76" t="str">
        <f t="shared" ca="1" si="5"/>
        <v>PAGO</v>
      </c>
      <c r="AA76" t="s">
        <v>14</v>
      </c>
    </row>
    <row r="77" spans="1:27" x14ac:dyDescent="0.3">
      <c r="A77" t="s">
        <v>210</v>
      </c>
      <c r="B77" s="562">
        <v>2025</v>
      </c>
      <c r="C77" t="s">
        <v>248</v>
      </c>
      <c r="D77">
        <v>16826</v>
      </c>
      <c r="F77" s="179">
        <v>45695</v>
      </c>
      <c r="G77" t="s">
        <v>236</v>
      </c>
      <c r="H77" t="s">
        <v>95</v>
      </c>
      <c r="J77" s="583">
        <v>0</v>
      </c>
      <c r="K77" s="583">
        <v>362.71</v>
      </c>
      <c r="L77" s="565">
        <f t="shared" si="3"/>
        <v>362.71</v>
      </c>
      <c r="M77" s="179">
        <v>45723</v>
      </c>
      <c r="N77" s="179">
        <v>45723</v>
      </c>
      <c r="O77" s="565">
        <v>362.71</v>
      </c>
      <c r="P77" s="565">
        <f t="shared" si="4"/>
        <v>0</v>
      </c>
      <c r="Q77" s="565"/>
      <c r="R77" s="565"/>
      <c r="S77" s="565"/>
      <c r="T77" s="565"/>
      <c r="U77" s="565"/>
      <c r="V77" s="565"/>
      <c r="W77" s="565"/>
      <c r="X77" s="565"/>
      <c r="Y77" t="str">
        <f t="shared" ca="1" si="5"/>
        <v>PAGO</v>
      </c>
      <c r="AA77" t="s">
        <v>14</v>
      </c>
    </row>
    <row r="78" spans="1:27" x14ac:dyDescent="0.3">
      <c r="A78" t="s">
        <v>210</v>
      </c>
      <c r="B78" s="562">
        <v>2025</v>
      </c>
      <c r="C78" t="s">
        <v>248</v>
      </c>
      <c r="D78">
        <v>16827</v>
      </c>
      <c r="F78" s="179">
        <v>45695</v>
      </c>
      <c r="G78" t="s">
        <v>236</v>
      </c>
      <c r="H78" t="s">
        <v>95</v>
      </c>
      <c r="J78" s="583">
        <v>0</v>
      </c>
      <c r="K78" s="583">
        <v>184.61</v>
      </c>
      <c r="L78" s="565">
        <f t="shared" si="3"/>
        <v>184.61</v>
      </c>
      <c r="M78" s="179">
        <v>45723</v>
      </c>
      <c r="N78" s="179">
        <v>45723</v>
      </c>
      <c r="O78" s="565">
        <v>184.61</v>
      </c>
      <c r="P78" s="565">
        <f t="shared" si="4"/>
        <v>0</v>
      </c>
      <c r="Q78" s="565"/>
      <c r="R78" s="565"/>
      <c r="S78" s="565"/>
      <c r="T78" s="565"/>
      <c r="U78" s="565"/>
      <c r="V78" s="565"/>
      <c r="W78" s="565"/>
      <c r="X78" s="565"/>
      <c r="Y78" t="str">
        <f t="shared" ca="1" si="5"/>
        <v>PAGO</v>
      </c>
      <c r="AA78" t="s">
        <v>14</v>
      </c>
    </row>
    <row r="79" spans="1:27" x14ac:dyDescent="0.3">
      <c r="A79" t="s">
        <v>210</v>
      </c>
      <c r="B79" s="562">
        <v>2025</v>
      </c>
      <c r="C79" t="s">
        <v>248</v>
      </c>
      <c r="D79">
        <v>16870</v>
      </c>
      <c r="F79" s="179">
        <v>45699</v>
      </c>
      <c r="G79" t="s">
        <v>236</v>
      </c>
      <c r="H79" t="s">
        <v>58</v>
      </c>
      <c r="J79" s="583">
        <v>0</v>
      </c>
      <c r="K79" s="583">
        <v>411.24</v>
      </c>
      <c r="L79" s="565">
        <f t="shared" si="3"/>
        <v>411.24</v>
      </c>
      <c r="M79" s="179">
        <v>45362</v>
      </c>
      <c r="N79" s="179">
        <v>45727</v>
      </c>
      <c r="O79" s="565">
        <v>411.24</v>
      </c>
      <c r="P79" s="565">
        <f t="shared" si="4"/>
        <v>0</v>
      </c>
      <c r="Q79" s="565"/>
      <c r="R79" s="565"/>
      <c r="S79" s="565"/>
      <c r="T79" s="565"/>
      <c r="U79" s="565"/>
      <c r="V79" s="565"/>
      <c r="W79" s="565"/>
      <c r="X79" s="565"/>
      <c r="Y79" t="str">
        <f t="shared" ca="1" si="5"/>
        <v>PAGO</v>
      </c>
      <c r="AA79" t="s">
        <v>14</v>
      </c>
    </row>
    <row r="80" spans="1:27" x14ac:dyDescent="0.3">
      <c r="A80" t="s">
        <v>210</v>
      </c>
      <c r="B80" s="562">
        <v>2025</v>
      </c>
      <c r="C80" t="s">
        <v>248</v>
      </c>
      <c r="D80">
        <v>16870</v>
      </c>
      <c r="F80" s="179">
        <v>45699</v>
      </c>
      <c r="G80" t="s">
        <v>236</v>
      </c>
      <c r="H80" t="s">
        <v>58</v>
      </c>
      <c r="J80" s="583">
        <v>0</v>
      </c>
      <c r="K80" s="583">
        <v>409</v>
      </c>
      <c r="L80" s="565">
        <f t="shared" si="3"/>
        <v>409</v>
      </c>
      <c r="M80" s="179">
        <v>45734</v>
      </c>
      <c r="N80" s="179">
        <v>45734</v>
      </c>
      <c r="O80" s="565">
        <v>409</v>
      </c>
      <c r="P80" s="565">
        <f t="shared" si="4"/>
        <v>0</v>
      </c>
      <c r="Q80" s="565"/>
      <c r="R80" s="565"/>
      <c r="S80" s="565"/>
      <c r="T80" s="565"/>
      <c r="U80" s="565"/>
      <c r="V80" s="565"/>
      <c r="W80" s="565"/>
      <c r="X80" s="565"/>
      <c r="Y80" t="str">
        <f t="shared" ca="1" si="5"/>
        <v>PAGO</v>
      </c>
      <c r="AA80" t="s">
        <v>14</v>
      </c>
    </row>
    <row r="81" spans="1:27" x14ac:dyDescent="0.3">
      <c r="A81" t="s">
        <v>210</v>
      </c>
      <c r="B81" s="562">
        <v>2025</v>
      </c>
      <c r="C81" t="s">
        <v>248</v>
      </c>
      <c r="D81">
        <v>16870</v>
      </c>
      <c r="F81" s="179">
        <v>45699</v>
      </c>
      <c r="G81" t="s">
        <v>236</v>
      </c>
      <c r="H81" t="s">
        <v>58</v>
      </c>
      <c r="J81" s="583">
        <v>0</v>
      </c>
      <c r="K81" s="583">
        <v>409</v>
      </c>
      <c r="L81" s="565">
        <f t="shared" si="3"/>
        <v>409</v>
      </c>
      <c r="M81" s="179">
        <v>45741</v>
      </c>
      <c r="N81" s="179">
        <v>45741</v>
      </c>
      <c r="O81" s="565">
        <v>409</v>
      </c>
      <c r="P81" s="565">
        <f t="shared" si="4"/>
        <v>0</v>
      </c>
      <c r="Q81" s="565"/>
      <c r="R81" s="565"/>
      <c r="S81" s="565"/>
      <c r="T81" s="565"/>
      <c r="U81" s="565"/>
      <c r="V81" s="565"/>
      <c r="W81" s="565"/>
      <c r="X81" s="565"/>
      <c r="Y81" t="str">
        <f t="shared" ca="1" si="5"/>
        <v>PAGO</v>
      </c>
      <c r="AA81" t="s">
        <v>14</v>
      </c>
    </row>
    <row r="82" spans="1:27" x14ac:dyDescent="0.3">
      <c r="A82" t="s">
        <v>210</v>
      </c>
      <c r="B82" s="562">
        <v>2025</v>
      </c>
      <c r="C82" t="s">
        <v>248</v>
      </c>
      <c r="D82">
        <v>16876</v>
      </c>
      <c r="F82" s="179">
        <v>45699</v>
      </c>
      <c r="G82" t="s">
        <v>236</v>
      </c>
      <c r="H82" t="s">
        <v>92</v>
      </c>
      <c r="J82" s="583">
        <v>0</v>
      </c>
      <c r="K82" s="583">
        <v>984.1</v>
      </c>
      <c r="L82" s="565">
        <f t="shared" si="3"/>
        <v>984.1</v>
      </c>
      <c r="M82" s="179">
        <v>45362</v>
      </c>
      <c r="N82" s="179">
        <v>45727</v>
      </c>
      <c r="O82" s="565">
        <v>984.1</v>
      </c>
      <c r="P82" s="565">
        <f t="shared" si="4"/>
        <v>0</v>
      </c>
      <c r="Q82" s="565"/>
      <c r="R82" s="565"/>
      <c r="S82" s="565"/>
      <c r="T82" s="565"/>
      <c r="U82" s="565"/>
      <c r="V82" s="565"/>
      <c r="W82" s="565"/>
      <c r="X82" s="565"/>
      <c r="Y82" t="str">
        <f t="shared" ca="1" si="5"/>
        <v>PAGO</v>
      </c>
      <c r="AA82" t="s">
        <v>14</v>
      </c>
    </row>
    <row r="83" spans="1:27" x14ac:dyDescent="0.3">
      <c r="A83" t="s">
        <v>210</v>
      </c>
      <c r="B83" s="562">
        <v>2025</v>
      </c>
      <c r="C83" t="s">
        <v>248</v>
      </c>
      <c r="D83">
        <v>16876</v>
      </c>
      <c r="F83" s="179">
        <v>45699</v>
      </c>
      <c r="G83" t="s">
        <v>236</v>
      </c>
      <c r="H83" t="s">
        <v>92</v>
      </c>
      <c r="J83" s="583">
        <v>0</v>
      </c>
      <c r="K83" s="583">
        <v>983</v>
      </c>
      <c r="L83" s="565">
        <f t="shared" si="3"/>
        <v>983</v>
      </c>
      <c r="M83" s="179">
        <v>45734</v>
      </c>
      <c r="N83" s="179">
        <v>45734</v>
      </c>
      <c r="O83" s="565">
        <v>983</v>
      </c>
      <c r="P83" s="565">
        <f t="shared" si="4"/>
        <v>0</v>
      </c>
      <c r="Q83" s="565"/>
      <c r="R83" s="565"/>
      <c r="S83" s="565"/>
      <c r="T83" s="565"/>
      <c r="U83" s="565"/>
      <c r="V83" s="565"/>
      <c r="W83" s="565"/>
      <c r="X83" s="565"/>
      <c r="Y83" t="str">
        <f t="shared" ca="1" si="5"/>
        <v>PAGO</v>
      </c>
      <c r="AA83" t="s">
        <v>14</v>
      </c>
    </row>
    <row r="84" spans="1:27" x14ac:dyDescent="0.3">
      <c r="A84" t="s">
        <v>210</v>
      </c>
      <c r="B84" s="562">
        <v>2025</v>
      </c>
      <c r="C84" t="s">
        <v>248</v>
      </c>
      <c r="D84">
        <v>16876</v>
      </c>
      <c r="F84" s="179">
        <v>45699</v>
      </c>
      <c r="G84" t="s">
        <v>236</v>
      </c>
      <c r="H84" t="s">
        <v>92</v>
      </c>
      <c r="J84" s="583">
        <v>0</v>
      </c>
      <c r="K84" s="583">
        <v>983</v>
      </c>
      <c r="L84" s="565">
        <f t="shared" si="3"/>
        <v>983</v>
      </c>
      <c r="M84" s="179">
        <v>45741</v>
      </c>
      <c r="N84" s="179">
        <v>45741</v>
      </c>
      <c r="O84" s="565">
        <v>983</v>
      </c>
      <c r="P84" s="565">
        <f t="shared" si="4"/>
        <v>0</v>
      </c>
      <c r="Q84" s="565"/>
      <c r="R84" s="565"/>
      <c r="S84" s="565"/>
      <c r="T84" s="565"/>
      <c r="U84" s="565"/>
      <c r="V84" s="565"/>
      <c r="W84" s="565"/>
      <c r="X84" s="565"/>
      <c r="Y84" t="str">
        <f t="shared" ca="1" si="5"/>
        <v>PAGO</v>
      </c>
      <c r="AA84" t="s">
        <v>14</v>
      </c>
    </row>
    <row r="85" spans="1:27" x14ac:dyDescent="0.3">
      <c r="A85" t="s">
        <v>210</v>
      </c>
      <c r="B85" s="562">
        <v>2025</v>
      </c>
      <c r="C85" t="s">
        <v>248</v>
      </c>
      <c r="D85">
        <v>16916</v>
      </c>
      <c r="F85" s="179">
        <v>45701</v>
      </c>
      <c r="G85" t="s">
        <v>236</v>
      </c>
      <c r="H85" t="s">
        <v>37</v>
      </c>
      <c r="J85" s="583">
        <v>0</v>
      </c>
      <c r="K85" s="583">
        <v>138</v>
      </c>
      <c r="L85" s="565">
        <f t="shared" si="3"/>
        <v>138</v>
      </c>
      <c r="M85" s="179">
        <v>45729</v>
      </c>
      <c r="N85" s="179">
        <v>45729</v>
      </c>
      <c r="O85" s="565">
        <v>138</v>
      </c>
      <c r="P85" s="565">
        <f t="shared" si="4"/>
        <v>0</v>
      </c>
      <c r="Q85" s="565"/>
      <c r="R85" s="565"/>
      <c r="S85" s="565"/>
      <c r="T85" s="565"/>
      <c r="U85" s="565"/>
      <c r="V85" s="565"/>
      <c r="W85" s="565"/>
      <c r="X85" s="565"/>
      <c r="Y85" t="str">
        <f t="shared" ca="1" si="5"/>
        <v>PAGO</v>
      </c>
      <c r="AA85" t="s">
        <v>14</v>
      </c>
    </row>
    <row r="86" spans="1:27" x14ac:dyDescent="0.3">
      <c r="A86" t="s">
        <v>210</v>
      </c>
      <c r="B86" s="562">
        <v>2025</v>
      </c>
      <c r="C86" t="s">
        <v>248</v>
      </c>
      <c r="D86">
        <v>16917</v>
      </c>
      <c r="F86" s="179">
        <v>45701</v>
      </c>
      <c r="G86" t="s">
        <v>236</v>
      </c>
      <c r="H86" t="s">
        <v>100</v>
      </c>
      <c r="J86" s="583">
        <v>0</v>
      </c>
      <c r="K86" s="583">
        <v>134.55000000000001</v>
      </c>
      <c r="L86" s="565">
        <f t="shared" si="3"/>
        <v>134.55000000000001</v>
      </c>
      <c r="M86" s="179">
        <v>45729</v>
      </c>
      <c r="N86" s="179">
        <v>45729</v>
      </c>
      <c r="O86" s="565">
        <v>134.55000000000001</v>
      </c>
      <c r="P86" s="565">
        <f t="shared" si="4"/>
        <v>0</v>
      </c>
      <c r="Q86" s="565"/>
      <c r="R86" s="565"/>
      <c r="S86" s="565"/>
      <c r="T86" s="565"/>
      <c r="U86" s="565"/>
      <c r="V86" s="565"/>
      <c r="W86" s="565"/>
      <c r="X86" s="565"/>
      <c r="Y86" t="str">
        <f t="shared" ca="1" si="5"/>
        <v>PAGO</v>
      </c>
      <c r="AA86" t="s">
        <v>14</v>
      </c>
    </row>
    <row r="87" spans="1:27" x14ac:dyDescent="0.3">
      <c r="A87" t="s">
        <v>210</v>
      </c>
      <c r="B87" s="562">
        <v>2025</v>
      </c>
      <c r="C87" t="s">
        <v>248</v>
      </c>
      <c r="D87">
        <v>16943</v>
      </c>
      <c r="F87" s="179">
        <v>45702</v>
      </c>
      <c r="G87" t="s">
        <v>236</v>
      </c>
      <c r="H87" t="s">
        <v>104</v>
      </c>
      <c r="J87" s="583">
        <v>0</v>
      </c>
      <c r="K87" s="583">
        <v>583.42999999999995</v>
      </c>
      <c r="L87" s="565">
        <f t="shared" si="3"/>
        <v>583.42999999999995</v>
      </c>
      <c r="M87" s="179">
        <v>45730</v>
      </c>
      <c r="N87" s="179">
        <v>45730</v>
      </c>
      <c r="O87" s="565">
        <v>583.42999999999995</v>
      </c>
      <c r="P87" s="565">
        <f t="shared" si="4"/>
        <v>0</v>
      </c>
      <c r="Q87" s="565"/>
      <c r="R87" s="565"/>
      <c r="S87" s="565"/>
      <c r="T87" s="565"/>
      <c r="U87" s="565"/>
      <c r="V87" s="565"/>
      <c r="W87" s="565"/>
      <c r="X87" s="565"/>
      <c r="Y87" t="str">
        <f t="shared" ca="1" si="5"/>
        <v>PAGO</v>
      </c>
      <c r="AA87" t="s">
        <v>14</v>
      </c>
    </row>
    <row r="88" spans="1:27" x14ac:dyDescent="0.3">
      <c r="A88" t="s">
        <v>210</v>
      </c>
      <c r="B88" s="562">
        <v>2025</v>
      </c>
      <c r="C88" t="s">
        <v>248</v>
      </c>
      <c r="D88">
        <v>16943</v>
      </c>
      <c r="F88" s="179">
        <v>45702</v>
      </c>
      <c r="G88" t="s">
        <v>236</v>
      </c>
      <c r="H88" t="s">
        <v>104</v>
      </c>
      <c r="J88" s="583">
        <v>0</v>
      </c>
      <c r="K88" s="583">
        <v>582</v>
      </c>
      <c r="L88" s="565">
        <f t="shared" si="3"/>
        <v>582</v>
      </c>
      <c r="M88" s="179">
        <v>45737</v>
      </c>
      <c r="N88" s="179">
        <v>45735</v>
      </c>
      <c r="O88" s="565">
        <v>582</v>
      </c>
      <c r="P88" s="565">
        <f t="shared" si="4"/>
        <v>0</v>
      </c>
      <c r="Q88" s="565"/>
      <c r="R88" s="565"/>
      <c r="S88" s="565"/>
      <c r="T88" s="565"/>
      <c r="U88" s="565"/>
      <c r="V88" s="565"/>
      <c r="W88" s="565"/>
      <c r="X88" s="565"/>
      <c r="Y88" t="str">
        <f t="shared" ca="1" si="5"/>
        <v>PAGO</v>
      </c>
      <c r="AA88" t="s">
        <v>14</v>
      </c>
    </row>
    <row r="89" spans="1:27" x14ac:dyDescent="0.3">
      <c r="A89" t="s">
        <v>210</v>
      </c>
      <c r="B89" s="562">
        <v>2025</v>
      </c>
      <c r="C89" t="s">
        <v>248</v>
      </c>
      <c r="D89">
        <v>16943</v>
      </c>
      <c r="F89" s="179">
        <v>45702</v>
      </c>
      <c r="G89" t="s">
        <v>236</v>
      </c>
      <c r="H89" t="s">
        <v>104</v>
      </c>
      <c r="J89" s="583">
        <v>0</v>
      </c>
      <c r="K89" s="583">
        <v>582</v>
      </c>
      <c r="L89" s="565">
        <f t="shared" si="3"/>
        <v>582</v>
      </c>
      <c r="M89" s="179">
        <v>45744</v>
      </c>
      <c r="N89" s="179">
        <v>45744</v>
      </c>
      <c r="O89" s="565">
        <v>582</v>
      </c>
      <c r="P89" s="565">
        <f t="shared" si="4"/>
        <v>0</v>
      </c>
      <c r="Q89" s="565"/>
      <c r="R89" s="565"/>
      <c r="S89" s="565"/>
      <c r="T89" s="565"/>
      <c r="U89" s="565"/>
      <c r="V89" s="565"/>
      <c r="W89" s="565"/>
      <c r="X89" s="565"/>
      <c r="Y89" t="str">
        <f t="shared" ca="1" si="5"/>
        <v>PAGO</v>
      </c>
      <c r="AA89" t="s">
        <v>14</v>
      </c>
    </row>
    <row r="90" spans="1:27" x14ac:dyDescent="0.3">
      <c r="A90" t="s">
        <v>210</v>
      </c>
      <c r="B90" s="562">
        <v>2025</v>
      </c>
      <c r="C90" t="s">
        <v>248</v>
      </c>
      <c r="D90">
        <v>16969</v>
      </c>
      <c r="F90" s="179">
        <v>45340</v>
      </c>
      <c r="G90" t="s">
        <v>236</v>
      </c>
      <c r="H90" t="s">
        <v>37</v>
      </c>
      <c r="J90" s="583">
        <v>0</v>
      </c>
      <c r="K90" s="583">
        <v>410.38</v>
      </c>
      <c r="L90" s="565">
        <f t="shared" si="3"/>
        <v>410.38</v>
      </c>
      <c r="M90" s="179">
        <v>45734</v>
      </c>
      <c r="N90" s="179">
        <v>45734</v>
      </c>
      <c r="O90" s="565">
        <v>410.38</v>
      </c>
      <c r="P90" s="565">
        <f t="shared" si="4"/>
        <v>0</v>
      </c>
      <c r="Q90" s="565"/>
      <c r="R90" s="565"/>
      <c r="S90" s="565"/>
      <c r="T90" s="565"/>
      <c r="U90" s="565"/>
      <c r="V90" s="565"/>
      <c r="W90" s="565"/>
      <c r="X90" s="565"/>
      <c r="Y90" t="str">
        <f t="shared" ca="1" si="5"/>
        <v>PAGO</v>
      </c>
      <c r="AA90" t="s">
        <v>14</v>
      </c>
    </row>
    <row r="91" spans="1:27" x14ac:dyDescent="0.3">
      <c r="A91" t="s">
        <v>210</v>
      </c>
      <c r="B91" s="562">
        <v>2025</v>
      </c>
      <c r="C91" t="s">
        <v>248</v>
      </c>
      <c r="D91">
        <v>16969</v>
      </c>
      <c r="F91" s="179">
        <v>45340</v>
      </c>
      <c r="G91" t="s">
        <v>236</v>
      </c>
      <c r="H91" t="s">
        <v>37</v>
      </c>
      <c r="J91" s="583">
        <v>0</v>
      </c>
      <c r="K91" s="583">
        <v>409</v>
      </c>
      <c r="L91" s="565">
        <f t="shared" si="3"/>
        <v>409</v>
      </c>
      <c r="M91" s="179">
        <v>45741</v>
      </c>
      <c r="N91" s="179">
        <v>45741</v>
      </c>
      <c r="O91" s="565">
        <v>409</v>
      </c>
      <c r="P91" s="565">
        <f t="shared" si="4"/>
        <v>0</v>
      </c>
      <c r="Q91" s="565"/>
      <c r="R91" s="565"/>
      <c r="S91" s="565"/>
      <c r="T91" s="565"/>
      <c r="U91" s="565"/>
      <c r="V91" s="565"/>
      <c r="W91" s="565"/>
      <c r="X91" s="565"/>
      <c r="Y91" t="str">
        <f t="shared" ca="1" si="5"/>
        <v>PAGO</v>
      </c>
      <c r="AA91" t="s">
        <v>14</v>
      </c>
    </row>
    <row r="92" spans="1:27" x14ac:dyDescent="0.3">
      <c r="A92" t="s">
        <v>210</v>
      </c>
      <c r="B92" s="562">
        <v>2025</v>
      </c>
      <c r="C92" t="s">
        <v>248</v>
      </c>
      <c r="D92">
        <v>17140</v>
      </c>
      <c r="F92" s="179">
        <v>45716</v>
      </c>
      <c r="G92" t="s">
        <v>236</v>
      </c>
      <c r="H92" t="s">
        <v>105</v>
      </c>
      <c r="J92" s="583">
        <v>0</v>
      </c>
      <c r="K92" s="583">
        <v>542.67999999999995</v>
      </c>
      <c r="L92" s="565">
        <f t="shared" si="3"/>
        <v>542.67999999999995</v>
      </c>
      <c r="M92" s="179">
        <v>45744</v>
      </c>
      <c r="N92" s="179">
        <v>45744</v>
      </c>
      <c r="O92" s="565">
        <v>542.67999999999995</v>
      </c>
      <c r="P92" s="565">
        <f t="shared" si="4"/>
        <v>0</v>
      </c>
      <c r="Q92" s="565"/>
      <c r="R92" s="565"/>
      <c r="S92" s="565"/>
      <c r="T92" s="565"/>
      <c r="U92" s="565"/>
      <c r="V92" s="565"/>
      <c r="W92" s="565"/>
      <c r="X92" s="565"/>
      <c r="Y92" t="str">
        <f t="shared" ca="1" si="5"/>
        <v>PAGO</v>
      </c>
      <c r="AA92" t="s">
        <v>14</v>
      </c>
    </row>
    <row r="93" spans="1:27" x14ac:dyDescent="0.3">
      <c r="A93" t="s">
        <v>210</v>
      </c>
      <c r="B93" s="562">
        <v>2025</v>
      </c>
      <c r="C93" t="s">
        <v>248</v>
      </c>
      <c r="D93">
        <v>17140</v>
      </c>
      <c r="F93" s="179">
        <v>45716</v>
      </c>
      <c r="G93" t="s">
        <v>236</v>
      </c>
      <c r="H93" t="s">
        <v>105</v>
      </c>
      <c r="J93" s="583">
        <v>0</v>
      </c>
      <c r="K93" s="583">
        <v>542</v>
      </c>
      <c r="L93" s="565">
        <f t="shared" si="3"/>
        <v>542</v>
      </c>
      <c r="M93" s="179">
        <v>45751</v>
      </c>
      <c r="N93" s="179">
        <v>45751</v>
      </c>
      <c r="O93" s="565">
        <v>542</v>
      </c>
      <c r="P93" s="565">
        <f t="shared" si="4"/>
        <v>0</v>
      </c>
      <c r="Q93" s="565"/>
      <c r="R93" s="565"/>
      <c r="S93" s="565"/>
      <c r="T93" s="565"/>
      <c r="U93" s="565"/>
      <c r="V93" s="565"/>
      <c r="W93" s="565"/>
      <c r="X93" s="565"/>
      <c r="Y93" t="str">
        <f t="shared" ca="1" si="5"/>
        <v>PAGO</v>
      </c>
      <c r="AA93" t="s">
        <v>14</v>
      </c>
    </row>
    <row r="94" spans="1:27" x14ac:dyDescent="0.3">
      <c r="A94" t="s">
        <v>210</v>
      </c>
      <c r="B94" s="562">
        <v>2025</v>
      </c>
      <c r="C94" t="s">
        <v>248</v>
      </c>
      <c r="D94">
        <v>17140</v>
      </c>
      <c r="F94" s="179">
        <v>45716</v>
      </c>
      <c r="G94" t="s">
        <v>236</v>
      </c>
      <c r="H94" t="s">
        <v>105</v>
      </c>
      <c r="J94" s="583">
        <v>0</v>
      </c>
      <c r="K94" s="583">
        <v>542</v>
      </c>
      <c r="L94" s="565">
        <f t="shared" si="3"/>
        <v>542</v>
      </c>
      <c r="M94" s="179">
        <v>45758</v>
      </c>
      <c r="N94" s="179">
        <v>45758</v>
      </c>
      <c r="O94" s="565">
        <v>542</v>
      </c>
      <c r="P94" s="565">
        <f t="shared" si="4"/>
        <v>0</v>
      </c>
      <c r="Q94" s="565"/>
      <c r="R94" s="565"/>
      <c r="S94" s="565"/>
      <c r="T94" s="565"/>
      <c r="U94" s="565"/>
      <c r="V94" s="565"/>
      <c r="W94" s="565"/>
      <c r="X94" s="565"/>
      <c r="Y94" t="str">
        <f t="shared" ca="1" si="5"/>
        <v>PAGO</v>
      </c>
      <c r="AA94" t="s">
        <v>14</v>
      </c>
    </row>
    <row r="95" spans="1:27" x14ac:dyDescent="0.3">
      <c r="A95" t="s">
        <v>216</v>
      </c>
      <c r="B95" s="562">
        <v>2025</v>
      </c>
      <c r="C95" t="s">
        <v>248</v>
      </c>
      <c r="D95">
        <v>17162</v>
      </c>
      <c r="F95" s="179">
        <v>45691</v>
      </c>
      <c r="G95" t="s">
        <v>236</v>
      </c>
      <c r="H95" t="s">
        <v>92</v>
      </c>
      <c r="J95" s="583">
        <v>0</v>
      </c>
      <c r="K95" s="583">
        <v>2359.9899999999998</v>
      </c>
      <c r="L95" s="565">
        <f t="shared" si="3"/>
        <v>2359.9899999999998</v>
      </c>
      <c r="M95" s="179">
        <v>45744</v>
      </c>
      <c r="N95" s="179">
        <v>45747</v>
      </c>
      <c r="O95" s="565">
        <v>2359.9899999999998</v>
      </c>
      <c r="P95" s="565">
        <f t="shared" si="4"/>
        <v>0</v>
      </c>
      <c r="Q95" s="565"/>
      <c r="R95" s="565"/>
      <c r="S95" s="565"/>
      <c r="T95" s="565"/>
      <c r="U95" s="565"/>
      <c r="V95" s="565"/>
      <c r="W95" s="565"/>
      <c r="X95" s="565"/>
      <c r="Y95" t="str">
        <f t="shared" ca="1" si="5"/>
        <v>PAGO</v>
      </c>
      <c r="AA95" t="s">
        <v>15</v>
      </c>
    </row>
    <row r="96" spans="1:27" x14ac:dyDescent="0.3">
      <c r="A96" t="s">
        <v>216</v>
      </c>
      <c r="B96" s="562">
        <v>2025</v>
      </c>
      <c r="C96" t="s">
        <v>248</v>
      </c>
      <c r="D96">
        <v>17162</v>
      </c>
      <c r="F96" s="179">
        <v>45691</v>
      </c>
      <c r="G96" t="s">
        <v>236</v>
      </c>
      <c r="H96" t="s">
        <v>92</v>
      </c>
      <c r="J96" s="583">
        <v>0</v>
      </c>
      <c r="K96" s="583">
        <v>2358</v>
      </c>
      <c r="L96" s="565">
        <f t="shared" si="3"/>
        <v>2358</v>
      </c>
      <c r="M96" s="179">
        <v>45751</v>
      </c>
      <c r="N96" s="179">
        <v>45757</v>
      </c>
      <c r="O96" s="565">
        <v>2358</v>
      </c>
      <c r="P96" s="565">
        <f t="shared" si="4"/>
        <v>0</v>
      </c>
      <c r="Q96" s="565"/>
      <c r="R96" s="565"/>
      <c r="S96" s="565"/>
      <c r="T96" s="565"/>
      <c r="U96" s="565"/>
      <c r="V96" s="565"/>
      <c r="W96" s="565"/>
      <c r="X96" s="565"/>
      <c r="Y96" t="str">
        <f t="shared" ca="1" si="5"/>
        <v>PAGO</v>
      </c>
      <c r="AA96" t="s">
        <v>15</v>
      </c>
    </row>
    <row r="97" spans="1:27" x14ac:dyDescent="0.3">
      <c r="A97" t="s">
        <v>216</v>
      </c>
      <c r="B97" s="562">
        <v>2025</v>
      </c>
      <c r="C97" t="s">
        <v>248</v>
      </c>
      <c r="D97">
        <v>17162</v>
      </c>
      <c r="F97" s="179">
        <v>45691</v>
      </c>
      <c r="G97" t="s">
        <v>236</v>
      </c>
      <c r="H97" t="s">
        <v>92</v>
      </c>
      <c r="J97" s="583">
        <v>0</v>
      </c>
      <c r="K97" s="583">
        <v>2358</v>
      </c>
      <c r="L97" s="565">
        <f t="shared" si="3"/>
        <v>2358</v>
      </c>
      <c r="M97" s="179">
        <v>45758</v>
      </c>
      <c r="N97" s="179">
        <v>45761</v>
      </c>
      <c r="O97" s="565">
        <v>2358</v>
      </c>
      <c r="P97" s="565">
        <f t="shared" si="4"/>
        <v>0</v>
      </c>
      <c r="Q97" s="565"/>
      <c r="R97" s="565"/>
      <c r="S97" s="565"/>
      <c r="T97" s="565"/>
      <c r="U97" s="565"/>
      <c r="V97" s="565"/>
      <c r="W97" s="565"/>
      <c r="X97" s="565"/>
      <c r="Y97" t="str">
        <f t="shared" ca="1" si="5"/>
        <v>PAGO</v>
      </c>
      <c r="AA97" t="s">
        <v>15</v>
      </c>
    </row>
    <row r="98" spans="1:27" x14ac:dyDescent="0.3">
      <c r="A98" t="s">
        <v>216</v>
      </c>
      <c r="B98" s="562">
        <v>2025</v>
      </c>
      <c r="C98" t="s">
        <v>248</v>
      </c>
      <c r="D98">
        <v>17174</v>
      </c>
      <c r="F98" s="179">
        <v>45720</v>
      </c>
      <c r="G98" t="s">
        <v>236</v>
      </c>
      <c r="H98" t="s">
        <v>120</v>
      </c>
      <c r="J98" s="583">
        <v>0</v>
      </c>
      <c r="K98" s="583">
        <v>361.31</v>
      </c>
      <c r="L98" s="565">
        <f t="shared" si="3"/>
        <v>361.31</v>
      </c>
      <c r="M98" s="179">
        <v>45748</v>
      </c>
      <c r="N98" s="179">
        <v>45748</v>
      </c>
      <c r="O98" s="565">
        <v>361.31</v>
      </c>
      <c r="P98" s="565">
        <f t="shared" si="4"/>
        <v>0</v>
      </c>
      <c r="Q98" s="565"/>
      <c r="R98" s="565"/>
      <c r="S98" s="565"/>
      <c r="T98" s="565"/>
      <c r="U98" s="565"/>
      <c r="V98" s="565"/>
      <c r="W98" s="565"/>
      <c r="X98" s="565"/>
      <c r="Y98" t="str">
        <f t="shared" ca="1" si="5"/>
        <v>PAGO</v>
      </c>
      <c r="AA98" t="s">
        <v>15</v>
      </c>
    </row>
    <row r="99" spans="1:27" x14ac:dyDescent="0.3">
      <c r="A99" t="s">
        <v>216</v>
      </c>
      <c r="B99" s="562">
        <v>2025</v>
      </c>
      <c r="C99" t="s">
        <v>248</v>
      </c>
      <c r="D99">
        <v>17174</v>
      </c>
      <c r="F99" s="179">
        <v>45720</v>
      </c>
      <c r="G99" t="s">
        <v>236</v>
      </c>
      <c r="H99" t="s">
        <v>120</v>
      </c>
      <c r="J99" s="583">
        <v>0</v>
      </c>
      <c r="K99" s="583">
        <v>361</v>
      </c>
      <c r="L99" s="565">
        <f t="shared" si="3"/>
        <v>361</v>
      </c>
      <c r="M99" s="179">
        <v>45755</v>
      </c>
      <c r="N99" s="179">
        <v>45757</v>
      </c>
      <c r="O99" s="565">
        <v>361</v>
      </c>
      <c r="P99" s="565">
        <f t="shared" si="4"/>
        <v>0</v>
      </c>
      <c r="Q99" s="565"/>
      <c r="R99" s="565"/>
      <c r="S99" s="565"/>
      <c r="T99" s="565"/>
      <c r="U99" s="565"/>
      <c r="V99" s="565"/>
      <c r="W99" s="565"/>
      <c r="X99" s="565"/>
      <c r="Y99" t="str">
        <f t="shared" ca="1" si="5"/>
        <v>PAGO</v>
      </c>
      <c r="AA99" t="s">
        <v>15</v>
      </c>
    </row>
    <row r="100" spans="1:27" x14ac:dyDescent="0.3">
      <c r="A100" t="s">
        <v>216</v>
      </c>
      <c r="B100" s="562">
        <v>2025</v>
      </c>
      <c r="C100" t="s">
        <v>248</v>
      </c>
      <c r="D100">
        <v>17174</v>
      </c>
      <c r="F100" s="179">
        <v>45720</v>
      </c>
      <c r="G100" t="s">
        <v>236</v>
      </c>
      <c r="H100" t="s">
        <v>120</v>
      </c>
      <c r="J100" s="583">
        <v>0</v>
      </c>
      <c r="K100" s="583">
        <v>361</v>
      </c>
      <c r="L100" s="565">
        <f t="shared" si="3"/>
        <v>361</v>
      </c>
      <c r="M100" s="179">
        <v>45762</v>
      </c>
      <c r="N100" s="179">
        <v>45762</v>
      </c>
      <c r="O100" s="565">
        <v>361</v>
      </c>
      <c r="P100" s="565">
        <f t="shared" si="4"/>
        <v>0</v>
      </c>
      <c r="Q100" s="565"/>
      <c r="R100" s="565"/>
      <c r="S100" s="565"/>
      <c r="T100" s="565"/>
      <c r="U100" s="565"/>
      <c r="V100" s="565"/>
      <c r="W100" s="565"/>
      <c r="X100" s="565"/>
      <c r="Y100" t="str">
        <f t="shared" ca="1" si="5"/>
        <v>PAGO</v>
      </c>
      <c r="AA100" t="s">
        <v>15</v>
      </c>
    </row>
    <row r="101" spans="1:27" x14ac:dyDescent="0.3">
      <c r="A101" t="s">
        <v>216</v>
      </c>
      <c r="B101" s="562">
        <v>2025</v>
      </c>
      <c r="C101" t="s">
        <v>248</v>
      </c>
      <c r="D101">
        <v>17212</v>
      </c>
      <c r="F101" s="179">
        <v>45723</v>
      </c>
      <c r="G101" t="s">
        <v>236</v>
      </c>
      <c r="H101" t="s">
        <v>112</v>
      </c>
      <c r="J101" s="583">
        <v>0</v>
      </c>
      <c r="K101" s="583">
        <v>689.53</v>
      </c>
      <c r="L101" s="565">
        <f t="shared" si="3"/>
        <v>689.53</v>
      </c>
      <c r="M101" s="179">
        <v>45751</v>
      </c>
      <c r="N101" s="179">
        <v>45751</v>
      </c>
      <c r="O101" s="565">
        <v>689.53</v>
      </c>
      <c r="P101" s="565">
        <f t="shared" si="4"/>
        <v>0</v>
      </c>
      <c r="Q101" s="565"/>
      <c r="R101" s="565"/>
      <c r="S101" s="565"/>
      <c r="T101" s="565"/>
      <c r="U101" s="565"/>
      <c r="V101" s="565"/>
      <c r="W101" s="565"/>
      <c r="X101" s="565"/>
      <c r="Y101" t="str">
        <f t="shared" ca="1" si="5"/>
        <v>PAGO</v>
      </c>
      <c r="AA101" t="s">
        <v>15</v>
      </c>
    </row>
    <row r="102" spans="1:27" x14ac:dyDescent="0.3">
      <c r="A102" t="s">
        <v>216</v>
      </c>
      <c r="B102" s="562">
        <v>2025</v>
      </c>
      <c r="C102" t="s">
        <v>248</v>
      </c>
      <c r="D102">
        <v>17212</v>
      </c>
      <c r="F102" s="179">
        <v>45723</v>
      </c>
      <c r="G102" t="s">
        <v>236</v>
      </c>
      <c r="H102" t="s">
        <v>112</v>
      </c>
      <c r="J102" s="583">
        <v>0</v>
      </c>
      <c r="K102" s="583">
        <v>688</v>
      </c>
      <c r="L102" s="565">
        <f t="shared" si="3"/>
        <v>688</v>
      </c>
      <c r="M102" s="179">
        <v>45758</v>
      </c>
      <c r="N102" s="179">
        <v>45758</v>
      </c>
      <c r="O102" s="565">
        <v>688</v>
      </c>
      <c r="P102" s="565">
        <f t="shared" si="4"/>
        <v>0</v>
      </c>
      <c r="Q102" s="565"/>
      <c r="R102" s="565"/>
      <c r="S102" s="565"/>
      <c r="T102" s="565"/>
      <c r="U102" s="565"/>
      <c r="V102" s="565"/>
      <c r="W102" s="565"/>
      <c r="X102" s="565"/>
      <c r="Y102" t="str">
        <f t="shared" ca="1" si="5"/>
        <v>PAGO</v>
      </c>
      <c r="AA102" t="s">
        <v>15</v>
      </c>
    </row>
    <row r="103" spans="1:27" x14ac:dyDescent="0.3">
      <c r="A103" t="s">
        <v>216</v>
      </c>
      <c r="B103" s="562">
        <v>2025</v>
      </c>
      <c r="C103" t="s">
        <v>248</v>
      </c>
      <c r="D103">
        <v>17212</v>
      </c>
      <c r="F103" s="179">
        <v>45723</v>
      </c>
      <c r="G103" t="s">
        <v>236</v>
      </c>
      <c r="H103" t="s">
        <v>112</v>
      </c>
      <c r="J103" s="583">
        <v>0</v>
      </c>
      <c r="K103" s="583">
        <v>688</v>
      </c>
      <c r="L103" s="565">
        <f t="shared" si="3"/>
        <v>688</v>
      </c>
      <c r="M103" s="179">
        <v>45765</v>
      </c>
      <c r="N103" s="179">
        <v>45764</v>
      </c>
      <c r="O103" s="565">
        <v>688</v>
      </c>
      <c r="P103" s="565">
        <f t="shared" si="4"/>
        <v>0</v>
      </c>
      <c r="Q103" s="565"/>
      <c r="R103" s="565"/>
      <c r="S103" s="565"/>
      <c r="T103" s="565"/>
      <c r="U103" s="565"/>
      <c r="V103" s="565"/>
      <c r="W103" s="565"/>
      <c r="X103" s="565"/>
      <c r="Y103" t="str">
        <f t="shared" ca="1" si="5"/>
        <v>PAGO</v>
      </c>
      <c r="AA103" t="s">
        <v>15</v>
      </c>
    </row>
    <row r="104" spans="1:27" x14ac:dyDescent="0.3">
      <c r="A104" t="s">
        <v>216</v>
      </c>
      <c r="B104" s="562">
        <v>2025</v>
      </c>
      <c r="C104" t="s">
        <v>248</v>
      </c>
      <c r="D104">
        <v>17213</v>
      </c>
      <c r="F104" s="179">
        <v>45723</v>
      </c>
      <c r="G104" t="s">
        <v>236</v>
      </c>
      <c r="H104" t="s">
        <v>112</v>
      </c>
      <c r="J104" s="583">
        <v>0</v>
      </c>
      <c r="K104" s="583">
        <v>730.69</v>
      </c>
      <c r="L104" s="565">
        <f t="shared" si="3"/>
        <v>730.69</v>
      </c>
      <c r="M104" s="179">
        <v>45751</v>
      </c>
      <c r="N104" s="179">
        <v>45751</v>
      </c>
      <c r="O104" s="565">
        <v>730.69</v>
      </c>
      <c r="P104" s="565">
        <f t="shared" si="4"/>
        <v>0</v>
      </c>
      <c r="Q104" s="565"/>
      <c r="R104" s="565"/>
      <c r="S104" s="565"/>
      <c r="T104" s="565"/>
      <c r="U104" s="565"/>
      <c r="V104" s="565"/>
      <c r="W104" s="565"/>
      <c r="X104" s="565"/>
      <c r="Y104" t="str">
        <f t="shared" ca="1" si="5"/>
        <v>PAGO</v>
      </c>
      <c r="AA104" t="s">
        <v>15</v>
      </c>
    </row>
    <row r="105" spans="1:27" x14ac:dyDescent="0.3">
      <c r="A105" t="s">
        <v>216</v>
      </c>
      <c r="B105" s="562">
        <v>2025</v>
      </c>
      <c r="C105" t="s">
        <v>248</v>
      </c>
      <c r="D105">
        <v>17213</v>
      </c>
      <c r="F105" s="179">
        <v>45723</v>
      </c>
      <c r="G105" t="s">
        <v>236</v>
      </c>
      <c r="H105" t="s">
        <v>112</v>
      </c>
      <c r="J105" s="583">
        <v>0</v>
      </c>
      <c r="K105" s="583">
        <v>729</v>
      </c>
      <c r="L105" s="565">
        <f t="shared" si="3"/>
        <v>729</v>
      </c>
      <c r="M105" s="179">
        <v>45758</v>
      </c>
      <c r="N105" s="179">
        <v>45758</v>
      </c>
      <c r="O105" s="565">
        <v>729</v>
      </c>
      <c r="P105" s="565">
        <f t="shared" si="4"/>
        <v>0</v>
      </c>
      <c r="Q105" s="565"/>
      <c r="R105" s="565"/>
      <c r="S105" s="565"/>
      <c r="T105" s="565"/>
      <c r="U105" s="565"/>
      <c r="V105" s="565"/>
      <c r="W105" s="565"/>
      <c r="X105" s="565"/>
      <c r="Y105" t="str">
        <f t="shared" ca="1" si="5"/>
        <v>PAGO</v>
      </c>
      <c r="AA105" t="s">
        <v>15</v>
      </c>
    </row>
    <row r="106" spans="1:27" x14ac:dyDescent="0.3">
      <c r="A106" t="s">
        <v>216</v>
      </c>
      <c r="B106" s="562">
        <v>2025</v>
      </c>
      <c r="C106" t="s">
        <v>248</v>
      </c>
      <c r="D106">
        <v>17213</v>
      </c>
      <c r="F106" s="179">
        <v>45723</v>
      </c>
      <c r="G106" t="s">
        <v>236</v>
      </c>
      <c r="H106" t="s">
        <v>112</v>
      </c>
      <c r="J106" s="583">
        <v>0</v>
      </c>
      <c r="K106" s="583">
        <v>729</v>
      </c>
      <c r="L106" s="565">
        <f t="shared" si="3"/>
        <v>729</v>
      </c>
      <c r="M106" s="179">
        <v>45765</v>
      </c>
      <c r="N106" s="179">
        <v>45764</v>
      </c>
      <c r="O106" s="565">
        <v>729</v>
      </c>
      <c r="P106" s="565">
        <f t="shared" si="4"/>
        <v>0</v>
      </c>
      <c r="Q106" s="565"/>
      <c r="R106" s="565"/>
      <c r="S106" s="565"/>
      <c r="T106" s="565"/>
      <c r="U106" s="565"/>
      <c r="V106" s="565"/>
      <c r="W106" s="565"/>
      <c r="X106" s="565"/>
      <c r="Y106" t="str">
        <f t="shared" ca="1" si="5"/>
        <v>PAGO</v>
      </c>
      <c r="AA106" t="s">
        <v>15</v>
      </c>
    </row>
    <row r="107" spans="1:27" x14ac:dyDescent="0.3">
      <c r="A107" t="s">
        <v>216</v>
      </c>
      <c r="B107" s="562">
        <v>2025</v>
      </c>
      <c r="C107" t="s">
        <v>248</v>
      </c>
      <c r="D107">
        <v>17283</v>
      </c>
      <c r="F107" s="179">
        <v>45729</v>
      </c>
      <c r="G107" t="s">
        <v>236</v>
      </c>
      <c r="H107" t="s">
        <v>391</v>
      </c>
      <c r="J107" s="583">
        <v>0</v>
      </c>
      <c r="K107" s="583">
        <v>1003.38</v>
      </c>
      <c r="L107" s="565">
        <f t="shared" si="3"/>
        <v>1003.38</v>
      </c>
      <c r="M107" s="179">
        <v>45757</v>
      </c>
      <c r="N107" s="179">
        <v>45757</v>
      </c>
      <c r="O107" s="565">
        <v>1003.38</v>
      </c>
      <c r="P107" s="565">
        <f t="shared" si="4"/>
        <v>0</v>
      </c>
      <c r="Q107" s="565"/>
      <c r="R107" s="565"/>
      <c r="S107" s="565"/>
      <c r="T107" s="565"/>
      <c r="U107" s="565"/>
      <c r="V107" s="565"/>
      <c r="W107" s="565"/>
      <c r="X107" s="565"/>
      <c r="Y107" t="str">
        <f t="shared" ca="1" si="5"/>
        <v>PAGO</v>
      </c>
      <c r="AA107" t="s">
        <v>15</v>
      </c>
    </row>
    <row r="108" spans="1:27" x14ac:dyDescent="0.3">
      <c r="A108" t="s">
        <v>216</v>
      </c>
      <c r="B108" s="562">
        <v>2025</v>
      </c>
      <c r="C108" t="s">
        <v>248</v>
      </c>
      <c r="D108">
        <v>17283</v>
      </c>
      <c r="F108" s="179">
        <v>45729</v>
      </c>
      <c r="G108" t="s">
        <v>236</v>
      </c>
      <c r="H108" t="s">
        <v>391</v>
      </c>
      <c r="J108" s="583">
        <v>0</v>
      </c>
      <c r="K108" s="583">
        <v>1002</v>
      </c>
      <c r="L108" s="565">
        <f t="shared" si="3"/>
        <v>1002</v>
      </c>
      <c r="M108" s="179">
        <v>45764</v>
      </c>
      <c r="N108" s="179">
        <v>45764</v>
      </c>
      <c r="O108" s="565">
        <v>1002</v>
      </c>
      <c r="P108" s="565">
        <f t="shared" si="4"/>
        <v>0</v>
      </c>
      <c r="Q108" s="565"/>
      <c r="R108" s="565"/>
      <c r="S108" s="565"/>
      <c r="T108" s="565"/>
      <c r="U108" s="565"/>
      <c r="V108" s="565"/>
      <c r="W108" s="565"/>
      <c r="X108" s="565"/>
      <c r="Y108" t="str">
        <f t="shared" ca="1" si="5"/>
        <v>PAGO</v>
      </c>
      <c r="AA108" t="s">
        <v>15</v>
      </c>
    </row>
    <row r="109" spans="1:27" x14ac:dyDescent="0.3">
      <c r="A109" t="s">
        <v>216</v>
      </c>
      <c r="B109" s="562">
        <v>2025</v>
      </c>
      <c r="C109" t="s">
        <v>248</v>
      </c>
      <c r="D109">
        <v>17283</v>
      </c>
      <c r="F109" s="179">
        <v>45729</v>
      </c>
      <c r="G109" t="s">
        <v>236</v>
      </c>
      <c r="H109" t="s">
        <v>391</v>
      </c>
      <c r="J109" s="583">
        <v>0</v>
      </c>
      <c r="K109" s="583">
        <v>1002</v>
      </c>
      <c r="L109" s="565">
        <f t="shared" si="3"/>
        <v>1002</v>
      </c>
      <c r="M109" s="179">
        <v>45771</v>
      </c>
      <c r="N109" s="179">
        <v>45771</v>
      </c>
      <c r="O109" s="565">
        <v>1002</v>
      </c>
      <c r="P109" s="565">
        <f t="shared" si="4"/>
        <v>0</v>
      </c>
      <c r="Q109" s="565"/>
      <c r="R109" s="565"/>
      <c r="S109" s="565"/>
      <c r="T109" s="565"/>
      <c r="U109" s="565"/>
      <c r="V109" s="565"/>
      <c r="W109" s="565"/>
      <c r="X109" s="565"/>
      <c r="Y109" t="str">
        <f t="shared" ca="1" si="5"/>
        <v>PAGO</v>
      </c>
      <c r="AA109" t="s">
        <v>15</v>
      </c>
    </row>
    <row r="110" spans="1:27" x14ac:dyDescent="0.3">
      <c r="A110" t="s">
        <v>216</v>
      </c>
      <c r="B110" s="562">
        <v>2025</v>
      </c>
      <c r="C110" t="s">
        <v>248</v>
      </c>
      <c r="D110">
        <v>17290</v>
      </c>
      <c r="F110" s="179">
        <v>45729</v>
      </c>
      <c r="G110" t="s">
        <v>236</v>
      </c>
      <c r="H110" t="s">
        <v>119</v>
      </c>
      <c r="J110" s="583">
        <v>0</v>
      </c>
      <c r="K110" s="583">
        <v>1071.97</v>
      </c>
      <c r="L110" s="565">
        <f t="shared" si="3"/>
        <v>1071.97</v>
      </c>
      <c r="M110" s="179">
        <v>45757</v>
      </c>
      <c r="N110" s="179">
        <v>45757</v>
      </c>
      <c r="O110" s="565">
        <v>1071.97</v>
      </c>
      <c r="P110" s="565">
        <f t="shared" si="4"/>
        <v>0</v>
      </c>
      <c r="Q110" s="565"/>
      <c r="R110" s="565"/>
      <c r="S110" s="565"/>
      <c r="T110" s="565"/>
      <c r="U110" s="565"/>
      <c r="V110" s="565"/>
      <c r="W110" s="565"/>
      <c r="X110" s="565"/>
      <c r="Y110" t="str">
        <f t="shared" ca="1" si="5"/>
        <v>PAGO</v>
      </c>
      <c r="AA110" t="s">
        <v>15</v>
      </c>
    </row>
    <row r="111" spans="1:27" x14ac:dyDescent="0.3">
      <c r="A111" t="s">
        <v>216</v>
      </c>
      <c r="B111" s="562">
        <v>2025</v>
      </c>
      <c r="C111" t="s">
        <v>248</v>
      </c>
      <c r="D111">
        <v>17290</v>
      </c>
      <c r="F111" s="179">
        <v>45729</v>
      </c>
      <c r="G111" t="s">
        <v>236</v>
      </c>
      <c r="H111" t="s">
        <v>119</v>
      </c>
      <c r="J111" s="583">
        <v>0</v>
      </c>
      <c r="K111" s="583">
        <v>1070</v>
      </c>
      <c r="L111" s="565">
        <f t="shared" si="3"/>
        <v>1070</v>
      </c>
      <c r="M111" s="179">
        <v>45764</v>
      </c>
      <c r="N111" s="179">
        <v>45764</v>
      </c>
      <c r="O111" s="565">
        <v>1070</v>
      </c>
      <c r="P111" s="565">
        <f t="shared" si="4"/>
        <v>0</v>
      </c>
      <c r="Q111" s="565"/>
      <c r="R111" s="565"/>
      <c r="S111" s="565"/>
      <c r="T111" s="565"/>
      <c r="U111" s="565"/>
      <c r="V111" s="565"/>
      <c r="W111" s="565"/>
      <c r="X111" s="565"/>
      <c r="Y111" t="str">
        <f t="shared" ca="1" si="5"/>
        <v>PAGO</v>
      </c>
      <c r="AA111" t="s">
        <v>15</v>
      </c>
    </row>
    <row r="112" spans="1:27" x14ac:dyDescent="0.3">
      <c r="A112" t="s">
        <v>216</v>
      </c>
      <c r="B112" s="562">
        <v>2025</v>
      </c>
      <c r="C112" t="s">
        <v>248</v>
      </c>
      <c r="D112">
        <v>17290</v>
      </c>
      <c r="F112" s="179">
        <v>45729</v>
      </c>
      <c r="G112" t="s">
        <v>236</v>
      </c>
      <c r="H112" t="s">
        <v>119</v>
      </c>
      <c r="J112" s="583">
        <v>0</v>
      </c>
      <c r="K112" s="583">
        <v>1070</v>
      </c>
      <c r="L112" s="565">
        <f t="shared" si="3"/>
        <v>1070</v>
      </c>
      <c r="M112" s="179">
        <v>45771</v>
      </c>
      <c r="N112" s="179">
        <v>45771</v>
      </c>
      <c r="O112" s="565">
        <v>1070</v>
      </c>
      <c r="P112" s="565">
        <f t="shared" si="4"/>
        <v>0</v>
      </c>
      <c r="Q112" s="565"/>
      <c r="R112" s="565"/>
      <c r="S112" s="565"/>
      <c r="T112" s="565"/>
      <c r="U112" s="565"/>
      <c r="V112" s="565"/>
      <c r="W112" s="565"/>
      <c r="X112" s="565"/>
      <c r="Y112" t="str">
        <f t="shared" ca="1" si="5"/>
        <v>PAGO</v>
      </c>
      <c r="AA112" t="s">
        <v>15</v>
      </c>
    </row>
    <row r="113" spans="1:27" x14ac:dyDescent="0.3">
      <c r="A113" t="s">
        <v>216</v>
      </c>
      <c r="B113" s="562">
        <v>2025</v>
      </c>
      <c r="C113" t="s">
        <v>248</v>
      </c>
      <c r="D113">
        <v>17312</v>
      </c>
      <c r="F113" s="179">
        <v>45730</v>
      </c>
      <c r="G113" t="s">
        <v>236</v>
      </c>
      <c r="H113" t="s">
        <v>95</v>
      </c>
      <c r="J113" s="583">
        <v>0</v>
      </c>
      <c r="K113" s="583">
        <v>183.68</v>
      </c>
      <c r="L113" s="565">
        <f t="shared" si="3"/>
        <v>183.68</v>
      </c>
      <c r="M113" s="179">
        <v>45758</v>
      </c>
      <c r="N113" s="179">
        <v>45758</v>
      </c>
      <c r="O113" s="565">
        <v>183.68</v>
      </c>
      <c r="P113" s="565">
        <f t="shared" si="4"/>
        <v>0</v>
      </c>
      <c r="Q113" s="565"/>
      <c r="R113" s="565"/>
      <c r="S113" s="565"/>
      <c r="T113" s="565"/>
      <c r="U113" s="565"/>
      <c r="V113" s="565"/>
      <c r="W113" s="565"/>
      <c r="X113" s="565"/>
      <c r="Y113" t="str">
        <f t="shared" ca="1" si="5"/>
        <v>PAGO</v>
      </c>
      <c r="AA113" t="s">
        <v>15</v>
      </c>
    </row>
    <row r="114" spans="1:27" x14ac:dyDescent="0.3">
      <c r="A114" t="s">
        <v>216</v>
      </c>
      <c r="B114" s="562">
        <v>2025</v>
      </c>
      <c r="C114" t="s">
        <v>248</v>
      </c>
      <c r="D114">
        <v>17313</v>
      </c>
      <c r="F114" s="179">
        <v>45730</v>
      </c>
      <c r="G114" t="s">
        <v>236</v>
      </c>
      <c r="H114" t="s">
        <v>95</v>
      </c>
      <c r="J114" s="583">
        <v>0</v>
      </c>
      <c r="K114" s="583">
        <v>406.95</v>
      </c>
      <c r="L114" s="565">
        <f t="shared" si="3"/>
        <v>406.95</v>
      </c>
      <c r="M114" s="179">
        <v>45758</v>
      </c>
      <c r="N114" s="179">
        <v>45758</v>
      </c>
      <c r="O114" s="565">
        <v>406.95</v>
      </c>
      <c r="P114" s="565">
        <f t="shared" si="4"/>
        <v>0</v>
      </c>
      <c r="Q114" s="565"/>
      <c r="R114" s="565"/>
      <c r="S114" s="565"/>
      <c r="T114" s="565"/>
      <c r="U114" s="565"/>
      <c r="V114" s="565"/>
      <c r="W114" s="565"/>
      <c r="X114" s="565"/>
      <c r="Y114" t="str">
        <f t="shared" ca="1" si="5"/>
        <v>PAGO</v>
      </c>
      <c r="AA114" t="s">
        <v>15</v>
      </c>
    </row>
    <row r="115" spans="1:27" x14ac:dyDescent="0.3">
      <c r="A115" t="s">
        <v>216</v>
      </c>
      <c r="B115" s="562">
        <v>2025</v>
      </c>
      <c r="C115" t="s">
        <v>248</v>
      </c>
      <c r="D115">
        <v>17313</v>
      </c>
      <c r="F115" s="179">
        <v>45730</v>
      </c>
      <c r="G115" t="s">
        <v>236</v>
      </c>
      <c r="H115" t="s">
        <v>95</v>
      </c>
      <c r="J115" s="583">
        <v>0</v>
      </c>
      <c r="K115" s="583">
        <v>405</v>
      </c>
      <c r="L115" s="565">
        <f t="shared" si="3"/>
        <v>405</v>
      </c>
      <c r="M115" s="179">
        <v>45765</v>
      </c>
      <c r="N115" s="179">
        <v>45764</v>
      </c>
      <c r="O115" s="565">
        <v>405</v>
      </c>
      <c r="P115" s="565">
        <f t="shared" si="4"/>
        <v>0</v>
      </c>
      <c r="Q115" s="565"/>
      <c r="R115" s="565"/>
      <c r="S115" s="565"/>
      <c r="T115" s="565"/>
      <c r="U115" s="565"/>
      <c r="V115" s="565"/>
      <c r="W115" s="565"/>
      <c r="X115" s="565"/>
      <c r="Y115" t="str">
        <f t="shared" ca="1" si="5"/>
        <v>PAGO</v>
      </c>
      <c r="AA115" t="s">
        <v>15</v>
      </c>
    </row>
    <row r="116" spans="1:27" x14ac:dyDescent="0.3">
      <c r="A116" t="s">
        <v>216</v>
      </c>
      <c r="B116" s="562">
        <v>2025</v>
      </c>
      <c r="C116" t="s">
        <v>248</v>
      </c>
      <c r="D116">
        <v>17344</v>
      </c>
      <c r="F116" s="179">
        <v>45735</v>
      </c>
      <c r="G116" t="s">
        <v>236</v>
      </c>
      <c r="H116" t="s">
        <v>120</v>
      </c>
      <c r="J116" s="583">
        <v>0</v>
      </c>
      <c r="K116" s="583">
        <v>362.76</v>
      </c>
      <c r="L116" s="565">
        <f t="shared" si="3"/>
        <v>362.76</v>
      </c>
      <c r="M116" s="179">
        <v>45763</v>
      </c>
      <c r="N116" s="179">
        <v>45762</v>
      </c>
      <c r="O116" s="565">
        <v>362.76</v>
      </c>
      <c r="P116" s="565">
        <f t="shared" si="4"/>
        <v>0</v>
      </c>
      <c r="Q116" s="565"/>
      <c r="R116" s="565"/>
      <c r="S116" s="565"/>
      <c r="T116" s="565"/>
      <c r="U116" s="565"/>
      <c r="V116" s="565"/>
      <c r="W116" s="565"/>
      <c r="X116" s="565"/>
      <c r="Y116" t="str">
        <f t="shared" ca="1" si="5"/>
        <v>PAGO</v>
      </c>
      <c r="AA116" t="s">
        <v>15</v>
      </c>
    </row>
    <row r="117" spans="1:27" x14ac:dyDescent="0.3">
      <c r="A117" t="s">
        <v>216</v>
      </c>
      <c r="B117" s="562">
        <v>2025</v>
      </c>
      <c r="C117" t="s">
        <v>248</v>
      </c>
      <c r="D117">
        <v>17344</v>
      </c>
      <c r="F117" s="179">
        <v>45735</v>
      </c>
      <c r="G117" t="s">
        <v>236</v>
      </c>
      <c r="H117" t="s">
        <v>120</v>
      </c>
      <c r="J117" s="583">
        <v>0</v>
      </c>
      <c r="K117" s="583">
        <v>362</v>
      </c>
      <c r="L117" s="565">
        <f t="shared" si="3"/>
        <v>362</v>
      </c>
      <c r="M117" s="179">
        <v>45770</v>
      </c>
      <c r="N117" s="179">
        <v>45770</v>
      </c>
      <c r="O117" s="565">
        <v>362</v>
      </c>
      <c r="P117" s="565">
        <f t="shared" si="4"/>
        <v>0</v>
      </c>
      <c r="Q117" s="565"/>
      <c r="R117" s="565"/>
      <c r="S117" s="565"/>
      <c r="T117" s="565"/>
      <c r="U117" s="565"/>
      <c r="V117" s="565"/>
      <c r="W117" s="565"/>
      <c r="X117" s="565"/>
      <c r="Y117" t="str">
        <f t="shared" ca="1" si="5"/>
        <v>PAGO</v>
      </c>
      <c r="AA117" t="s">
        <v>15</v>
      </c>
    </row>
    <row r="118" spans="1:27" x14ac:dyDescent="0.3">
      <c r="A118" t="s">
        <v>216</v>
      </c>
      <c r="B118" s="562">
        <v>2025</v>
      </c>
      <c r="C118" t="s">
        <v>248</v>
      </c>
      <c r="D118">
        <v>17344</v>
      </c>
      <c r="F118" s="179">
        <v>45735</v>
      </c>
      <c r="G118" t="s">
        <v>236</v>
      </c>
      <c r="H118" t="s">
        <v>120</v>
      </c>
      <c r="J118" s="583">
        <v>0</v>
      </c>
      <c r="K118" s="583">
        <v>362</v>
      </c>
      <c r="L118" s="565">
        <f t="shared" si="3"/>
        <v>362</v>
      </c>
      <c r="M118" s="179">
        <v>45777</v>
      </c>
      <c r="N118" s="179">
        <v>45777</v>
      </c>
      <c r="O118" s="565">
        <v>362</v>
      </c>
      <c r="P118" s="565">
        <f t="shared" si="4"/>
        <v>0</v>
      </c>
      <c r="Q118" s="565"/>
      <c r="R118" s="565"/>
      <c r="S118" s="565"/>
      <c r="T118" s="565"/>
      <c r="U118" s="565"/>
      <c r="V118" s="565"/>
      <c r="W118" s="565"/>
      <c r="X118" s="565"/>
      <c r="Y118" t="str">
        <f t="shared" ca="1" si="5"/>
        <v>PAGO</v>
      </c>
      <c r="AA118" t="s">
        <v>15</v>
      </c>
    </row>
    <row r="119" spans="1:27" x14ac:dyDescent="0.3">
      <c r="A119" t="s">
        <v>216</v>
      </c>
      <c r="B119" s="562">
        <v>2025</v>
      </c>
      <c r="C119" t="s">
        <v>248</v>
      </c>
      <c r="D119">
        <v>17364</v>
      </c>
      <c r="F119" s="179">
        <v>45736</v>
      </c>
      <c r="G119" t="s">
        <v>236</v>
      </c>
      <c r="H119" t="s">
        <v>37</v>
      </c>
      <c r="J119" s="583">
        <v>0</v>
      </c>
      <c r="K119" s="583">
        <v>363.98</v>
      </c>
      <c r="L119" s="565">
        <f t="shared" si="3"/>
        <v>363.98</v>
      </c>
      <c r="M119" s="179">
        <v>45764</v>
      </c>
      <c r="N119" s="179">
        <v>45764</v>
      </c>
      <c r="O119" s="565">
        <v>363.98</v>
      </c>
      <c r="P119" s="565">
        <f t="shared" si="4"/>
        <v>0</v>
      </c>
      <c r="Q119" s="565"/>
      <c r="R119" s="565"/>
      <c r="S119" s="565"/>
      <c r="T119" s="565"/>
      <c r="U119" s="565"/>
      <c r="V119" s="565"/>
      <c r="W119" s="565"/>
      <c r="X119" s="565"/>
      <c r="Y119" t="str">
        <f t="shared" ca="1" si="5"/>
        <v>PAGO</v>
      </c>
      <c r="AA119" t="s">
        <v>15</v>
      </c>
    </row>
    <row r="120" spans="1:27" x14ac:dyDescent="0.3">
      <c r="A120" t="s">
        <v>216</v>
      </c>
      <c r="B120" s="562">
        <v>2025</v>
      </c>
      <c r="C120" t="s">
        <v>248</v>
      </c>
      <c r="D120">
        <v>17365</v>
      </c>
      <c r="F120" s="179">
        <v>45736</v>
      </c>
      <c r="G120" t="s">
        <v>236</v>
      </c>
      <c r="H120" t="s">
        <v>37</v>
      </c>
      <c r="J120" s="583">
        <v>0</v>
      </c>
      <c r="K120" s="583">
        <v>265.64999999999998</v>
      </c>
      <c r="L120" s="565">
        <f t="shared" si="3"/>
        <v>265.64999999999998</v>
      </c>
      <c r="M120" s="179">
        <v>45764</v>
      </c>
      <c r="N120" s="179">
        <v>45764</v>
      </c>
      <c r="O120" s="565">
        <v>265.64999999999998</v>
      </c>
      <c r="P120" s="565">
        <f t="shared" si="4"/>
        <v>0</v>
      </c>
      <c r="Q120" s="565"/>
      <c r="R120" s="565"/>
      <c r="S120" s="565"/>
      <c r="T120" s="565"/>
      <c r="U120" s="565"/>
      <c r="V120" s="565"/>
      <c r="W120" s="565"/>
      <c r="X120" s="565"/>
      <c r="Y120" t="str">
        <f t="shared" ca="1" si="5"/>
        <v>PAGO</v>
      </c>
      <c r="AA120" t="s">
        <v>15</v>
      </c>
    </row>
    <row r="121" spans="1:27" x14ac:dyDescent="0.3">
      <c r="A121" t="s">
        <v>216</v>
      </c>
      <c r="B121" s="562">
        <v>2025</v>
      </c>
      <c r="C121" t="s">
        <v>248</v>
      </c>
      <c r="D121">
        <v>17366</v>
      </c>
      <c r="F121" s="179">
        <v>45736</v>
      </c>
      <c r="G121" t="s">
        <v>236</v>
      </c>
      <c r="H121" t="s">
        <v>112</v>
      </c>
      <c r="J121" s="583">
        <v>0</v>
      </c>
      <c r="K121" s="583">
        <v>369.73</v>
      </c>
      <c r="L121" s="565">
        <f t="shared" si="3"/>
        <v>369.73</v>
      </c>
      <c r="M121" s="179">
        <v>45764</v>
      </c>
      <c r="N121" s="179">
        <v>45764</v>
      </c>
      <c r="O121" s="565">
        <v>369.73</v>
      </c>
      <c r="P121" s="565">
        <f t="shared" si="4"/>
        <v>0</v>
      </c>
      <c r="Q121" s="565"/>
      <c r="R121" s="565"/>
      <c r="S121" s="565"/>
      <c r="T121" s="565"/>
      <c r="U121" s="565"/>
      <c r="V121" s="565"/>
      <c r="W121" s="565"/>
      <c r="X121" s="565"/>
      <c r="Y121" t="str">
        <f t="shared" ca="1" si="5"/>
        <v>PAGO</v>
      </c>
      <c r="AA121" t="s">
        <v>15</v>
      </c>
    </row>
    <row r="122" spans="1:27" x14ac:dyDescent="0.3">
      <c r="A122" t="s">
        <v>216</v>
      </c>
      <c r="B122" s="562">
        <v>2025</v>
      </c>
      <c r="C122" t="s">
        <v>248</v>
      </c>
      <c r="D122">
        <v>17366</v>
      </c>
      <c r="F122" s="179">
        <v>45736</v>
      </c>
      <c r="G122" t="s">
        <v>236</v>
      </c>
      <c r="H122" t="s">
        <v>112</v>
      </c>
      <c r="J122" s="583">
        <v>0</v>
      </c>
      <c r="K122" s="583">
        <v>368</v>
      </c>
      <c r="L122" s="565">
        <f t="shared" si="3"/>
        <v>368</v>
      </c>
      <c r="M122" s="179">
        <v>45771</v>
      </c>
      <c r="N122" s="179">
        <v>45771</v>
      </c>
      <c r="O122" s="565">
        <v>368</v>
      </c>
      <c r="P122" s="565">
        <f t="shared" si="4"/>
        <v>0</v>
      </c>
      <c r="Q122" s="565"/>
      <c r="R122" s="565"/>
      <c r="S122" s="565"/>
      <c r="T122" s="565"/>
      <c r="U122" s="565"/>
      <c r="V122" s="565"/>
      <c r="W122" s="565"/>
      <c r="X122" s="565"/>
      <c r="Y122" t="str">
        <f t="shared" ca="1" si="5"/>
        <v>PAGO</v>
      </c>
      <c r="AA122" t="s">
        <v>15</v>
      </c>
    </row>
    <row r="123" spans="1:27" x14ac:dyDescent="0.3">
      <c r="A123" t="s">
        <v>216</v>
      </c>
      <c r="B123" s="562">
        <v>2025</v>
      </c>
      <c r="C123" t="s">
        <v>248</v>
      </c>
      <c r="D123">
        <v>17366</v>
      </c>
      <c r="F123" s="179">
        <v>45736</v>
      </c>
      <c r="G123" t="s">
        <v>236</v>
      </c>
      <c r="H123" t="s">
        <v>112</v>
      </c>
      <c r="J123" s="583">
        <v>0</v>
      </c>
      <c r="K123" s="583">
        <v>368</v>
      </c>
      <c r="L123" s="565">
        <f t="shared" si="3"/>
        <v>368</v>
      </c>
      <c r="M123" s="179">
        <v>45778</v>
      </c>
      <c r="N123" s="179">
        <v>45777</v>
      </c>
      <c r="O123" s="565">
        <v>368</v>
      </c>
      <c r="P123" s="565">
        <f t="shared" si="4"/>
        <v>0</v>
      </c>
      <c r="Q123" s="565"/>
      <c r="R123" s="565"/>
      <c r="S123" s="565"/>
      <c r="T123" s="565"/>
      <c r="U123" s="565"/>
      <c r="V123" s="565"/>
      <c r="W123" s="565"/>
      <c r="X123" s="565"/>
      <c r="Y123" t="str">
        <f t="shared" ca="1" si="5"/>
        <v>PAGO</v>
      </c>
      <c r="AA123" t="s">
        <v>15</v>
      </c>
    </row>
    <row r="124" spans="1:27" x14ac:dyDescent="0.3">
      <c r="A124" t="s">
        <v>216</v>
      </c>
      <c r="B124" s="562">
        <v>2025</v>
      </c>
      <c r="C124" t="s">
        <v>248</v>
      </c>
      <c r="D124">
        <v>17401</v>
      </c>
      <c r="F124" s="179">
        <v>45740</v>
      </c>
      <c r="G124" t="s">
        <v>236</v>
      </c>
      <c r="H124" t="s">
        <v>127</v>
      </c>
      <c r="J124" s="583">
        <v>0</v>
      </c>
      <c r="K124" s="583">
        <v>401.13</v>
      </c>
      <c r="L124" s="565">
        <f t="shared" si="3"/>
        <v>401.13</v>
      </c>
      <c r="M124" s="179">
        <v>45768</v>
      </c>
      <c r="N124" s="179">
        <v>45769</v>
      </c>
      <c r="O124" s="565">
        <v>401.13</v>
      </c>
      <c r="P124" s="565">
        <f t="shared" si="4"/>
        <v>0</v>
      </c>
      <c r="Q124" s="565"/>
      <c r="R124" s="565"/>
      <c r="S124" s="565"/>
      <c r="T124" s="565"/>
      <c r="U124" s="565"/>
      <c r="V124" s="565"/>
      <c r="W124" s="565"/>
      <c r="X124" s="565"/>
      <c r="Y124" t="str">
        <f t="shared" ca="1" si="5"/>
        <v>PAGO</v>
      </c>
      <c r="AA124" t="s">
        <v>15</v>
      </c>
    </row>
    <row r="125" spans="1:27" x14ac:dyDescent="0.3">
      <c r="A125" t="s">
        <v>216</v>
      </c>
      <c r="B125" s="562">
        <v>2025</v>
      </c>
      <c r="C125" t="s">
        <v>248</v>
      </c>
      <c r="D125">
        <v>17401</v>
      </c>
      <c r="F125" s="179">
        <v>45740</v>
      </c>
      <c r="G125" t="s">
        <v>236</v>
      </c>
      <c r="H125" t="s">
        <v>127</v>
      </c>
      <c r="J125" s="583">
        <v>0</v>
      </c>
      <c r="K125" s="583">
        <v>401</v>
      </c>
      <c r="L125" s="565">
        <f t="shared" si="3"/>
        <v>401</v>
      </c>
      <c r="M125" s="179">
        <v>45775</v>
      </c>
      <c r="N125" s="179">
        <v>45777</v>
      </c>
      <c r="O125" s="565">
        <v>401</v>
      </c>
      <c r="P125" s="565">
        <f t="shared" si="4"/>
        <v>0</v>
      </c>
      <c r="Q125" s="565"/>
      <c r="R125" s="565"/>
      <c r="S125" s="565"/>
      <c r="T125" s="565"/>
      <c r="U125" s="565"/>
      <c r="V125" s="565"/>
      <c r="W125" s="565"/>
      <c r="X125" s="565"/>
      <c r="Y125" t="str">
        <f t="shared" ca="1" si="5"/>
        <v>PAGO</v>
      </c>
      <c r="AA125" t="s">
        <v>15</v>
      </c>
    </row>
    <row r="126" spans="1:27" x14ac:dyDescent="0.3">
      <c r="A126" t="s">
        <v>216</v>
      </c>
      <c r="B126" s="562">
        <v>2025</v>
      </c>
      <c r="C126" t="s">
        <v>248</v>
      </c>
      <c r="D126">
        <v>17418</v>
      </c>
      <c r="F126" s="179">
        <v>45741</v>
      </c>
      <c r="G126" t="s">
        <v>236</v>
      </c>
      <c r="H126" t="s">
        <v>392</v>
      </c>
      <c r="J126" s="583">
        <v>0</v>
      </c>
      <c r="K126" s="583">
        <v>101.78</v>
      </c>
      <c r="L126" s="565">
        <f t="shared" si="3"/>
        <v>101.78</v>
      </c>
      <c r="M126" s="179">
        <v>45769</v>
      </c>
      <c r="N126" s="179">
        <v>45769</v>
      </c>
      <c r="O126" s="565">
        <v>101.78</v>
      </c>
      <c r="P126" s="565">
        <f t="shared" si="4"/>
        <v>0</v>
      </c>
      <c r="Q126" s="565"/>
      <c r="R126" s="565"/>
      <c r="S126" s="565"/>
      <c r="T126" s="565"/>
      <c r="U126" s="565"/>
      <c r="V126" s="565"/>
      <c r="W126" s="565"/>
      <c r="X126" s="565"/>
      <c r="Y126" t="str">
        <f t="shared" ca="1" si="5"/>
        <v>PAGO</v>
      </c>
      <c r="AA126" t="s">
        <v>15</v>
      </c>
    </row>
    <row r="127" spans="1:27" x14ac:dyDescent="0.3">
      <c r="A127" t="s">
        <v>216</v>
      </c>
      <c r="B127" s="562">
        <v>2025</v>
      </c>
      <c r="C127" t="s">
        <v>248</v>
      </c>
      <c r="D127">
        <v>17423</v>
      </c>
      <c r="F127" s="179">
        <v>45742</v>
      </c>
      <c r="G127" t="s">
        <v>236</v>
      </c>
      <c r="H127" t="s">
        <v>133</v>
      </c>
      <c r="J127" s="583">
        <v>0</v>
      </c>
      <c r="K127" s="583">
        <v>1585.88</v>
      </c>
      <c r="L127" s="565">
        <f t="shared" si="3"/>
        <v>1585.88</v>
      </c>
      <c r="M127" s="179">
        <v>45770</v>
      </c>
      <c r="N127" s="179">
        <v>45770</v>
      </c>
      <c r="O127" s="565">
        <v>1585.88</v>
      </c>
      <c r="P127" s="565">
        <f t="shared" si="4"/>
        <v>0</v>
      </c>
      <c r="Q127" s="565"/>
      <c r="R127" s="565"/>
      <c r="S127" s="565"/>
      <c r="T127" s="565"/>
      <c r="U127" s="565"/>
      <c r="V127" s="565"/>
      <c r="W127" s="565"/>
      <c r="X127" s="565"/>
      <c r="Y127" t="str">
        <f t="shared" ca="1" si="5"/>
        <v>PAGO</v>
      </c>
      <c r="AA127" t="s">
        <v>15</v>
      </c>
    </row>
    <row r="128" spans="1:27" x14ac:dyDescent="0.3">
      <c r="A128" t="s">
        <v>216</v>
      </c>
      <c r="B128" s="562">
        <v>2025</v>
      </c>
      <c r="C128" t="s">
        <v>248</v>
      </c>
      <c r="D128">
        <v>17423</v>
      </c>
      <c r="F128" s="179">
        <v>45742</v>
      </c>
      <c r="G128" t="s">
        <v>236</v>
      </c>
      <c r="H128" t="s">
        <v>133</v>
      </c>
      <c r="J128" s="583">
        <v>0</v>
      </c>
      <c r="K128" s="583">
        <v>1585</v>
      </c>
      <c r="L128" s="565">
        <f t="shared" si="3"/>
        <v>1585</v>
      </c>
      <c r="M128" s="179">
        <v>45777</v>
      </c>
      <c r="N128" s="179">
        <v>45777</v>
      </c>
      <c r="O128" s="565">
        <v>1585</v>
      </c>
      <c r="P128" s="565">
        <f t="shared" si="4"/>
        <v>0</v>
      </c>
      <c r="Q128" s="565"/>
      <c r="R128" s="565"/>
      <c r="S128" s="565"/>
      <c r="T128" s="565"/>
      <c r="U128" s="565"/>
      <c r="V128" s="565"/>
      <c r="W128" s="565"/>
      <c r="X128" s="565"/>
      <c r="Y128" t="str">
        <f t="shared" ca="1" si="5"/>
        <v>PAGO</v>
      </c>
      <c r="AA128" t="s">
        <v>15</v>
      </c>
    </row>
    <row r="129" spans="1:27" x14ac:dyDescent="0.3">
      <c r="A129" t="s">
        <v>216</v>
      </c>
      <c r="B129" s="562">
        <v>2025</v>
      </c>
      <c r="C129" t="s">
        <v>248</v>
      </c>
      <c r="D129">
        <v>17423</v>
      </c>
      <c r="F129" s="179">
        <v>45742</v>
      </c>
      <c r="G129" t="s">
        <v>236</v>
      </c>
      <c r="H129" t="s">
        <v>133</v>
      </c>
      <c r="J129" s="583">
        <v>0</v>
      </c>
      <c r="K129" s="583">
        <v>1585</v>
      </c>
      <c r="L129" s="565">
        <f t="shared" si="3"/>
        <v>1585</v>
      </c>
      <c r="M129" s="179">
        <v>45784</v>
      </c>
      <c r="N129" s="179">
        <v>45783</v>
      </c>
      <c r="O129" s="565">
        <v>1585</v>
      </c>
      <c r="P129" s="565">
        <f t="shared" si="4"/>
        <v>0</v>
      </c>
      <c r="Q129" s="565"/>
      <c r="R129" s="565"/>
      <c r="S129" s="565"/>
      <c r="T129" s="565"/>
      <c r="U129" s="565"/>
      <c r="V129" s="565"/>
      <c r="W129" s="565"/>
      <c r="X129" s="565"/>
      <c r="Y129" t="str">
        <f t="shared" ca="1" si="5"/>
        <v>PAGO</v>
      </c>
      <c r="AA129" t="s">
        <v>15</v>
      </c>
    </row>
    <row r="130" spans="1:27" x14ac:dyDescent="0.3">
      <c r="A130" t="s">
        <v>216</v>
      </c>
      <c r="B130" s="562">
        <v>2025</v>
      </c>
      <c r="C130" t="s">
        <v>248</v>
      </c>
      <c r="D130">
        <v>17421</v>
      </c>
      <c r="F130" s="179">
        <v>45742</v>
      </c>
      <c r="G130" t="s">
        <v>236</v>
      </c>
      <c r="H130" t="s">
        <v>135</v>
      </c>
      <c r="J130" s="583">
        <v>0</v>
      </c>
      <c r="K130" s="583">
        <v>136.28</v>
      </c>
      <c r="L130" s="565">
        <f t="shared" si="3"/>
        <v>136.28</v>
      </c>
      <c r="M130" s="179">
        <v>45770</v>
      </c>
      <c r="N130" s="179">
        <v>45770</v>
      </c>
      <c r="O130" s="565">
        <v>136.28</v>
      </c>
      <c r="P130" s="565">
        <f t="shared" si="4"/>
        <v>0</v>
      </c>
      <c r="Q130" s="565"/>
      <c r="R130" s="565"/>
      <c r="S130" s="565"/>
      <c r="T130" s="565"/>
      <c r="U130" s="565"/>
      <c r="V130" s="565"/>
      <c r="W130" s="565"/>
      <c r="X130" s="565"/>
      <c r="Y130" t="str">
        <f t="shared" ca="1" si="5"/>
        <v>PAGO</v>
      </c>
      <c r="AA130" t="s">
        <v>15</v>
      </c>
    </row>
    <row r="131" spans="1:27" x14ac:dyDescent="0.3">
      <c r="A131" t="s">
        <v>216</v>
      </c>
      <c r="B131" s="562">
        <v>2025</v>
      </c>
      <c r="C131" t="s">
        <v>248</v>
      </c>
      <c r="D131">
        <v>17453</v>
      </c>
      <c r="F131" s="179">
        <v>45743</v>
      </c>
      <c r="G131" t="s">
        <v>236</v>
      </c>
      <c r="H131" t="s">
        <v>137</v>
      </c>
      <c r="J131" s="583">
        <v>0</v>
      </c>
      <c r="K131" s="583">
        <v>1171.8599999999999</v>
      </c>
      <c r="L131" s="565">
        <f t="shared" ref="L131:L194" si="6">J131+K131</f>
        <v>1171.8599999999999</v>
      </c>
      <c r="M131" s="179">
        <v>45771</v>
      </c>
      <c r="N131" s="179">
        <v>45771</v>
      </c>
      <c r="O131" s="565">
        <v>1171.8599999999999</v>
      </c>
      <c r="P131" s="565">
        <f t="shared" ref="P131:P194" si="7">L131-O131</f>
        <v>0</v>
      </c>
      <c r="Q131" s="565"/>
      <c r="R131" s="565"/>
      <c r="S131" s="565"/>
      <c r="T131" s="565"/>
      <c r="U131" s="565"/>
      <c r="V131" s="565"/>
      <c r="W131" s="565"/>
      <c r="X131" s="565"/>
      <c r="Y131" t="str">
        <f t="shared" ref="Y131:Y194" ca="1" si="8">IF(L131=0,"SEM VALOR",IF(P131&lt;=0.01,"PAGO",IF(M131="","SEM VENCIMENTO",IF(M131&lt;TODAY(),"VENCIDO","A VENCER"))))</f>
        <v>PAGO</v>
      </c>
      <c r="AA131" t="s">
        <v>15</v>
      </c>
    </row>
    <row r="132" spans="1:27" x14ac:dyDescent="0.3">
      <c r="A132" t="s">
        <v>216</v>
      </c>
      <c r="B132" s="562">
        <v>2025</v>
      </c>
      <c r="C132" t="s">
        <v>248</v>
      </c>
      <c r="D132">
        <v>17453</v>
      </c>
      <c r="F132" s="179">
        <v>45743</v>
      </c>
      <c r="G132" t="s">
        <v>236</v>
      </c>
      <c r="H132" t="s">
        <v>137</v>
      </c>
      <c r="J132" s="583">
        <v>0</v>
      </c>
      <c r="K132" s="583">
        <v>1171</v>
      </c>
      <c r="L132" s="565">
        <f t="shared" si="6"/>
        <v>1171</v>
      </c>
      <c r="M132" s="179">
        <v>45778</v>
      </c>
      <c r="N132" s="179">
        <v>45777</v>
      </c>
      <c r="O132" s="565">
        <v>1171</v>
      </c>
      <c r="P132" s="565">
        <f t="shared" si="7"/>
        <v>0</v>
      </c>
      <c r="Q132" s="565"/>
      <c r="R132" s="565"/>
      <c r="S132" s="565"/>
      <c r="T132" s="565"/>
      <c r="U132" s="565"/>
      <c r="V132" s="565"/>
      <c r="W132" s="565"/>
      <c r="X132" s="565"/>
      <c r="Y132" t="str">
        <f t="shared" ca="1" si="8"/>
        <v>PAGO</v>
      </c>
      <c r="AA132" t="s">
        <v>15</v>
      </c>
    </row>
    <row r="133" spans="1:27" x14ac:dyDescent="0.3">
      <c r="A133" t="s">
        <v>216</v>
      </c>
      <c r="B133" s="562">
        <v>2025</v>
      </c>
      <c r="C133" t="s">
        <v>248</v>
      </c>
      <c r="D133">
        <v>17453</v>
      </c>
      <c r="F133" s="179">
        <v>45743</v>
      </c>
      <c r="G133" t="s">
        <v>236</v>
      </c>
      <c r="H133" t="s">
        <v>137</v>
      </c>
      <c r="J133" s="583">
        <v>0</v>
      </c>
      <c r="K133" s="583">
        <v>1171</v>
      </c>
      <c r="L133" s="565">
        <f t="shared" si="6"/>
        <v>1171</v>
      </c>
      <c r="M133" s="179">
        <v>45785</v>
      </c>
      <c r="N133" s="179">
        <v>45786</v>
      </c>
      <c r="O133" s="565">
        <v>1171</v>
      </c>
      <c r="P133" s="565">
        <f t="shared" si="7"/>
        <v>0</v>
      </c>
      <c r="Q133" s="565"/>
      <c r="R133" s="565"/>
      <c r="S133" s="565"/>
      <c r="T133" s="565"/>
      <c r="U133" s="565"/>
      <c r="V133" s="565"/>
      <c r="W133" s="565"/>
      <c r="X133" s="565"/>
      <c r="Y133" t="str">
        <f t="shared" ca="1" si="8"/>
        <v>PAGO</v>
      </c>
      <c r="AA133" t="s">
        <v>15</v>
      </c>
    </row>
    <row r="134" spans="1:27" x14ac:dyDescent="0.3">
      <c r="A134" t="s">
        <v>216</v>
      </c>
      <c r="B134" s="562">
        <v>2025</v>
      </c>
      <c r="C134" t="s">
        <v>248</v>
      </c>
      <c r="D134">
        <v>17456</v>
      </c>
      <c r="F134" s="179">
        <v>45744</v>
      </c>
      <c r="G134" t="s">
        <v>236</v>
      </c>
      <c r="H134" t="s">
        <v>137</v>
      </c>
      <c r="J134" s="583">
        <v>0</v>
      </c>
      <c r="K134" s="583">
        <v>112.13</v>
      </c>
      <c r="L134" s="565">
        <f t="shared" si="6"/>
        <v>112.13</v>
      </c>
      <c r="M134" s="179">
        <v>45772</v>
      </c>
      <c r="N134" s="179">
        <v>45772</v>
      </c>
      <c r="O134" s="565">
        <v>112.13</v>
      </c>
      <c r="P134" s="565">
        <f t="shared" si="7"/>
        <v>0</v>
      </c>
      <c r="Q134" s="565"/>
      <c r="R134" s="565"/>
      <c r="S134" s="565"/>
      <c r="T134" s="565"/>
      <c r="U134" s="565"/>
      <c r="V134" s="565"/>
      <c r="W134" s="565"/>
      <c r="X134" s="565"/>
      <c r="Y134" t="str">
        <f t="shared" ca="1" si="8"/>
        <v>PAGO</v>
      </c>
      <c r="AA134" t="s">
        <v>15</v>
      </c>
    </row>
    <row r="135" spans="1:27" x14ac:dyDescent="0.3">
      <c r="A135" t="s">
        <v>216</v>
      </c>
      <c r="B135" s="562">
        <v>2025</v>
      </c>
      <c r="C135" t="s">
        <v>248</v>
      </c>
      <c r="D135">
        <v>17464</v>
      </c>
      <c r="F135" s="179">
        <v>45744</v>
      </c>
      <c r="G135" t="s">
        <v>236</v>
      </c>
      <c r="H135" t="s">
        <v>137</v>
      </c>
      <c r="J135" s="583">
        <v>0</v>
      </c>
      <c r="K135" s="583">
        <v>351.54</v>
      </c>
      <c r="L135" s="565">
        <f t="shared" si="6"/>
        <v>351.54</v>
      </c>
      <c r="M135" s="179">
        <v>45772</v>
      </c>
      <c r="N135" s="179">
        <v>45772</v>
      </c>
      <c r="O135" s="565">
        <v>351.54</v>
      </c>
      <c r="P135" s="565">
        <f t="shared" si="7"/>
        <v>0</v>
      </c>
      <c r="Q135" s="565"/>
      <c r="R135" s="565"/>
      <c r="S135" s="565"/>
      <c r="T135" s="565"/>
      <c r="U135" s="565"/>
      <c r="V135" s="565"/>
      <c r="W135" s="565"/>
      <c r="X135" s="565"/>
      <c r="Y135" t="str">
        <f t="shared" ca="1" si="8"/>
        <v>PAGO</v>
      </c>
      <c r="AA135" t="s">
        <v>15</v>
      </c>
    </row>
    <row r="136" spans="1:27" x14ac:dyDescent="0.3">
      <c r="A136" t="s">
        <v>216</v>
      </c>
      <c r="B136" s="562">
        <v>2025</v>
      </c>
      <c r="C136" t="s">
        <v>248</v>
      </c>
      <c r="D136">
        <v>17466</v>
      </c>
      <c r="F136" s="179">
        <v>45744</v>
      </c>
      <c r="G136" t="s">
        <v>236</v>
      </c>
      <c r="H136" t="s">
        <v>137</v>
      </c>
      <c r="J136" s="583">
        <v>0</v>
      </c>
      <c r="K136" s="583">
        <v>186</v>
      </c>
      <c r="L136" s="565">
        <f t="shared" si="6"/>
        <v>186</v>
      </c>
      <c r="M136" s="179">
        <v>45772</v>
      </c>
      <c r="N136" s="179">
        <v>45772</v>
      </c>
      <c r="O136" s="565">
        <v>186</v>
      </c>
      <c r="P136" s="565">
        <f t="shared" si="7"/>
        <v>0</v>
      </c>
      <c r="Q136" s="565"/>
      <c r="R136" s="565"/>
      <c r="S136" s="565"/>
      <c r="T136" s="565"/>
      <c r="U136" s="565"/>
      <c r="V136" s="565"/>
      <c r="W136" s="565"/>
      <c r="X136" s="565"/>
      <c r="Y136" t="str">
        <f t="shared" ca="1" si="8"/>
        <v>PAGO</v>
      </c>
      <c r="AA136" t="s">
        <v>15</v>
      </c>
    </row>
    <row r="137" spans="1:27" x14ac:dyDescent="0.3">
      <c r="A137" t="s">
        <v>217</v>
      </c>
      <c r="B137" s="562">
        <v>2025</v>
      </c>
      <c r="C137" t="s">
        <v>248</v>
      </c>
      <c r="D137">
        <v>17575</v>
      </c>
      <c r="F137" s="179">
        <v>45755</v>
      </c>
      <c r="G137" t="s">
        <v>236</v>
      </c>
      <c r="H137" t="s">
        <v>112</v>
      </c>
      <c r="J137" s="583">
        <v>0</v>
      </c>
      <c r="K137" s="583">
        <v>485.1</v>
      </c>
      <c r="L137" s="565">
        <f t="shared" si="6"/>
        <v>485.1</v>
      </c>
      <c r="M137" s="179">
        <v>45783</v>
      </c>
      <c r="N137" s="179">
        <v>45783</v>
      </c>
      <c r="O137" s="565">
        <v>485.1</v>
      </c>
      <c r="P137" s="565">
        <f t="shared" si="7"/>
        <v>0</v>
      </c>
      <c r="Q137" s="565"/>
      <c r="R137" s="565"/>
      <c r="S137" s="565"/>
      <c r="T137" s="565"/>
      <c r="U137" s="565"/>
      <c r="V137" s="565"/>
      <c r="W137" s="565"/>
      <c r="X137" s="565"/>
      <c r="Y137" t="str">
        <f t="shared" ca="1" si="8"/>
        <v>PAGO</v>
      </c>
      <c r="AA137" t="s">
        <v>16</v>
      </c>
    </row>
    <row r="138" spans="1:27" x14ac:dyDescent="0.3">
      <c r="A138" t="s">
        <v>217</v>
      </c>
      <c r="B138" s="562">
        <v>2025</v>
      </c>
      <c r="C138" t="s">
        <v>248</v>
      </c>
      <c r="D138">
        <v>17575</v>
      </c>
      <c r="F138" s="179">
        <v>45755</v>
      </c>
      <c r="G138" t="s">
        <v>236</v>
      </c>
      <c r="H138" t="s">
        <v>112</v>
      </c>
      <c r="J138" s="583">
        <v>0</v>
      </c>
      <c r="K138" s="583">
        <v>483</v>
      </c>
      <c r="L138" s="565">
        <f t="shared" si="6"/>
        <v>483</v>
      </c>
      <c r="M138" s="179">
        <v>45790</v>
      </c>
      <c r="N138" s="179">
        <v>45791</v>
      </c>
      <c r="O138" s="565">
        <v>483</v>
      </c>
      <c r="P138" s="565">
        <f t="shared" si="7"/>
        <v>0</v>
      </c>
      <c r="Q138" s="565"/>
      <c r="R138" s="565"/>
      <c r="S138" s="565"/>
      <c r="T138" s="565"/>
      <c r="U138" s="565"/>
      <c r="V138" s="565"/>
      <c r="W138" s="565"/>
      <c r="X138" s="565"/>
      <c r="Y138" t="str">
        <f t="shared" ca="1" si="8"/>
        <v>PAGO</v>
      </c>
      <c r="AA138" t="s">
        <v>16</v>
      </c>
    </row>
    <row r="139" spans="1:27" x14ac:dyDescent="0.3">
      <c r="A139" t="s">
        <v>217</v>
      </c>
      <c r="B139" s="562">
        <v>2025</v>
      </c>
      <c r="C139" t="s">
        <v>248</v>
      </c>
      <c r="D139">
        <v>17575</v>
      </c>
      <c r="F139" s="179">
        <v>45755</v>
      </c>
      <c r="G139" t="s">
        <v>236</v>
      </c>
      <c r="H139" t="s">
        <v>112</v>
      </c>
      <c r="J139" s="583">
        <v>0</v>
      </c>
      <c r="K139" s="583">
        <v>483</v>
      </c>
      <c r="L139" s="565">
        <f t="shared" si="6"/>
        <v>483</v>
      </c>
      <c r="M139" s="179">
        <v>45797</v>
      </c>
      <c r="N139" s="179">
        <v>45797</v>
      </c>
      <c r="O139" s="565">
        <v>483</v>
      </c>
      <c r="P139" s="565">
        <f t="shared" si="7"/>
        <v>0</v>
      </c>
      <c r="Q139" s="565"/>
      <c r="R139" s="565"/>
      <c r="S139" s="565"/>
      <c r="T139" s="565"/>
      <c r="U139" s="565"/>
      <c r="V139" s="565"/>
      <c r="W139" s="565"/>
      <c r="X139" s="565"/>
      <c r="Y139" t="str">
        <f t="shared" ca="1" si="8"/>
        <v>PAGO</v>
      </c>
      <c r="AA139" t="s">
        <v>16</v>
      </c>
    </row>
    <row r="140" spans="1:27" x14ac:dyDescent="0.3">
      <c r="A140" t="s">
        <v>217</v>
      </c>
      <c r="B140" s="562">
        <v>2025</v>
      </c>
      <c r="C140" t="s">
        <v>248</v>
      </c>
      <c r="D140">
        <v>17589</v>
      </c>
      <c r="F140" s="179">
        <v>45755</v>
      </c>
      <c r="G140" t="s">
        <v>236</v>
      </c>
      <c r="H140" t="s">
        <v>143</v>
      </c>
      <c r="J140" s="583">
        <v>0</v>
      </c>
      <c r="K140" s="583">
        <v>1245.8699999999999</v>
      </c>
      <c r="L140" s="565">
        <f t="shared" si="6"/>
        <v>1245.8699999999999</v>
      </c>
      <c r="M140" s="179">
        <v>45783</v>
      </c>
      <c r="N140" s="179">
        <v>45783</v>
      </c>
      <c r="O140" s="565">
        <v>1245.8699999999999</v>
      </c>
      <c r="P140" s="565">
        <f t="shared" si="7"/>
        <v>0</v>
      </c>
      <c r="Q140" s="565"/>
      <c r="R140" s="565"/>
      <c r="S140" s="565"/>
      <c r="T140" s="565"/>
      <c r="U140" s="565"/>
      <c r="V140" s="565"/>
      <c r="W140" s="565"/>
      <c r="X140" s="565"/>
      <c r="Y140" t="str">
        <f t="shared" ca="1" si="8"/>
        <v>PAGO</v>
      </c>
      <c r="AA140" t="s">
        <v>16</v>
      </c>
    </row>
    <row r="141" spans="1:27" x14ac:dyDescent="0.3">
      <c r="A141" t="s">
        <v>217</v>
      </c>
      <c r="B141" s="562">
        <v>2025</v>
      </c>
      <c r="C141" t="s">
        <v>248</v>
      </c>
      <c r="D141">
        <v>17589</v>
      </c>
      <c r="F141" s="179">
        <v>45755</v>
      </c>
      <c r="G141" t="s">
        <v>236</v>
      </c>
      <c r="H141" t="s">
        <v>143</v>
      </c>
      <c r="J141" s="583">
        <v>0</v>
      </c>
      <c r="K141" s="583">
        <v>1244</v>
      </c>
      <c r="L141" s="565">
        <f t="shared" si="6"/>
        <v>1244</v>
      </c>
      <c r="M141" s="179">
        <v>45790</v>
      </c>
      <c r="N141" s="179">
        <v>45791</v>
      </c>
      <c r="O141" s="565">
        <v>1244</v>
      </c>
      <c r="P141" s="565">
        <f t="shared" si="7"/>
        <v>0</v>
      </c>
      <c r="Q141" s="565"/>
      <c r="R141" s="565"/>
      <c r="S141" s="565"/>
      <c r="T141" s="565"/>
      <c r="U141" s="565"/>
      <c r="V141" s="565"/>
      <c r="W141" s="565"/>
      <c r="X141" s="565"/>
      <c r="Y141" t="str">
        <f t="shared" ca="1" si="8"/>
        <v>PAGO</v>
      </c>
      <c r="AA141" t="s">
        <v>16</v>
      </c>
    </row>
    <row r="142" spans="1:27" x14ac:dyDescent="0.3">
      <c r="A142" t="s">
        <v>217</v>
      </c>
      <c r="B142" s="562">
        <v>2025</v>
      </c>
      <c r="C142" t="s">
        <v>248</v>
      </c>
      <c r="D142">
        <v>17589</v>
      </c>
      <c r="F142" s="179">
        <v>45755</v>
      </c>
      <c r="G142" t="s">
        <v>236</v>
      </c>
      <c r="H142" t="s">
        <v>143</v>
      </c>
      <c r="J142" s="583">
        <v>0</v>
      </c>
      <c r="K142" s="583">
        <v>1244</v>
      </c>
      <c r="L142" s="565">
        <f t="shared" si="6"/>
        <v>1244</v>
      </c>
      <c r="M142" s="179">
        <v>45797</v>
      </c>
      <c r="N142" s="179">
        <v>45797</v>
      </c>
      <c r="O142" s="565">
        <v>1244</v>
      </c>
      <c r="P142" s="565">
        <f t="shared" si="7"/>
        <v>0</v>
      </c>
      <c r="Q142" s="565"/>
      <c r="R142" s="565"/>
      <c r="S142" s="565"/>
      <c r="T142" s="565"/>
      <c r="U142" s="565"/>
      <c r="V142" s="565"/>
      <c r="W142" s="565"/>
      <c r="X142" s="565"/>
      <c r="Y142" t="str">
        <f t="shared" ca="1" si="8"/>
        <v>PAGO</v>
      </c>
      <c r="AA142" t="s">
        <v>16</v>
      </c>
    </row>
    <row r="143" spans="1:27" x14ac:dyDescent="0.3">
      <c r="A143" t="s">
        <v>217</v>
      </c>
      <c r="B143" s="562">
        <v>2025</v>
      </c>
      <c r="C143" t="s">
        <v>248</v>
      </c>
      <c r="D143">
        <v>17590</v>
      </c>
      <c r="F143" s="179">
        <v>45755</v>
      </c>
      <c r="G143" t="s">
        <v>236</v>
      </c>
      <c r="H143" t="s">
        <v>120</v>
      </c>
      <c r="J143" s="583">
        <v>0</v>
      </c>
      <c r="K143" s="583">
        <v>1185.23</v>
      </c>
      <c r="L143" s="565">
        <f t="shared" si="6"/>
        <v>1185.23</v>
      </c>
      <c r="M143" s="179">
        <v>45783</v>
      </c>
      <c r="N143" s="179">
        <v>45783</v>
      </c>
      <c r="O143" s="565">
        <v>1185.23</v>
      </c>
      <c r="P143" s="565">
        <f t="shared" si="7"/>
        <v>0</v>
      </c>
      <c r="Q143" s="565"/>
      <c r="R143" s="565"/>
      <c r="S143" s="565"/>
      <c r="T143" s="565"/>
      <c r="U143" s="565"/>
      <c r="V143" s="565"/>
      <c r="W143" s="565"/>
      <c r="X143" s="565"/>
      <c r="Y143" t="str">
        <f t="shared" ca="1" si="8"/>
        <v>PAGO</v>
      </c>
      <c r="AA143" t="s">
        <v>16</v>
      </c>
    </row>
    <row r="144" spans="1:27" x14ac:dyDescent="0.3">
      <c r="A144" t="s">
        <v>217</v>
      </c>
      <c r="B144" s="562">
        <v>2025</v>
      </c>
      <c r="C144" t="s">
        <v>248</v>
      </c>
      <c r="D144">
        <v>17590</v>
      </c>
      <c r="F144" s="179">
        <v>45755</v>
      </c>
      <c r="G144" t="s">
        <v>236</v>
      </c>
      <c r="H144" t="s">
        <v>120</v>
      </c>
      <c r="J144" s="583">
        <v>0</v>
      </c>
      <c r="K144" s="583">
        <v>1185</v>
      </c>
      <c r="L144" s="565">
        <f t="shared" si="6"/>
        <v>1185</v>
      </c>
      <c r="M144" s="179">
        <v>45790</v>
      </c>
      <c r="N144" s="179">
        <v>45791</v>
      </c>
      <c r="O144" s="565">
        <v>1185</v>
      </c>
      <c r="P144" s="565">
        <f t="shared" si="7"/>
        <v>0</v>
      </c>
      <c r="Q144" s="565"/>
      <c r="R144" s="565"/>
      <c r="S144" s="565"/>
      <c r="T144" s="565"/>
      <c r="U144" s="565"/>
      <c r="V144" s="565"/>
      <c r="W144" s="565"/>
      <c r="X144" s="565"/>
      <c r="Y144" t="str">
        <f t="shared" ca="1" si="8"/>
        <v>PAGO</v>
      </c>
      <c r="AA144" t="s">
        <v>16</v>
      </c>
    </row>
    <row r="145" spans="1:27" x14ac:dyDescent="0.3">
      <c r="A145" t="s">
        <v>217</v>
      </c>
      <c r="B145" s="562">
        <v>2025</v>
      </c>
      <c r="C145" t="s">
        <v>248</v>
      </c>
      <c r="D145">
        <v>17590</v>
      </c>
      <c r="F145" s="179">
        <v>45755</v>
      </c>
      <c r="G145" t="s">
        <v>236</v>
      </c>
      <c r="H145" t="s">
        <v>120</v>
      </c>
      <c r="J145" s="583">
        <v>0</v>
      </c>
      <c r="K145" s="583">
        <v>1185</v>
      </c>
      <c r="L145" s="565">
        <f t="shared" si="6"/>
        <v>1185</v>
      </c>
      <c r="M145" s="179">
        <v>45797</v>
      </c>
      <c r="N145" s="179">
        <v>45797</v>
      </c>
      <c r="O145" s="565">
        <v>1185</v>
      </c>
      <c r="P145" s="565">
        <f t="shared" si="7"/>
        <v>0</v>
      </c>
      <c r="Q145" s="565"/>
      <c r="R145" s="565"/>
      <c r="S145" s="565"/>
      <c r="T145" s="565"/>
      <c r="U145" s="565"/>
      <c r="V145" s="565"/>
      <c r="W145" s="565"/>
      <c r="X145" s="565"/>
      <c r="Y145" t="str">
        <f t="shared" ca="1" si="8"/>
        <v>PAGO</v>
      </c>
      <c r="AA145" t="s">
        <v>16</v>
      </c>
    </row>
    <row r="146" spans="1:27" x14ac:dyDescent="0.3">
      <c r="A146" t="s">
        <v>217</v>
      </c>
      <c r="B146" s="562">
        <v>2025</v>
      </c>
      <c r="C146" t="s">
        <v>248</v>
      </c>
      <c r="D146">
        <v>17591</v>
      </c>
      <c r="F146" s="179">
        <v>45755</v>
      </c>
      <c r="G146" t="s">
        <v>236</v>
      </c>
      <c r="H146" t="s">
        <v>37</v>
      </c>
      <c r="J146" s="583">
        <v>0</v>
      </c>
      <c r="K146" s="583">
        <v>368.28</v>
      </c>
      <c r="L146" s="565">
        <f t="shared" si="6"/>
        <v>368.28</v>
      </c>
      <c r="M146" s="179">
        <v>45783</v>
      </c>
      <c r="N146" s="179">
        <v>45783</v>
      </c>
      <c r="O146" s="565">
        <v>368.28</v>
      </c>
      <c r="P146" s="565">
        <f t="shared" si="7"/>
        <v>0</v>
      </c>
      <c r="Q146" s="565"/>
      <c r="R146" s="565"/>
      <c r="S146" s="565"/>
      <c r="T146" s="565"/>
      <c r="U146" s="565"/>
      <c r="V146" s="565"/>
      <c r="W146" s="565"/>
      <c r="X146" s="565"/>
      <c r="Y146" t="str">
        <f t="shared" ca="1" si="8"/>
        <v>PAGO</v>
      </c>
      <c r="AA146" t="s">
        <v>16</v>
      </c>
    </row>
    <row r="147" spans="1:27" x14ac:dyDescent="0.3">
      <c r="A147" t="s">
        <v>217</v>
      </c>
      <c r="B147" s="562">
        <v>2025</v>
      </c>
      <c r="C147" t="s">
        <v>248</v>
      </c>
      <c r="D147">
        <v>17591</v>
      </c>
      <c r="F147" s="179">
        <v>45755</v>
      </c>
      <c r="G147" t="s">
        <v>236</v>
      </c>
      <c r="H147" t="s">
        <v>37</v>
      </c>
      <c r="J147" s="583">
        <v>0</v>
      </c>
      <c r="K147" s="583">
        <v>367</v>
      </c>
      <c r="L147" s="565">
        <f t="shared" si="6"/>
        <v>367</v>
      </c>
      <c r="M147" s="179">
        <v>45790</v>
      </c>
      <c r="N147" s="179">
        <v>45791</v>
      </c>
      <c r="O147" s="565">
        <v>367</v>
      </c>
      <c r="P147" s="565">
        <f t="shared" si="7"/>
        <v>0</v>
      </c>
      <c r="Q147" s="565"/>
      <c r="R147" s="565"/>
      <c r="S147" s="565"/>
      <c r="T147" s="565"/>
      <c r="U147" s="565"/>
      <c r="V147" s="565"/>
      <c r="W147" s="565"/>
      <c r="X147" s="565"/>
      <c r="Y147" t="str">
        <f t="shared" ca="1" si="8"/>
        <v>PAGO</v>
      </c>
      <c r="AA147" t="s">
        <v>16</v>
      </c>
    </row>
    <row r="148" spans="1:27" x14ac:dyDescent="0.3">
      <c r="A148" t="s">
        <v>217</v>
      </c>
      <c r="B148" s="562">
        <v>2025</v>
      </c>
      <c r="C148" t="s">
        <v>248</v>
      </c>
      <c r="D148">
        <v>17591</v>
      </c>
      <c r="F148" s="179">
        <v>45755</v>
      </c>
      <c r="G148" t="s">
        <v>236</v>
      </c>
      <c r="H148" t="s">
        <v>37</v>
      </c>
      <c r="J148" s="583">
        <v>0</v>
      </c>
      <c r="K148" s="583">
        <v>367</v>
      </c>
      <c r="L148" s="565">
        <f t="shared" si="6"/>
        <v>367</v>
      </c>
      <c r="M148" s="179">
        <v>45797</v>
      </c>
      <c r="N148" s="179">
        <v>45797</v>
      </c>
      <c r="O148" s="565">
        <v>367</v>
      </c>
      <c r="P148" s="565">
        <f t="shared" si="7"/>
        <v>0</v>
      </c>
      <c r="Q148" s="565"/>
      <c r="R148" s="565"/>
      <c r="S148" s="565"/>
      <c r="T148" s="565"/>
      <c r="U148" s="565"/>
      <c r="V148" s="565"/>
      <c r="W148" s="565"/>
      <c r="X148" s="565"/>
      <c r="Y148" t="str">
        <f t="shared" ca="1" si="8"/>
        <v>PAGO</v>
      </c>
      <c r="AA148" t="s">
        <v>16</v>
      </c>
    </row>
    <row r="149" spans="1:27" x14ac:dyDescent="0.3">
      <c r="A149" t="s">
        <v>217</v>
      </c>
      <c r="B149" s="562">
        <v>2025</v>
      </c>
      <c r="C149" t="s">
        <v>248</v>
      </c>
      <c r="D149">
        <v>17620</v>
      </c>
      <c r="F149" s="179">
        <v>45758</v>
      </c>
      <c r="G149" t="s">
        <v>236</v>
      </c>
      <c r="H149" t="s">
        <v>144</v>
      </c>
      <c r="J149" s="583">
        <v>0</v>
      </c>
      <c r="K149" s="583">
        <v>1082.74</v>
      </c>
      <c r="L149" s="565">
        <f t="shared" si="6"/>
        <v>1082.74</v>
      </c>
      <c r="M149" s="179">
        <v>45786</v>
      </c>
      <c r="N149" s="179">
        <v>45786</v>
      </c>
      <c r="O149" s="565">
        <v>1082.74</v>
      </c>
      <c r="P149" s="565">
        <f t="shared" si="7"/>
        <v>0</v>
      </c>
      <c r="Q149" s="565"/>
      <c r="R149" s="565"/>
      <c r="S149" s="565"/>
      <c r="T149" s="565"/>
      <c r="U149" s="565"/>
      <c r="V149" s="565"/>
      <c r="W149" s="565"/>
      <c r="X149" s="565"/>
      <c r="Y149" t="str">
        <f t="shared" ca="1" si="8"/>
        <v>PAGO</v>
      </c>
      <c r="AA149" t="s">
        <v>16</v>
      </c>
    </row>
    <row r="150" spans="1:27" x14ac:dyDescent="0.3">
      <c r="A150" t="s">
        <v>217</v>
      </c>
      <c r="B150" s="562">
        <v>2025</v>
      </c>
      <c r="C150" t="s">
        <v>248</v>
      </c>
      <c r="D150">
        <v>17620</v>
      </c>
      <c r="F150" s="179">
        <v>45758</v>
      </c>
      <c r="G150" t="s">
        <v>236</v>
      </c>
      <c r="H150" t="s">
        <v>144</v>
      </c>
      <c r="J150" s="583">
        <v>0</v>
      </c>
      <c r="K150" s="583">
        <v>1081</v>
      </c>
      <c r="L150" s="565">
        <f t="shared" si="6"/>
        <v>1081</v>
      </c>
      <c r="M150" s="179">
        <v>45793</v>
      </c>
      <c r="N150" s="179">
        <v>45791</v>
      </c>
      <c r="O150" s="565">
        <v>1081</v>
      </c>
      <c r="P150" s="565">
        <f t="shared" si="7"/>
        <v>0</v>
      </c>
      <c r="Q150" s="565"/>
      <c r="R150" s="565"/>
      <c r="S150" s="565"/>
      <c r="T150" s="565"/>
      <c r="U150" s="565"/>
      <c r="V150" s="565"/>
      <c r="W150" s="565"/>
      <c r="X150" s="565"/>
      <c r="Y150" t="str">
        <f t="shared" ca="1" si="8"/>
        <v>PAGO</v>
      </c>
      <c r="AA150" t="s">
        <v>16</v>
      </c>
    </row>
    <row r="151" spans="1:27" x14ac:dyDescent="0.3">
      <c r="A151" t="s">
        <v>217</v>
      </c>
      <c r="B151" s="562">
        <v>2025</v>
      </c>
      <c r="C151" t="s">
        <v>248</v>
      </c>
      <c r="D151">
        <v>17620</v>
      </c>
      <c r="F151" s="179">
        <v>45758</v>
      </c>
      <c r="G151" t="s">
        <v>236</v>
      </c>
      <c r="H151" t="s">
        <v>144</v>
      </c>
      <c r="J151" s="583">
        <v>0</v>
      </c>
      <c r="K151" s="583">
        <v>1081</v>
      </c>
      <c r="L151" s="565">
        <f t="shared" si="6"/>
        <v>1081</v>
      </c>
      <c r="M151" s="179">
        <v>45800</v>
      </c>
      <c r="N151" s="179">
        <v>45798</v>
      </c>
      <c r="O151" s="565">
        <v>1081</v>
      </c>
      <c r="P151" s="565">
        <f t="shared" si="7"/>
        <v>0</v>
      </c>
      <c r="Q151" s="565"/>
      <c r="R151" s="565"/>
      <c r="S151" s="565"/>
      <c r="T151" s="565"/>
      <c r="U151" s="565"/>
      <c r="V151" s="565"/>
      <c r="W151" s="565"/>
      <c r="X151" s="565"/>
      <c r="Y151" t="str">
        <f t="shared" ca="1" si="8"/>
        <v>PAGO</v>
      </c>
      <c r="AA151" t="s">
        <v>16</v>
      </c>
    </row>
    <row r="152" spans="1:27" x14ac:dyDescent="0.3">
      <c r="A152" t="s">
        <v>217</v>
      </c>
      <c r="B152" s="562">
        <v>2025</v>
      </c>
      <c r="C152" t="s">
        <v>248</v>
      </c>
      <c r="D152">
        <v>17621</v>
      </c>
      <c r="F152" s="179">
        <v>45758</v>
      </c>
      <c r="G152" t="s">
        <v>236</v>
      </c>
      <c r="H152" t="s">
        <v>37</v>
      </c>
      <c r="J152" s="583">
        <v>0</v>
      </c>
      <c r="K152" s="583">
        <v>267.04000000000002</v>
      </c>
      <c r="L152" s="565">
        <f t="shared" si="6"/>
        <v>267.04000000000002</v>
      </c>
      <c r="M152" s="179">
        <v>45786</v>
      </c>
      <c r="N152" s="179">
        <v>45786</v>
      </c>
      <c r="O152" s="565">
        <v>267.04000000000002</v>
      </c>
      <c r="P152" s="565">
        <f t="shared" si="7"/>
        <v>0</v>
      </c>
      <c r="Q152" s="565"/>
      <c r="R152" s="565"/>
      <c r="S152" s="565"/>
      <c r="T152" s="565"/>
      <c r="U152" s="565"/>
      <c r="V152" s="565"/>
      <c r="W152" s="565"/>
      <c r="X152" s="565"/>
      <c r="Y152" t="str">
        <f t="shared" ca="1" si="8"/>
        <v>PAGO</v>
      </c>
      <c r="AA152" t="s">
        <v>16</v>
      </c>
    </row>
    <row r="153" spans="1:27" x14ac:dyDescent="0.3">
      <c r="A153" t="s">
        <v>217</v>
      </c>
      <c r="B153" s="562">
        <v>2025</v>
      </c>
      <c r="C153" t="s">
        <v>248</v>
      </c>
      <c r="D153">
        <v>17640</v>
      </c>
      <c r="F153" s="179">
        <v>45761</v>
      </c>
      <c r="G153" t="s">
        <v>236</v>
      </c>
      <c r="H153" t="s">
        <v>37</v>
      </c>
      <c r="J153" s="583">
        <v>0</v>
      </c>
      <c r="K153" s="583">
        <v>362.7</v>
      </c>
      <c r="L153" s="565">
        <f t="shared" si="6"/>
        <v>362.7</v>
      </c>
      <c r="M153" s="179">
        <v>45789</v>
      </c>
      <c r="N153" s="179">
        <v>45791</v>
      </c>
      <c r="O153" s="565">
        <v>362.7</v>
      </c>
      <c r="P153" s="565">
        <f t="shared" si="7"/>
        <v>0</v>
      </c>
      <c r="Q153" s="565"/>
      <c r="R153" s="565"/>
      <c r="S153" s="565"/>
      <c r="T153" s="565"/>
      <c r="U153" s="565"/>
      <c r="V153" s="565"/>
      <c r="W153" s="565"/>
      <c r="X153" s="565"/>
      <c r="Y153" t="str">
        <f t="shared" ca="1" si="8"/>
        <v>PAGO</v>
      </c>
      <c r="AA153" t="s">
        <v>16</v>
      </c>
    </row>
    <row r="154" spans="1:27" x14ac:dyDescent="0.3">
      <c r="A154" t="s">
        <v>217</v>
      </c>
      <c r="B154" s="562">
        <v>2025</v>
      </c>
      <c r="C154" t="s">
        <v>248</v>
      </c>
      <c r="D154">
        <v>17669</v>
      </c>
      <c r="F154" s="179">
        <v>45762</v>
      </c>
      <c r="G154" t="s">
        <v>236</v>
      </c>
      <c r="H154" t="s">
        <v>135</v>
      </c>
      <c r="J154" s="583">
        <v>0</v>
      </c>
      <c r="K154" s="583">
        <v>274.27999999999997</v>
      </c>
      <c r="L154" s="565">
        <f t="shared" si="6"/>
        <v>274.27999999999997</v>
      </c>
      <c r="M154" s="179">
        <v>45790</v>
      </c>
      <c r="N154" s="179">
        <v>45791</v>
      </c>
      <c r="O154" s="565">
        <v>274.27999999999997</v>
      </c>
      <c r="P154" s="565">
        <f t="shared" si="7"/>
        <v>0</v>
      </c>
      <c r="Q154" s="565"/>
      <c r="R154" s="565"/>
      <c r="S154" s="565"/>
      <c r="T154" s="565"/>
      <c r="U154" s="565"/>
      <c r="V154" s="565"/>
      <c r="W154" s="565"/>
      <c r="X154" s="565"/>
      <c r="Y154" t="str">
        <f t="shared" ca="1" si="8"/>
        <v>PAGO</v>
      </c>
      <c r="AA154" t="s">
        <v>16</v>
      </c>
    </row>
    <row r="155" spans="1:27" x14ac:dyDescent="0.3">
      <c r="A155" t="s">
        <v>217</v>
      </c>
      <c r="B155" s="562">
        <v>2025</v>
      </c>
      <c r="C155" t="s">
        <v>248</v>
      </c>
      <c r="D155">
        <v>17750</v>
      </c>
      <c r="F155" s="179">
        <v>45769</v>
      </c>
      <c r="G155" t="s">
        <v>236</v>
      </c>
      <c r="H155" t="s">
        <v>37</v>
      </c>
      <c r="J155" s="583">
        <v>0</v>
      </c>
      <c r="K155" s="583">
        <v>1156.28</v>
      </c>
      <c r="L155" s="565">
        <f t="shared" si="6"/>
        <v>1156.28</v>
      </c>
      <c r="M155" s="179">
        <v>45797</v>
      </c>
      <c r="N155" s="179">
        <v>45797</v>
      </c>
      <c r="O155" s="565">
        <v>1156.28</v>
      </c>
      <c r="P155" s="565">
        <f t="shared" si="7"/>
        <v>0</v>
      </c>
      <c r="Q155" s="565"/>
      <c r="R155" s="565"/>
      <c r="S155" s="565"/>
      <c r="T155" s="565"/>
      <c r="U155" s="565"/>
      <c r="V155" s="565"/>
      <c r="W155" s="565"/>
      <c r="X155" s="565"/>
      <c r="Y155" t="str">
        <f t="shared" ca="1" si="8"/>
        <v>PAGO</v>
      </c>
      <c r="AA155" t="s">
        <v>16</v>
      </c>
    </row>
    <row r="156" spans="1:27" x14ac:dyDescent="0.3">
      <c r="A156" t="s">
        <v>217</v>
      </c>
      <c r="B156" s="562">
        <v>2025</v>
      </c>
      <c r="C156" t="s">
        <v>248</v>
      </c>
      <c r="D156">
        <v>17750</v>
      </c>
      <c r="F156" s="179">
        <v>45769</v>
      </c>
      <c r="G156" t="s">
        <v>236</v>
      </c>
      <c r="H156" t="s">
        <v>37</v>
      </c>
      <c r="J156" s="583">
        <v>0</v>
      </c>
      <c r="K156" s="583">
        <v>1156</v>
      </c>
      <c r="L156" s="565">
        <f t="shared" si="6"/>
        <v>1156</v>
      </c>
      <c r="M156" s="179">
        <v>45804</v>
      </c>
      <c r="N156" s="179">
        <v>45804</v>
      </c>
      <c r="O156" s="565">
        <v>1156</v>
      </c>
      <c r="P156" s="565">
        <f t="shared" si="7"/>
        <v>0</v>
      </c>
      <c r="Q156" s="565"/>
      <c r="R156" s="565"/>
      <c r="S156" s="565"/>
      <c r="T156" s="565"/>
      <c r="U156" s="565"/>
      <c r="V156" s="565"/>
      <c r="W156" s="565"/>
      <c r="X156" s="565"/>
      <c r="Y156" t="str">
        <f t="shared" ca="1" si="8"/>
        <v>PAGO</v>
      </c>
      <c r="AA156" t="s">
        <v>16</v>
      </c>
    </row>
    <row r="157" spans="1:27" x14ac:dyDescent="0.3">
      <c r="A157" t="s">
        <v>217</v>
      </c>
      <c r="B157" s="562">
        <v>2025</v>
      </c>
      <c r="C157" t="s">
        <v>248</v>
      </c>
      <c r="D157">
        <v>17750</v>
      </c>
      <c r="F157" s="179">
        <v>45769</v>
      </c>
      <c r="G157" t="s">
        <v>236</v>
      </c>
      <c r="H157" t="s">
        <v>37</v>
      </c>
      <c r="J157" s="583">
        <v>0</v>
      </c>
      <c r="K157" s="583">
        <v>1156</v>
      </c>
      <c r="L157" s="565">
        <f t="shared" si="6"/>
        <v>1156</v>
      </c>
      <c r="M157" s="179">
        <v>45811</v>
      </c>
      <c r="N157" s="179">
        <v>45811</v>
      </c>
      <c r="O157" s="565">
        <v>1156</v>
      </c>
      <c r="P157" s="565">
        <f t="shared" si="7"/>
        <v>0</v>
      </c>
      <c r="Q157" s="565"/>
      <c r="R157" s="565"/>
      <c r="S157" s="565"/>
      <c r="T157" s="565"/>
      <c r="U157" s="565"/>
      <c r="V157" s="565"/>
      <c r="W157" s="565"/>
      <c r="X157" s="565"/>
      <c r="Y157" t="str">
        <f t="shared" ca="1" si="8"/>
        <v>PAGO</v>
      </c>
      <c r="AA157" t="s">
        <v>16</v>
      </c>
    </row>
    <row r="158" spans="1:27" x14ac:dyDescent="0.3">
      <c r="A158" t="s">
        <v>217</v>
      </c>
      <c r="B158" s="562">
        <v>2025</v>
      </c>
      <c r="C158" t="s">
        <v>248</v>
      </c>
      <c r="D158">
        <v>17832</v>
      </c>
      <c r="F158" s="179">
        <v>45776</v>
      </c>
      <c r="G158" t="s">
        <v>236</v>
      </c>
      <c r="H158" t="s">
        <v>37</v>
      </c>
      <c r="J158" s="583">
        <v>0</v>
      </c>
      <c r="K158" s="583">
        <v>1886.01</v>
      </c>
      <c r="L158" s="565">
        <f t="shared" si="6"/>
        <v>1886.01</v>
      </c>
      <c r="M158" s="179">
        <v>45804</v>
      </c>
      <c r="N158" s="179">
        <v>45804</v>
      </c>
      <c r="O158" s="565">
        <v>1886.01</v>
      </c>
      <c r="P158" s="565">
        <f t="shared" si="7"/>
        <v>0</v>
      </c>
      <c r="Q158" s="565"/>
      <c r="R158" s="565"/>
      <c r="S158" s="565"/>
      <c r="T158" s="565"/>
      <c r="U158" s="565"/>
      <c r="V158" s="565"/>
      <c r="W158" s="565"/>
      <c r="X158" s="565"/>
      <c r="Y158" t="str">
        <f t="shared" ca="1" si="8"/>
        <v>PAGO</v>
      </c>
      <c r="AA158" t="s">
        <v>16</v>
      </c>
    </row>
    <row r="159" spans="1:27" x14ac:dyDescent="0.3">
      <c r="A159" t="s">
        <v>217</v>
      </c>
      <c r="B159" s="562">
        <v>2025</v>
      </c>
      <c r="C159" t="s">
        <v>248</v>
      </c>
      <c r="D159">
        <v>17832</v>
      </c>
      <c r="F159" s="179">
        <v>45776</v>
      </c>
      <c r="G159" t="s">
        <v>236</v>
      </c>
      <c r="H159" t="s">
        <v>37</v>
      </c>
      <c r="J159" s="583">
        <v>0</v>
      </c>
      <c r="K159" s="583">
        <v>1886</v>
      </c>
      <c r="L159" s="565">
        <f t="shared" si="6"/>
        <v>1886</v>
      </c>
      <c r="M159" s="179">
        <v>45811</v>
      </c>
      <c r="N159" s="179">
        <v>45812</v>
      </c>
      <c r="O159" s="565">
        <v>1886</v>
      </c>
      <c r="P159" s="565">
        <f t="shared" si="7"/>
        <v>0</v>
      </c>
      <c r="Q159" s="565"/>
      <c r="R159" s="565"/>
      <c r="S159" s="565"/>
      <c r="T159" s="565"/>
      <c r="U159" s="565"/>
      <c r="V159" s="565"/>
      <c r="W159" s="565"/>
      <c r="X159" s="565"/>
      <c r="Y159" t="str">
        <f t="shared" ca="1" si="8"/>
        <v>PAGO</v>
      </c>
      <c r="AA159" t="s">
        <v>16</v>
      </c>
    </row>
    <row r="160" spans="1:27" x14ac:dyDescent="0.3">
      <c r="A160" t="s">
        <v>217</v>
      </c>
      <c r="B160" s="562">
        <v>2025</v>
      </c>
      <c r="C160" t="s">
        <v>248</v>
      </c>
      <c r="D160">
        <v>17832</v>
      </c>
      <c r="F160" s="179">
        <v>45776</v>
      </c>
      <c r="G160" t="s">
        <v>236</v>
      </c>
      <c r="H160" t="s">
        <v>37</v>
      </c>
      <c r="J160" s="583">
        <v>0</v>
      </c>
      <c r="K160" s="583">
        <v>1886</v>
      </c>
      <c r="L160" s="565">
        <f t="shared" si="6"/>
        <v>1886</v>
      </c>
      <c r="M160" s="179">
        <v>45818</v>
      </c>
      <c r="N160" s="179">
        <v>45818</v>
      </c>
      <c r="O160" s="565">
        <v>1886</v>
      </c>
      <c r="P160" s="565">
        <f t="shared" si="7"/>
        <v>0</v>
      </c>
      <c r="Q160" s="565"/>
      <c r="R160" s="565"/>
      <c r="S160" s="565"/>
      <c r="T160" s="565"/>
      <c r="U160" s="565"/>
      <c r="V160" s="565"/>
      <c r="W160" s="565"/>
      <c r="X160" s="565"/>
      <c r="Y160" t="str">
        <f t="shared" ca="1" si="8"/>
        <v>PAGO</v>
      </c>
      <c r="AA160" t="s">
        <v>16</v>
      </c>
    </row>
    <row r="161" spans="1:27" x14ac:dyDescent="0.3">
      <c r="A161" t="s">
        <v>218</v>
      </c>
      <c r="B161" s="562">
        <v>2025</v>
      </c>
      <c r="C161" t="s">
        <v>248</v>
      </c>
      <c r="D161">
        <v>17866</v>
      </c>
      <c r="F161" s="179">
        <v>45782</v>
      </c>
      <c r="G161" t="s">
        <v>236</v>
      </c>
      <c r="J161" s="583">
        <v>0</v>
      </c>
      <c r="K161" s="583">
        <v>774.41</v>
      </c>
      <c r="L161" s="565">
        <f t="shared" si="6"/>
        <v>774.41</v>
      </c>
      <c r="M161" s="179">
        <v>45810</v>
      </c>
      <c r="N161" s="179">
        <v>45810</v>
      </c>
      <c r="O161" s="565">
        <v>774.41</v>
      </c>
      <c r="P161" s="565">
        <f t="shared" si="7"/>
        <v>0</v>
      </c>
      <c r="Q161" s="565"/>
      <c r="R161" s="565"/>
      <c r="S161" s="565"/>
      <c r="T161" s="565"/>
      <c r="U161" s="565"/>
      <c r="V161" s="565"/>
      <c r="W161" s="565"/>
      <c r="X161" s="565"/>
      <c r="Y161" t="str">
        <f t="shared" ca="1" si="8"/>
        <v>PAGO</v>
      </c>
      <c r="AA161" t="s">
        <v>393</v>
      </c>
    </row>
    <row r="162" spans="1:27" x14ac:dyDescent="0.3">
      <c r="A162" t="s">
        <v>218</v>
      </c>
      <c r="B162" s="562">
        <v>2025</v>
      </c>
      <c r="C162" t="s">
        <v>248</v>
      </c>
      <c r="D162">
        <v>17866</v>
      </c>
      <c r="F162" s="179">
        <v>45782</v>
      </c>
      <c r="G162" t="s">
        <v>236</v>
      </c>
      <c r="J162" s="583">
        <v>0</v>
      </c>
      <c r="K162" s="583">
        <v>772</v>
      </c>
      <c r="L162" s="565">
        <f t="shared" si="6"/>
        <v>772</v>
      </c>
      <c r="M162" s="179">
        <v>45817</v>
      </c>
      <c r="N162" s="179">
        <v>45817</v>
      </c>
      <c r="O162" s="565">
        <v>772</v>
      </c>
      <c r="P162" s="565">
        <f t="shared" si="7"/>
        <v>0</v>
      </c>
      <c r="Q162" s="565"/>
      <c r="R162" s="565"/>
      <c r="S162" s="565"/>
      <c r="T162" s="565"/>
      <c r="U162" s="565"/>
      <c r="V162" s="565"/>
      <c r="W162" s="565"/>
      <c r="X162" s="565"/>
      <c r="Y162" t="str">
        <f t="shared" ca="1" si="8"/>
        <v>PAGO</v>
      </c>
      <c r="AA162" t="s">
        <v>393</v>
      </c>
    </row>
    <row r="163" spans="1:27" x14ac:dyDescent="0.3">
      <c r="A163" t="s">
        <v>218</v>
      </c>
      <c r="B163" s="562">
        <v>2025</v>
      </c>
      <c r="C163" t="s">
        <v>248</v>
      </c>
      <c r="D163">
        <v>17866</v>
      </c>
      <c r="F163" s="179">
        <v>45782</v>
      </c>
      <c r="G163" t="s">
        <v>236</v>
      </c>
      <c r="J163" s="583">
        <v>0</v>
      </c>
      <c r="K163" s="583">
        <v>772</v>
      </c>
      <c r="L163" s="565">
        <f t="shared" si="6"/>
        <v>772</v>
      </c>
      <c r="M163" s="179">
        <v>45824</v>
      </c>
      <c r="N163" s="179">
        <v>45824</v>
      </c>
      <c r="O163" s="565">
        <v>772</v>
      </c>
      <c r="P163" s="565">
        <f t="shared" si="7"/>
        <v>0</v>
      </c>
      <c r="Q163" s="565"/>
      <c r="R163" s="565"/>
      <c r="S163" s="565"/>
      <c r="T163" s="565"/>
      <c r="U163" s="565"/>
      <c r="V163" s="565"/>
      <c r="W163" s="565"/>
      <c r="X163" s="565"/>
      <c r="Y163" t="str">
        <f t="shared" ca="1" si="8"/>
        <v>PAGO</v>
      </c>
      <c r="AA163" t="s">
        <v>393</v>
      </c>
    </row>
    <row r="164" spans="1:27" x14ac:dyDescent="0.3">
      <c r="A164" t="s">
        <v>218</v>
      </c>
      <c r="B164" s="562">
        <v>2025</v>
      </c>
      <c r="C164" t="s">
        <v>248</v>
      </c>
      <c r="D164">
        <v>17876</v>
      </c>
      <c r="F164" s="179">
        <v>45782</v>
      </c>
      <c r="G164" t="s">
        <v>236</v>
      </c>
      <c r="J164" s="583">
        <v>0</v>
      </c>
      <c r="K164" s="583">
        <v>339.83</v>
      </c>
      <c r="L164" s="565">
        <f t="shared" si="6"/>
        <v>339.83</v>
      </c>
      <c r="M164" s="179">
        <v>45810</v>
      </c>
      <c r="N164" s="179">
        <v>45810</v>
      </c>
      <c r="O164" s="565">
        <v>339.83</v>
      </c>
      <c r="P164" s="565">
        <f t="shared" si="7"/>
        <v>0</v>
      </c>
      <c r="Q164" s="565"/>
      <c r="R164" s="565"/>
      <c r="S164" s="565"/>
      <c r="T164" s="565"/>
      <c r="U164" s="565"/>
      <c r="V164" s="565"/>
      <c r="W164" s="565"/>
      <c r="X164" s="565"/>
      <c r="Y164" t="str">
        <f t="shared" ca="1" si="8"/>
        <v>PAGO</v>
      </c>
      <c r="AA164" t="s">
        <v>393</v>
      </c>
    </row>
    <row r="165" spans="1:27" x14ac:dyDescent="0.3">
      <c r="A165" t="s">
        <v>218</v>
      </c>
      <c r="B165" s="562">
        <v>2025</v>
      </c>
      <c r="C165" t="s">
        <v>248</v>
      </c>
      <c r="D165">
        <v>17876</v>
      </c>
      <c r="F165" s="179">
        <v>45782</v>
      </c>
      <c r="G165" t="s">
        <v>236</v>
      </c>
      <c r="J165" s="583">
        <v>0</v>
      </c>
      <c r="K165" s="583">
        <v>339.82</v>
      </c>
      <c r="L165" s="565">
        <f t="shared" si="6"/>
        <v>339.82</v>
      </c>
      <c r="M165" s="179">
        <v>45817</v>
      </c>
      <c r="N165" s="179">
        <v>45817</v>
      </c>
      <c r="O165" s="565">
        <v>339.82</v>
      </c>
      <c r="P165" s="565">
        <f t="shared" si="7"/>
        <v>0</v>
      </c>
      <c r="Q165" s="565"/>
      <c r="R165" s="565"/>
      <c r="S165" s="565"/>
      <c r="T165" s="565"/>
      <c r="U165" s="565"/>
      <c r="V165" s="565"/>
      <c r="W165" s="565"/>
      <c r="X165" s="565"/>
      <c r="Y165" t="str">
        <f t="shared" ca="1" si="8"/>
        <v>PAGO</v>
      </c>
      <c r="AA165" t="s">
        <v>393</v>
      </c>
    </row>
    <row r="166" spans="1:27" x14ac:dyDescent="0.3">
      <c r="A166" t="s">
        <v>218</v>
      </c>
      <c r="B166" s="562">
        <v>2025</v>
      </c>
      <c r="C166" t="s">
        <v>248</v>
      </c>
      <c r="D166">
        <v>17878</v>
      </c>
      <c r="F166" s="179">
        <v>45782</v>
      </c>
      <c r="G166" t="s">
        <v>236</v>
      </c>
      <c r="J166" s="583">
        <v>0</v>
      </c>
      <c r="K166" s="583">
        <v>725.78</v>
      </c>
      <c r="L166" s="565">
        <f t="shared" si="6"/>
        <v>725.78</v>
      </c>
      <c r="M166" s="179">
        <v>45810</v>
      </c>
      <c r="N166" s="179">
        <v>45810</v>
      </c>
      <c r="O166" s="565">
        <v>725.78</v>
      </c>
      <c r="P166" s="565">
        <f t="shared" si="7"/>
        <v>0</v>
      </c>
      <c r="Q166" s="565"/>
      <c r="R166" s="565"/>
      <c r="S166" s="565"/>
      <c r="T166" s="565"/>
      <c r="U166" s="565"/>
      <c r="V166" s="565"/>
      <c r="W166" s="565"/>
      <c r="X166" s="565"/>
      <c r="Y166" t="str">
        <f t="shared" ca="1" si="8"/>
        <v>PAGO</v>
      </c>
      <c r="AA166" t="s">
        <v>393</v>
      </c>
    </row>
    <row r="167" spans="1:27" x14ac:dyDescent="0.3">
      <c r="A167" t="s">
        <v>218</v>
      </c>
      <c r="B167" s="562">
        <v>2025</v>
      </c>
      <c r="C167" t="s">
        <v>248</v>
      </c>
      <c r="D167">
        <v>17878</v>
      </c>
      <c r="F167" s="179">
        <v>45782</v>
      </c>
      <c r="G167" t="s">
        <v>236</v>
      </c>
      <c r="J167" s="583">
        <v>0</v>
      </c>
      <c r="K167" s="583">
        <v>723</v>
      </c>
      <c r="L167" s="565">
        <f t="shared" si="6"/>
        <v>723</v>
      </c>
      <c r="M167" s="179">
        <v>45817</v>
      </c>
      <c r="N167" s="179">
        <v>45817</v>
      </c>
      <c r="O167" s="565">
        <v>723</v>
      </c>
      <c r="P167" s="565">
        <f t="shared" si="7"/>
        <v>0</v>
      </c>
      <c r="Q167" s="565"/>
      <c r="R167" s="565"/>
      <c r="S167" s="565"/>
      <c r="T167" s="565"/>
      <c r="U167" s="565"/>
      <c r="V167" s="565"/>
      <c r="W167" s="565"/>
      <c r="X167" s="565"/>
      <c r="Y167" t="str">
        <f t="shared" ca="1" si="8"/>
        <v>PAGO</v>
      </c>
      <c r="AA167" t="s">
        <v>393</v>
      </c>
    </row>
    <row r="168" spans="1:27" x14ac:dyDescent="0.3">
      <c r="A168" t="s">
        <v>218</v>
      </c>
      <c r="B168" s="562">
        <v>2025</v>
      </c>
      <c r="C168" t="s">
        <v>248</v>
      </c>
      <c r="D168">
        <v>17878</v>
      </c>
      <c r="F168" s="179">
        <v>45782</v>
      </c>
      <c r="G168" t="s">
        <v>236</v>
      </c>
      <c r="J168" s="583">
        <v>0</v>
      </c>
      <c r="K168" s="583">
        <v>723</v>
      </c>
      <c r="L168" s="565">
        <f t="shared" si="6"/>
        <v>723</v>
      </c>
      <c r="M168" s="179">
        <v>45824</v>
      </c>
      <c r="N168" s="179">
        <v>45824</v>
      </c>
      <c r="O168" s="565">
        <v>723</v>
      </c>
      <c r="P168" s="565">
        <f t="shared" si="7"/>
        <v>0</v>
      </c>
      <c r="Q168" s="565"/>
      <c r="R168" s="565"/>
      <c r="S168" s="565"/>
      <c r="T168" s="565"/>
      <c r="U168" s="565"/>
      <c r="V168" s="565"/>
      <c r="W168" s="565"/>
      <c r="X168" s="565"/>
      <c r="Y168" t="str">
        <f t="shared" ca="1" si="8"/>
        <v>PAGO</v>
      </c>
      <c r="AA168" t="s">
        <v>393</v>
      </c>
    </row>
    <row r="169" spans="1:27" x14ac:dyDescent="0.3">
      <c r="A169" t="s">
        <v>218</v>
      </c>
      <c r="B169" s="562">
        <v>2025</v>
      </c>
      <c r="C169" t="s">
        <v>248</v>
      </c>
      <c r="D169">
        <v>17894</v>
      </c>
      <c r="F169" s="179">
        <v>45783</v>
      </c>
      <c r="G169" t="s">
        <v>236</v>
      </c>
      <c r="J169" s="583">
        <v>0</v>
      </c>
      <c r="K169" s="583">
        <v>342.83</v>
      </c>
      <c r="L169" s="565">
        <f t="shared" si="6"/>
        <v>342.83</v>
      </c>
      <c r="M169" s="179">
        <v>45811</v>
      </c>
      <c r="N169" s="179">
        <v>45811</v>
      </c>
      <c r="O169" s="565">
        <v>342.83</v>
      </c>
      <c r="P169" s="565">
        <f t="shared" si="7"/>
        <v>0</v>
      </c>
      <c r="Q169" s="565"/>
      <c r="R169" s="565"/>
      <c r="S169" s="565"/>
      <c r="T169" s="565"/>
      <c r="U169" s="565"/>
      <c r="V169" s="565"/>
      <c r="W169" s="565"/>
      <c r="X169" s="565"/>
      <c r="Y169" t="str">
        <f t="shared" ca="1" si="8"/>
        <v>PAGO</v>
      </c>
      <c r="AA169" t="s">
        <v>393</v>
      </c>
    </row>
    <row r="170" spans="1:27" x14ac:dyDescent="0.3">
      <c r="A170" t="s">
        <v>218</v>
      </c>
      <c r="B170" s="562">
        <v>2025</v>
      </c>
      <c r="C170" t="s">
        <v>248</v>
      </c>
      <c r="D170">
        <v>17894</v>
      </c>
      <c r="F170" s="179">
        <v>45783</v>
      </c>
      <c r="G170" t="s">
        <v>236</v>
      </c>
      <c r="J170" s="583">
        <v>0</v>
      </c>
      <c r="K170" s="583">
        <v>342</v>
      </c>
      <c r="L170" s="565">
        <f t="shared" si="6"/>
        <v>342</v>
      </c>
      <c r="M170" s="179">
        <v>45818</v>
      </c>
      <c r="N170" s="179">
        <v>45818</v>
      </c>
      <c r="O170" s="565">
        <v>342</v>
      </c>
      <c r="P170" s="565">
        <f t="shared" si="7"/>
        <v>0</v>
      </c>
      <c r="Q170" s="565"/>
      <c r="R170" s="565"/>
      <c r="S170" s="565"/>
      <c r="T170" s="565"/>
      <c r="U170" s="565"/>
      <c r="V170" s="565"/>
      <c r="W170" s="565"/>
      <c r="X170" s="565"/>
      <c r="Y170" t="str">
        <f t="shared" ca="1" si="8"/>
        <v>PAGO</v>
      </c>
      <c r="AA170" t="s">
        <v>393</v>
      </c>
    </row>
    <row r="171" spans="1:27" x14ac:dyDescent="0.3">
      <c r="A171" t="s">
        <v>218</v>
      </c>
      <c r="B171" s="562">
        <v>2025</v>
      </c>
      <c r="C171" t="s">
        <v>248</v>
      </c>
      <c r="D171">
        <v>17893</v>
      </c>
      <c r="F171" s="179">
        <v>45783</v>
      </c>
      <c r="G171" t="s">
        <v>236</v>
      </c>
      <c r="J171" s="583">
        <v>0</v>
      </c>
      <c r="K171" s="583">
        <v>369.68</v>
      </c>
      <c r="L171" s="565">
        <f t="shared" si="6"/>
        <v>369.68</v>
      </c>
      <c r="M171" s="179">
        <v>45811</v>
      </c>
      <c r="N171" s="179">
        <v>45811</v>
      </c>
      <c r="O171" s="565">
        <v>369.68</v>
      </c>
      <c r="P171" s="565">
        <f t="shared" si="7"/>
        <v>0</v>
      </c>
      <c r="Q171" s="565"/>
      <c r="R171" s="565"/>
      <c r="S171" s="565"/>
      <c r="T171" s="565"/>
      <c r="U171" s="565"/>
      <c r="V171" s="565"/>
      <c r="W171" s="565"/>
      <c r="X171" s="565"/>
      <c r="Y171" t="str">
        <f t="shared" ca="1" si="8"/>
        <v>PAGO</v>
      </c>
      <c r="AA171" t="s">
        <v>393</v>
      </c>
    </row>
    <row r="172" spans="1:27" x14ac:dyDescent="0.3">
      <c r="A172" t="s">
        <v>218</v>
      </c>
      <c r="B172" s="562">
        <v>2025</v>
      </c>
      <c r="C172" t="s">
        <v>248</v>
      </c>
      <c r="D172">
        <v>17892</v>
      </c>
      <c r="F172" s="179">
        <v>45783</v>
      </c>
      <c r="G172" t="s">
        <v>236</v>
      </c>
      <c r="J172" s="583">
        <v>0</v>
      </c>
      <c r="K172" s="583">
        <v>260.48</v>
      </c>
      <c r="L172" s="565">
        <f t="shared" si="6"/>
        <v>260.48</v>
      </c>
      <c r="M172" s="179">
        <v>45811</v>
      </c>
      <c r="N172" s="179">
        <v>45810</v>
      </c>
      <c r="O172" s="565">
        <v>260.48</v>
      </c>
      <c r="P172" s="565">
        <f t="shared" si="7"/>
        <v>0</v>
      </c>
      <c r="Q172" s="565"/>
      <c r="R172" s="565"/>
      <c r="S172" s="565"/>
      <c r="T172" s="565"/>
      <c r="U172" s="565"/>
      <c r="V172" s="565"/>
      <c r="W172" s="565"/>
      <c r="X172" s="565"/>
      <c r="Y172" t="str">
        <f t="shared" ca="1" si="8"/>
        <v>PAGO</v>
      </c>
      <c r="AA172" t="s">
        <v>393</v>
      </c>
    </row>
    <row r="173" spans="1:27" x14ac:dyDescent="0.3">
      <c r="A173" t="s">
        <v>218</v>
      </c>
      <c r="B173" s="562">
        <v>2025</v>
      </c>
      <c r="C173" t="s">
        <v>248</v>
      </c>
      <c r="D173">
        <v>17897</v>
      </c>
      <c r="F173" s="179">
        <v>45783</v>
      </c>
      <c r="G173" t="s">
        <v>236</v>
      </c>
      <c r="J173" s="583">
        <v>0</v>
      </c>
      <c r="K173" s="583">
        <v>426.76</v>
      </c>
      <c r="L173" s="565">
        <f t="shared" si="6"/>
        <v>426.76</v>
      </c>
      <c r="M173" s="179">
        <v>45811</v>
      </c>
      <c r="N173" s="179">
        <v>45811</v>
      </c>
      <c r="O173" s="565">
        <v>426.76</v>
      </c>
      <c r="P173" s="565">
        <f t="shared" si="7"/>
        <v>0</v>
      </c>
      <c r="Q173" s="565"/>
      <c r="R173" s="565"/>
      <c r="S173" s="565"/>
      <c r="T173" s="565"/>
      <c r="U173" s="565"/>
      <c r="V173" s="565"/>
      <c r="W173" s="565"/>
      <c r="X173" s="565"/>
      <c r="Y173" t="str">
        <f t="shared" ca="1" si="8"/>
        <v>PAGO</v>
      </c>
      <c r="AA173" t="s">
        <v>393</v>
      </c>
    </row>
    <row r="174" spans="1:27" x14ac:dyDescent="0.3">
      <c r="A174" t="s">
        <v>218</v>
      </c>
      <c r="B174" s="562">
        <v>2025</v>
      </c>
      <c r="C174" t="s">
        <v>248</v>
      </c>
      <c r="D174">
        <v>17897</v>
      </c>
      <c r="F174" s="179">
        <v>45783</v>
      </c>
      <c r="G174" t="s">
        <v>236</v>
      </c>
      <c r="J174" s="583">
        <v>0</v>
      </c>
      <c r="K174" s="583">
        <v>426</v>
      </c>
      <c r="L174" s="565">
        <f t="shared" si="6"/>
        <v>426</v>
      </c>
      <c r="M174" s="179">
        <v>45818</v>
      </c>
      <c r="N174" s="179">
        <v>45818</v>
      </c>
      <c r="O174" s="565">
        <v>426</v>
      </c>
      <c r="P174" s="565">
        <f t="shared" si="7"/>
        <v>0</v>
      </c>
      <c r="Q174" s="565"/>
      <c r="R174" s="565"/>
      <c r="S174" s="565"/>
      <c r="T174" s="565"/>
      <c r="U174" s="565"/>
      <c r="V174" s="565"/>
      <c r="W174" s="565"/>
      <c r="X174" s="565"/>
      <c r="Y174" t="str">
        <f t="shared" ca="1" si="8"/>
        <v>PAGO</v>
      </c>
      <c r="AA174" t="s">
        <v>393</v>
      </c>
    </row>
    <row r="175" spans="1:27" x14ac:dyDescent="0.3">
      <c r="A175" t="s">
        <v>218</v>
      </c>
      <c r="B175" s="562">
        <v>2025</v>
      </c>
      <c r="C175" t="s">
        <v>248</v>
      </c>
      <c r="D175">
        <v>17897</v>
      </c>
      <c r="F175" s="179">
        <v>45783</v>
      </c>
      <c r="G175" t="s">
        <v>236</v>
      </c>
      <c r="J175" s="583">
        <v>0</v>
      </c>
      <c r="K175" s="583">
        <v>426</v>
      </c>
      <c r="L175" s="565">
        <f t="shared" si="6"/>
        <v>426</v>
      </c>
      <c r="M175" s="179">
        <v>45825</v>
      </c>
      <c r="N175" s="179">
        <v>45824</v>
      </c>
      <c r="O175" s="565">
        <v>426</v>
      </c>
      <c r="P175" s="565">
        <f t="shared" si="7"/>
        <v>0</v>
      </c>
      <c r="Q175" s="565"/>
      <c r="R175" s="565"/>
      <c r="S175" s="565"/>
      <c r="T175" s="565"/>
      <c r="U175" s="565"/>
      <c r="V175" s="565"/>
      <c r="W175" s="565"/>
      <c r="X175" s="565"/>
      <c r="Y175" t="str">
        <f t="shared" ca="1" si="8"/>
        <v>PAGO</v>
      </c>
      <c r="AA175" t="s">
        <v>393</v>
      </c>
    </row>
    <row r="176" spans="1:27" x14ac:dyDescent="0.3">
      <c r="A176" t="s">
        <v>218</v>
      </c>
      <c r="B176" s="562">
        <v>2025</v>
      </c>
      <c r="C176" t="s">
        <v>248</v>
      </c>
      <c r="D176">
        <v>17921</v>
      </c>
      <c r="F176" s="179">
        <v>45784</v>
      </c>
      <c r="G176" t="s">
        <v>236</v>
      </c>
      <c r="J176" s="583">
        <v>0</v>
      </c>
      <c r="K176" s="583">
        <v>362.75</v>
      </c>
      <c r="L176" s="565">
        <f t="shared" si="6"/>
        <v>362.75</v>
      </c>
      <c r="M176" s="179">
        <v>45812</v>
      </c>
      <c r="N176" s="179">
        <v>45812</v>
      </c>
      <c r="O176" s="565">
        <v>362.75</v>
      </c>
      <c r="P176" s="565">
        <f t="shared" si="7"/>
        <v>0</v>
      </c>
      <c r="Q176" s="565"/>
      <c r="R176" s="565"/>
      <c r="S176" s="565"/>
      <c r="T176" s="565"/>
      <c r="U176" s="565"/>
      <c r="V176" s="565"/>
      <c r="W176" s="565"/>
      <c r="X176" s="565"/>
      <c r="Y176" t="str">
        <f t="shared" ca="1" si="8"/>
        <v>PAGO</v>
      </c>
      <c r="AA176" t="s">
        <v>393</v>
      </c>
    </row>
    <row r="177" spans="1:27" x14ac:dyDescent="0.3">
      <c r="A177" t="s">
        <v>218</v>
      </c>
      <c r="B177" s="562">
        <v>2025</v>
      </c>
      <c r="C177" t="s">
        <v>248</v>
      </c>
      <c r="D177">
        <v>17921</v>
      </c>
      <c r="F177" s="179">
        <v>45784</v>
      </c>
      <c r="G177" t="s">
        <v>236</v>
      </c>
      <c r="J177" s="583">
        <v>0</v>
      </c>
      <c r="K177" s="583">
        <v>362</v>
      </c>
      <c r="L177" s="565">
        <f t="shared" si="6"/>
        <v>362</v>
      </c>
      <c r="M177" s="179">
        <v>45819</v>
      </c>
      <c r="N177" s="179">
        <v>45818</v>
      </c>
      <c r="O177" s="565">
        <v>362</v>
      </c>
      <c r="P177" s="565">
        <f t="shared" si="7"/>
        <v>0</v>
      </c>
      <c r="Q177" s="565"/>
      <c r="R177" s="565"/>
      <c r="S177" s="565"/>
      <c r="T177" s="565"/>
      <c r="U177" s="565"/>
      <c r="V177" s="565"/>
      <c r="W177" s="565"/>
      <c r="X177" s="565"/>
      <c r="Y177" t="str">
        <f t="shared" ca="1" si="8"/>
        <v>PAGO</v>
      </c>
      <c r="AA177" t="s">
        <v>393</v>
      </c>
    </row>
    <row r="178" spans="1:27" x14ac:dyDescent="0.3">
      <c r="A178" t="s">
        <v>218</v>
      </c>
      <c r="B178" s="562">
        <v>2025</v>
      </c>
      <c r="C178" t="s">
        <v>248</v>
      </c>
      <c r="D178">
        <v>17921</v>
      </c>
      <c r="F178" s="179">
        <v>45784</v>
      </c>
      <c r="G178" t="s">
        <v>236</v>
      </c>
      <c r="J178" s="583">
        <v>0</v>
      </c>
      <c r="K178" s="583">
        <v>362</v>
      </c>
      <c r="L178" s="565">
        <f t="shared" si="6"/>
        <v>362</v>
      </c>
      <c r="M178" s="179">
        <v>45826</v>
      </c>
      <c r="N178" s="179">
        <v>45824</v>
      </c>
      <c r="O178" s="565">
        <v>362</v>
      </c>
      <c r="P178" s="565">
        <f t="shared" si="7"/>
        <v>0</v>
      </c>
      <c r="Q178" s="565"/>
      <c r="R178" s="565"/>
      <c r="S178" s="565"/>
      <c r="T178" s="565"/>
      <c r="U178" s="565"/>
      <c r="V178" s="565"/>
      <c r="W178" s="565"/>
      <c r="X178" s="565"/>
      <c r="Y178" t="str">
        <f t="shared" ca="1" si="8"/>
        <v>PAGO</v>
      </c>
      <c r="AA178" t="s">
        <v>393</v>
      </c>
    </row>
    <row r="179" spans="1:27" x14ac:dyDescent="0.3">
      <c r="A179" t="s">
        <v>218</v>
      </c>
      <c r="B179" s="562">
        <v>2025</v>
      </c>
      <c r="C179" t="s">
        <v>248</v>
      </c>
      <c r="D179">
        <v>18124</v>
      </c>
      <c r="F179" s="179">
        <v>45803</v>
      </c>
      <c r="G179" t="s">
        <v>236</v>
      </c>
      <c r="J179" s="583">
        <v>0</v>
      </c>
      <c r="K179" s="583">
        <v>725.23</v>
      </c>
      <c r="L179" s="565">
        <f t="shared" si="6"/>
        <v>725.23</v>
      </c>
      <c r="M179" s="179">
        <v>45831</v>
      </c>
      <c r="N179" s="179">
        <v>45831</v>
      </c>
      <c r="O179" s="565">
        <v>725.23</v>
      </c>
      <c r="P179" s="565">
        <f t="shared" si="7"/>
        <v>0</v>
      </c>
      <c r="Q179" s="565"/>
      <c r="R179" s="565"/>
      <c r="S179" s="565"/>
      <c r="T179" s="565"/>
      <c r="U179" s="565"/>
      <c r="V179" s="565"/>
      <c r="W179" s="565"/>
      <c r="X179" s="565"/>
      <c r="Y179" t="str">
        <f t="shared" ca="1" si="8"/>
        <v>PAGO</v>
      </c>
      <c r="AA179" t="s">
        <v>393</v>
      </c>
    </row>
    <row r="180" spans="1:27" x14ac:dyDescent="0.3">
      <c r="A180" t="s">
        <v>218</v>
      </c>
      <c r="B180" s="562">
        <v>2025</v>
      </c>
      <c r="C180" t="s">
        <v>248</v>
      </c>
      <c r="D180">
        <v>18124</v>
      </c>
      <c r="F180" s="179">
        <v>45803</v>
      </c>
      <c r="G180" t="s">
        <v>236</v>
      </c>
      <c r="J180" s="583">
        <v>0</v>
      </c>
      <c r="K180" s="583">
        <v>725</v>
      </c>
      <c r="L180" s="565">
        <f t="shared" si="6"/>
        <v>725</v>
      </c>
      <c r="M180" s="179">
        <v>45838</v>
      </c>
      <c r="N180" s="179">
        <v>45838</v>
      </c>
      <c r="O180" s="565">
        <v>725</v>
      </c>
      <c r="P180" s="565">
        <f t="shared" si="7"/>
        <v>0</v>
      </c>
      <c r="Q180" s="565"/>
      <c r="R180" s="565"/>
      <c r="S180" s="565"/>
      <c r="T180" s="565"/>
      <c r="U180" s="565"/>
      <c r="V180" s="565"/>
      <c r="W180" s="565"/>
      <c r="X180" s="565"/>
      <c r="Y180" t="str">
        <f t="shared" ca="1" si="8"/>
        <v>PAGO</v>
      </c>
      <c r="AA180" t="s">
        <v>393</v>
      </c>
    </row>
    <row r="181" spans="1:27" x14ac:dyDescent="0.3">
      <c r="A181" t="s">
        <v>218</v>
      </c>
      <c r="B181" s="562">
        <v>2025</v>
      </c>
      <c r="C181" t="s">
        <v>248</v>
      </c>
      <c r="D181">
        <v>18124</v>
      </c>
      <c r="F181" s="179">
        <v>45803</v>
      </c>
      <c r="G181" t="s">
        <v>236</v>
      </c>
      <c r="J181" s="583">
        <v>0</v>
      </c>
      <c r="K181" s="583">
        <v>725</v>
      </c>
      <c r="L181" s="565">
        <f t="shared" si="6"/>
        <v>725</v>
      </c>
      <c r="M181" s="179">
        <v>45845</v>
      </c>
      <c r="N181" s="179">
        <v>45845</v>
      </c>
      <c r="O181" s="565">
        <v>725</v>
      </c>
      <c r="P181" s="565">
        <f t="shared" si="7"/>
        <v>0</v>
      </c>
      <c r="Q181" s="565"/>
      <c r="R181" s="565"/>
      <c r="S181" s="565"/>
      <c r="T181" s="565"/>
      <c r="U181" s="565"/>
      <c r="V181" s="565"/>
      <c r="W181" s="565"/>
      <c r="X181" s="565"/>
      <c r="Y181" t="str">
        <f t="shared" ca="1" si="8"/>
        <v>PAGO</v>
      </c>
      <c r="AA181" t="s">
        <v>393</v>
      </c>
    </row>
    <row r="182" spans="1:27" x14ac:dyDescent="0.3">
      <c r="A182" t="s">
        <v>218</v>
      </c>
      <c r="B182" s="562">
        <v>2025</v>
      </c>
      <c r="C182" t="s">
        <v>248</v>
      </c>
      <c r="D182">
        <v>18136</v>
      </c>
      <c r="F182" s="179">
        <v>45804</v>
      </c>
      <c r="G182" t="s">
        <v>236</v>
      </c>
      <c r="J182" s="583">
        <v>0</v>
      </c>
      <c r="K182" s="583">
        <v>405.3</v>
      </c>
      <c r="L182" s="565">
        <f t="shared" si="6"/>
        <v>405.3</v>
      </c>
      <c r="M182" s="179">
        <v>45832</v>
      </c>
      <c r="N182" s="179">
        <v>45831</v>
      </c>
      <c r="O182" s="565">
        <v>405.3</v>
      </c>
      <c r="P182" s="565">
        <f t="shared" si="7"/>
        <v>0</v>
      </c>
      <c r="Q182" s="565"/>
      <c r="R182" s="565"/>
      <c r="S182" s="565"/>
      <c r="T182" s="565"/>
      <c r="U182" s="565"/>
      <c r="V182" s="565"/>
      <c r="W182" s="565"/>
      <c r="X182" s="565"/>
      <c r="Y182" t="str">
        <f t="shared" ca="1" si="8"/>
        <v>PAGO</v>
      </c>
      <c r="AA182" t="s">
        <v>393</v>
      </c>
    </row>
    <row r="183" spans="1:27" x14ac:dyDescent="0.3">
      <c r="A183" t="s">
        <v>218</v>
      </c>
      <c r="B183" s="562">
        <v>2025</v>
      </c>
      <c r="C183" t="s">
        <v>248</v>
      </c>
      <c r="D183">
        <v>18136</v>
      </c>
      <c r="F183" s="179">
        <v>45804</v>
      </c>
      <c r="G183" t="s">
        <v>236</v>
      </c>
      <c r="J183" s="583">
        <v>0</v>
      </c>
      <c r="K183" s="583">
        <v>404</v>
      </c>
      <c r="L183" s="565">
        <f t="shared" si="6"/>
        <v>404</v>
      </c>
      <c r="M183" s="179">
        <v>45839</v>
      </c>
      <c r="N183" s="179">
        <v>45838</v>
      </c>
      <c r="O183" s="565">
        <v>404</v>
      </c>
      <c r="P183" s="565">
        <f t="shared" si="7"/>
        <v>0</v>
      </c>
      <c r="Q183" s="565"/>
      <c r="R183" s="565"/>
      <c r="S183" s="565"/>
      <c r="T183" s="565"/>
      <c r="U183" s="565"/>
      <c r="V183" s="565"/>
      <c r="W183" s="565"/>
      <c r="X183" s="565"/>
      <c r="Y183" t="str">
        <f t="shared" ca="1" si="8"/>
        <v>PAGO</v>
      </c>
      <c r="AA183" t="s">
        <v>393</v>
      </c>
    </row>
    <row r="184" spans="1:27" x14ac:dyDescent="0.3">
      <c r="A184" t="s">
        <v>218</v>
      </c>
      <c r="B184" s="562">
        <v>2025</v>
      </c>
      <c r="C184" t="s">
        <v>248</v>
      </c>
      <c r="D184">
        <v>18193</v>
      </c>
      <c r="F184" s="179">
        <v>45807</v>
      </c>
      <c r="G184" t="s">
        <v>236</v>
      </c>
      <c r="J184" s="583">
        <v>0</v>
      </c>
      <c r="K184" s="583">
        <v>342.83</v>
      </c>
      <c r="L184" s="565">
        <f t="shared" si="6"/>
        <v>342.83</v>
      </c>
      <c r="M184" s="179">
        <v>45835</v>
      </c>
      <c r="N184" s="179">
        <v>45831</v>
      </c>
      <c r="O184" s="565">
        <v>342.83</v>
      </c>
      <c r="P184" s="565">
        <f t="shared" si="7"/>
        <v>0</v>
      </c>
      <c r="Q184" s="565"/>
      <c r="R184" s="565"/>
      <c r="S184" s="565"/>
      <c r="T184" s="565"/>
      <c r="U184" s="565"/>
      <c r="V184" s="565"/>
      <c r="W184" s="565"/>
      <c r="X184" s="565"/>
      <c r="Y184" t="str">
        <f t="shared" ca="1" si="8"/>
        <v>PAGO</v>
      </c>
      <c r="AA184" t="s">
        <v>393</v>
      </c>
    </row>
    <row r="185" spans="1:27" x14ac:dyDescent="0.3">
      <c r="A185" t="s">
        <v>218</v>
      </c>
      <c r="B185" s="562">
        <v>2025</v>
      </c>
      <c r="C185" t="s">
        <v>248</v>
      </c>
      <c r="D185">
        <v>18193</v>
      </c>
      <c r="F185" s="179">
        <v>45807</v>
      </c>
      <c r="G185" t="s">
        <v>236</v>
      </c>
      <c r="J185" s="583">
        <v>0</v>
      </c>
      <c r="K185" s="583">
        <v>342</v>
      </c>
      <c r="L185" s="565">
        <f t="shared" si="6"/>
        <v>342</v>
      </c>
      <c r="M185" s="179">
        <v>45842</v>
      </c>
      <c r="N185" s="179">
        <v>45838</v>
      </c>
      <c r="O185" s="565">
        <v>342</v>
      </c>
      <c r="P185" s="565">
        <f t="shared" si="7"/>
        <v>0</v>
      </c>
      <c r="Q185" s="565"/>
      <c r="R185" s="565"/>
      <c r="S185" s="565"/>
      <c r="T185" s="565"/>
      <c r="U185" s="565"/>
      <c r="V185" s="565"/>
      <c r="W185" s="565"/>
      <c r="X185" s="565"/>
      <c r="Y185" t="str">
        <f t="shared" ca="1" si="8"/>
        <v>PAGO</v>
      </c>
      <c r="AA185" t="s">
        <v>393</v>
      </c>
    </row>
    <row r="186" spans="1:27" x14ac:dyDescent="0.3">
      <c r="A186" t="s">
        <v>219</v>
      </c>
      <c r="B186" s="562">
        <v>2025</v>
      </c>
      <c r="C186" t="s">
        <v>248</v>
      </c>
      <c r="D186">
        <v>18197</v>
      </c>
      <c r="F186" s="179">
        <v>45810</v>
      </c>
      <c r="G186" t="s">
        <v>236</v>
      </c>
      <c r="J186" s="583">
        <v>0</v>
      </c>
      <c r="K186" s="583">
        <v>455.03</v>
      </c>
      <c r="L186" s="565">
        <f t="shared" si="6"/>
        <v>455.03</v>
      </c>
      <c r="M186" s="179">
        <v>45838</v>
      </c>
      <c r="N186" s="179">
        <v>45838</v>
      </c>
      <c r="O186" s="565">
        <v>455.03</v>
      </c>
      <c r="P186" s="565">
        <f t="shared" si="7"/>
        <v>0</v>
      </c>
      <c r="Q186" s="565"/>
      <c r="R186" s="565"/>
      <c r="S186" s="565"/>
      <c r="T186" s="565"/>
      <c r="U186" s="565"/>
      <c r="V186" s="565"/>
      <c r="W186" s="565"/>
      <c r="X186" s="565"/>
      <c r="Y186" t="str">
        <f t="shared" ca="1" si="8"/>
        <v>PAGO</v>
      </c>
      <c r="AA186" t="s">
        <v>394</v>
      </c>
    </row>
    <row r="187" spans="1:27" x14ac:dyDescent="0.3">
      <c r="A187" t="s">
        <v>219</v>
      </c>
      <c r="B187" s="562">
        <v>2025</v>
      </c>
      <c r="C187" t="s">
        <v>248</v>
      </c>
      <c r="D187">
        <v>18197</v>
      </c>
      <c r="F187" s="179">
        <v>45810</v>
      </c>
      <c r="G187" t="s">
        <v>236</v>
      </c>
      <c r="J187" s="583">
        <v>0</v>
      </c>
      <c r="K187" s="583">
        <v>453</v>
      </c>
      <c r="L187" s="565">
        <f t="shared" si="6"/>
        <v>453</v>
      </c>
      <c r="M187" s="179">
        <v>45845</v>
      </c>
      <c r="N187" s="179">
        <v>45845</v>
      </c>
      <c r="O187" s="565">
        <v>453</v>
      </c>
      <c r="P187" s="565">
        <f t="shared" si="7"/>
        <v>0</v>
      </c>
      <c r="Q187" s="565"/>
      <c r="R187" s="565"/>
      <c r="S187" s="565"/>
      <c r="T187" s="565"/>
      <c r="U187" s="565"/>
      <c r="V187" s="565"/>
      <c r="W187" s="565"/>
      <c r="X187" s="565"/>
      <c r="Y187" t="str">
        <f t="shared" ca="1" si="8"/>
        <v>PAGO</v>
      </c>
      <c r="AA187" t="s">
        <v>394</v>
      </c>
    </row>
    <row r="188" spans="1:27" x14ac:dyDescent="0.3">
      <c r="A188" t="s">
        <v>219</v>
      </c>
      <c r="B188" s="562">
        <v>2025</v>
      </c>
      <c r="C188" t="s">
        <v>248</v>
      </c>
      <c r="D188">
        <v>18197</v>
      </c>
      <c r="F188" s="179">
        <v>45810</v>
      </c>
      <c r="G188" t="s">
        <v>236</v>
      </c>
      <c r="J188" s="583">
        <v>0</v>
      </c>
      <c r="K188" s="583">
        <v>453</v>
      </c>
      <c r="L188" s="565">
        <f t="shared" si="6"/>
        <v>453</v>
      </c>
      <c r="M188" s="179">
        <v>45852</v>
      </c>
      <c r="N188" s="179">
        <v>45853</v>
      </c>
      <c r="O188" s="565">
        <v>453</v>
      </c>
      <c r="P188" s="565">
        <f t="shared" si="7"/>
        <v>0</v>
      </c>
      <c r="Q188" s="565"/>
      <c r="R188" s="565"/>
      <c r="S188" s="565"/>
      <c r="T188" s="565"/>
      <c r="U188" s="565"/>
      <c r="V188" s="565"/>
      <c r="W188" s="565"/>
      <c r="X188" s="565"/>
      <c r="Y188" t="str">
        <f t="shared" ca="1" si="8"/>
        <v>PAGO</v>
      </c>
      <c r="AA188" t="s">
        <v>394</v>
      </c>
    </row>
    <row r="189" spans="1:27" x14ac:dyDescent="0.3">
      <c r="A189" t="s">
        <v>219</v>
      </c>
      <c r="B189" s="562">
        <v>2025</v>
      </c>
      <c r="C189" t="s">
        <v>248</v>
      </c>
      <c r="D189">
        <v>18205</v>
      </c>
      <c r="F189" s="179">
        <v>45810</v>
      </c>
      <c r="G189" t="s">
        <v>236</v>
      </c>
      <c r="J189" s="583">
        <v>0</v>
      </c>
      <c r="K189" s="583">
        <v>272.55</v>
      </c>
      <c r="L189" s="565">
        <f t="shared" si="6"/>
        <v>272.55</v>
      </c>
      <c r="M189" s="179">
        <v>45838</v>
      </c>
      <c r="N189" s="179">
        <v>45838</v>
      </c>
      <c r="O189" s="565">
        <v>272.55</v>
      </c>
      <c r="P189" s="565">
        <f t="shared" si="7"/>
        <v>0</v>
      </c>
      <c r="Q189" s="565"/>
      <c r="R189" s="565"/>
      <c r="S189" s="565"/>
      <c r="T189" s="565"/>
      <c r="U189" s="565"/>
      <c r="V189" s="565"/>
      <c r="W189" s="565"/>
      <c r="X189" s="565"/>
      <c r="Y189" t="str">
        <f t="shared" ca="1" si="8"/>
        <v>PAGO</v>
      </c>
      <c r="AA189" t="s">
        <v>394</v>
      </c>
    </row>
    <row r="190" spans="1:27" x14ac:dyDescent="0.3">
      <c r="A190" t="s">
        <v>219</v>
      </c>
      <c r="B190" s="562">
        <v>2025</v>
      </c>
      <c r="C190" t="s">
        <v>248</v>
      </c>
      <c r="D190">
        <v>18219</v>
      </c>
      <c r="F190" s="179">
        <v>45811</v>
      </c>
      <c r="G190" t="s">
        <v>236</v>
      </c>
      <c r="J190" s="583">
        <v>0</v>
      </c>
      <c r="K190" s="583">
        <v>315.31</v>
      </c>
      <c r="L190" s="565">
        <f t="shared" si="6"/>
        <v>315.31</v>
      </c>
      <c r="M190" s="179">
        <v>45839</v>
      </c>
      <c r="N190" s="179">
        <v>45838</v>
      </c>
      <c r="O190" s="565">
        <v>315.31</v>
      </c>
      <c r="P190" s="565">
        <f t="shared" si="7"/>
        <v>0</v>
      </c>
      <c r="Q190" s="565"/>
      <c r="R190" s="565"/>
      <c r="S190" s="565"/>
      <c r="T190" s="565"/>
      <c r="U190" s="565"/>
      <c r="V190" s="565"/>
      <c r="W190" s="565"/>
      <c r="X190" s="565"/>
      <c r="Y190" t="str">
        <f t="shared" ca="1" si="8"/>
        <v>PAGO</v>
      </c>
      <c r="AA190" t="s">
        <v>394</v>
      </c>
    </row>
    <row r="191" spans="1:27" x14ac:dyDescent="0.3">
      <c r="A191" t="s">
        <v>219</v>
      </c>
      <c r="B191" s="562">
        <v>2025</v>
      </c>
      <c r="C191" t="s">
        <v>248</v>
      </c>
      <c r="D191">
        <v>18219</v>
      </c>
      <c r="F191" s="179">
        <v>45811</v>
      </c>
      <c r="G191" t="s">
        <v>236</v>
      </c>
      <c r="J191" s="583">
        <v>0</v>
      </c>
      <c r="K191" s="583">
        <v>315</v>
      </c>
      <c r="L191" s="565">
        <f t="shared" si="6"/>
        <v>315</v>
      </c>
      <c r="M191" s="179">
        <v>45846</v>
      </c>
      <c r="N191" s="179">
        <v>45845</v>
      </c>
      <c r="O191" s="565">
        <v>315</v>
      </c>
      <c r="P191" s="565">
        <f t="shared" si="7"/>
        <v>0</v>
      </c>
      <c r="Q191" s="565"/>
      <c r="R191" s="565"/>
      <c r="S191" s="565"/>
      <c r="T191" s="565"/>
      <c r="U191" s="565"/>
      <c r="V191" s="565"/>
      <c r="W191" s="565"/>
      <c r="X191" s="565"/>
      <c r="Y191" t="str">
        <f t="shared" ca="1" si="8"/>
        <v>PAGO</v>
      </c>
      <c r="AA191" t="s">
        <v>394</v>
      </c>
    </row>
    <row r="192" spans="1:27" x14ac:dyDescent="0.3">
      <c r="A192" t="s">
        <v>219</v>
      </c>
      <c r="B192" s="562">
        <v>2025</v>
      </c>
      <c r="C192" t="s">
        <v>248</v>
      </c>
      <c r="D192">
        <v>18219</v>
      </c>
      <c r="F192" s="179">
        <v>45811</v>
      </c>
      <c r="G192" t="s">
        <v>236</v>
      </c>
      <c r="J192" s="583">
        <v>0</v>
      </c>
      <c r="K192" s="583">
        <v>315</v>
      </c>
      <c r="L192" s="565">
        <f t="shared" si="6"/>
        <v>315</v>
      </c>
      <c r="M192" s="179">
        <v>45853</v>
      </c>
      <c r="N192" s="179">
        <v>45853</v>
      </c>
      <c r="O192" s="565">
        <v>315</v>
      </c>
      <c r="P192" s="565">
        <f t="shared" si="7"/>
        <v>0</v>
      </c>
      <c r="Q192" s="565"/>
      <c r="R192" s="565"/>
      <c r="S192" s="565"/>
      <c r="T192" s="565"/>
      <c r="U192" s="565"/>
      <c r="V192" s="565"/>
      <c r="W192" s="565"/>
      <c r="X192" s="565"/>
      <c r="Y192" t="str">
        <f t="shared" ca="1" si="8"/>
        <v>PAGO</v>
      </c>
      <c r="AA192" t="s">
        <v>394</v>
      </c>
    </row>
    <row r="193" spans="1:27" x14ac:dyDescent="0.3">
      <c r="A193" t="s">
        <v>219</v>
      </c>
      <c r="B193" s="562">
        <v>2025</v>
      </c>
      <c r="C193" t="s">
        <v>248</v>
      </c>
      <c r="D193">
        <v>18240</v>
      </c>
      <c r="F193" s="179">
        <v>45812</v>
      </c>
      <c r="G193" t="s">
        <v>236</v>
      </c>
      <c r="J193" s="583">
        <v>0</v>
      </c>
      <c r="K193" s="583">
        <v>1442.24</v>
      </c>
      <c r="L193" s="565">
        <f t="shared" si="6"/>
        <v>1442.24</v>
      </c>
      <c r="M193" s="179">
        <v>45840</v>
      </c>
      <c r="N193" s="179">
        <v>45838</v>
      </c>
      <c r="O193" s="565">
        <v>1442.24</v>
      </c>
      <c r="P193" s="565">
        <f t="shared" si="7"/>
        <v>0</v>
      </c>
      <c r="Q193" s="565"/>
      <c r="R193" s="565"/>
      <c r="S193" s="565"/>
      <c r="T193" s="565"/>
      <c r="U193" s="565"/>
      <c r="V193" s="565"/>
      <c r="W193" s="565"/>
      <c r="X193" s="565"/>
      <c r="Y193" t="str">
        <f t="shared" ca="1" si="8"/>
        <v>PAGO</v>
      </c>
      <c r="AA193" t="s">
        <v>394</v>
      </c>
    </row>
    <row r="194" spans="1:27" x14ac:dyDescent="0.3">
      <c r="A194" t="s">
        <v>219</v>
      </c>
      <c r="B194" s="562">
        <v>2025</v>
      </c>
      <c r="C194" t="s">
        <v>248</v>
      </c>
      <c r="D194">
        <v>18240</v>
      </c>
      <c r="F194" s="179">
        <v>45812</v>
      </c>
      <c r="G194" t="s">
        <v>236</v>
      </c>
      <c r="J194" s="583">
        <v>0</v>
      </c>
      <c r="K194" s="583">
        <v>1442</v>
      </c>
      <c r="L194" s="565">
        <f t="shared" si="6"/>
        <v>1442</v>
      </c>
      <c r="M194" s="179">
        <v>45847</v>
      </c>
      <c r="N194" s="179">
        <v>45847</v>
      </c>
      <c r="O194" s="565">
        <v>1442</v>
      </c>
      <c r="P194" s="565">
        <f t="shared" si="7"/>
        <v>0</v>
      </c>
      <c r="Q194" s="565"/>
      <c r="R194" s="565"/>
      <c r="S194" s="565"/>
      <c r="T194" s="565"/>
      <c r="U194" s="565"/>
      <c r="V194" s="565"/>
      <c r="W194" s="565"/>
      <c r="X194" s="565"/>
      <c r="Y194" t="str">
        <f t="shared" ca="1" si="8"/>
        <v>PAGO</v>
      </c>
      <c r="AA194" t="s">
        <v>394</v>
      </c>
    </row>
    <row r="195" spans="1:27" x14ac:dyDescent="0.3">
      <c r="A195" t="s">
        <v>219</v>
      </c>
      <c r="B195" s="562">
        <v>2025</v>
      </c>
      <c r="C195" t="s">
        <v>248</v>
      </c>
      <c r="D195">
        <v>18240</v>
      </c>
      <c r="F195" s="179">
        <v>45812</v>
      </c>
      <c r="G195" t="s">
        <v>236</v>
      </c>
      <c r="J195" s="583">
        <v>0</v>
      </c>
      <c r="K195" s="583">
        <v>1442</v>
      </c>
      <c r="L195" s="565">
        <f t="shared" ref="L195:L258" si="9">J195+K195</f>
        <v>1442</v>
      </c>
      <c r="M195" s="179">
        <v>45854</v>
      </c>
      <c r="N195" s="179">
        <v>45854</v>
      </c>
      <c r="O195" s="565">
        <v>1442</v>
      </c>
      <c r="P195" s="565">
        <f t="shared" ref="P195:P258" si="10">L195-O195</f>
        <v>0</v>
      </c>
      <c r="Q195" s="565"/>
      <c r="R195" s="565"/>
      <c r="S195" s="565"/>
      <c r="T195" s="565"/>
      <c r="U195" s="565"/>
      <c r="V195" s="565"/>
      <c r="W195" s="565"/>
      <c r="X195" s="565"/>
      <c r="Y195" t="str">
        <f t="shared" ref="Y195:Y258" ca="1" si="11">IF(L195=0,"SEM VALOR",IF(P195&lt;=0.01,"PAGO",IF(M195="","SEM VENCIMENTO",IF(M195&lt;TODAY(),"VENCIDO","A VENCER"))))</f>
        <v>PAGO</v>
      </c>
      <c r="AA195" t="s">
        <v>394</v>
      </c>
    </row>
    <row r="196" spans="1:27" x14ac:dyDescent="0.3">
      <c r="A196" t="s">
        <v>219</v>
      </c>
      <c r="B196" s="562">
        <v>2025</v>
      </c>
      <c r="C196" t="s">
        <v>248</v>
      </c>
      <c r="D196">
        <v>18289</v>
      </c>
      <c r="F196" s="179">
        <v>45813</v>
      </c>
      <c r="G196" t="s">
        <v>236</v>
      </c>
      <c r="J196" s="583">
        <v>0</v>
      </c>
      <c r="K196" s="583">
        <v>671.08</v>
      </c>
      <c r="L196" s="565">
        <f t="shared" si="9"/>
        <v>671.08</v>
      </c>
      <c r="M196" s="179">
        <v>45841</v>
      </c>
      <c r="N196" s="179">
        <v>45838</v>
      </c>
      <c r="O196" s="565">
        <v>671.08</v>
      </c>
      <c r="P196" s="565">
        <f t="shared" si="10"/>
        <v>0</v>
      </c>
      <c r="Q196" s="565"/>
      <c r="R196" s="565"/>
      <c r="S196" s="565"/>
      <c r="T196" s="565"/>
      <c r="U196" s="565"/>
      <c r="V196" s="565"/>
      <c r="W196" s="565"/>
      <c r="X196" s="565"/>
      <c r="Y196" t="str">
        <f t="shared" ca="1" si="11"/>
        <v>PAGO</v>
      </c>
      <c r="AA196" t="s">
        <v>394</v>
      </c>
    </row>
    <row r="197" spans="1:27" x14ac:dyDescent="0.3">
      <c r="A197" t="s">
        <v>219</v>
      </c>
      <c r="B197" s="562">
        <v>2025</v>
      </c>
      <c r="C197" t="s">
        <v>248</v>
      </c>
      <c r="D197">
        <v>18289</v>
      </c>
      <c r="F197" s="179">
        <v>45813</v>
      </c>
      <c r="G197" t="s">
        <v>236</v>
      </c>
      <c r="J197" s="583">
        <v>0</v>
      </c>
      <c r="K197" s="583">
        <v>671</v>
      </c>
      <c r="L197" s="565">
        <f t="shared" si="9"/>
        <v>671</v>
      </c>
      <c r="M197" s="179">
        <v>45848</v>
      </c>
      <c r="N197" s="179">
        <v>45847</v>
      </c>
      <c r="O197" s="565">
        <v>671</v>
      </c>
      <c r="P197" s="565">
        <f t="shared" si="10"/>
        <v>0</v>
      </c>
      <c r="Q197" s="565"/>
      <c r="R197" s="565"/>
      <c r="S197" s="565"/>
      <c r="T197" s="565"/>
      <c r="U197" s="565"/>
      <c r="V197" s="565"/>
      <c r="W197" s="565"/>
      <c r="X197" s="565"/>
      <c r="Y197" t="str">
        <f t="shared" ca="1" si="11"/>
        <v>PAGO</v>
      </c>
      <c r="AA197" t="s">
        <v>394</v>
      </c>
    </row>
    <row r="198" spans="1:27" x14ac:dyDescent="0.3">
      <c r="A198" t="s">
        <v>219</v>
      </c>
      <c r="B198" s="562">
        <v>2025</v>
      </c>
      <c r="C198" t="s">
        <v>248</v>
      </c>
      <c r="D198">
        <v>18289</v>
      </c>
      <c r="F198" s="179">
        <v>45813</v>
      </c>
      <c r="G198" t="s">
        <v>236</v>
      </c>
      <c r="J198" s="583">
        <v>0</v>
      </c>
      <c r="K198" s="583">
        <v>671</v>
      </c>
      <c r="L198" s="565">
        <f t="shared" si="9"/>
        <v>671</v>
      </c>
      <c r="M198" s="179">
        <v>45855</v>
      </c>
      <c r="N198" s="179">
        <v>45855</v>
      </c>
      <c r="O198" s="565">
        <v>671</v>
      </c>
      <c r="P198" s="565">
        <f t="shared" si="10"/>
        <v>0</v>
      </c>
      <c r="Q198" s="565"/>
      <c r="R198" s="565"/>
      <c r="S198" s="565"/>
      <c r="T198" s="565"/>
      <c r="U198" s="565"/>
      <c r="V198" s="565"/>
      <c r="W198" s="565"/>
      <c r="X198" s="565"/>
      <c r="Y198" t="str">
        <f t="shared" ca="1" si="11"/>
        <v>PAGO</v>
      </c>
      <c r="AA198" t="s">
        <v>394</v>
      </c>
    </row>
    <row r="199" spans="1:27" x14ac:dyDescent="0.3">
      <c r="A199" t="s">
        <v>219</v>
      </c>
      <c r="B199" s="562">
        <v>2025</v>
      </c>
      <c r="C199" t="s">
        <v>248</v>
      </c>
      <c r="D199">
        <v>18340</v>
      </c>
      <c r="F199" s="179">
        <v>45818</v>
      </c>
      <c r="G199" t="s">
        <v>236</v>
      </c>
      <c r="J199" s="583">
        <v>0</v>
      </c>
      <c r="K199" s="583">
        <v>453.85</v>
      </c>
      <c r="L199" s="565">
        <f t="shared" si="9"/>
        <v>453.85</v>
      </c>
      <c r="M199" s="179">
        <v>45846</v>
      </c>
      <c r="N199" s="179">
        <v>45845</v>
      </c>
      <c r="O199" s="565">
        <v>453.85</v>
      </c>
      <c r="P199" s="565">
        <f t="shared" si="10"/>
        <v>0</v>
      </c>
      <c r="Q199" s="565"/>
      <c r="R199" s="565"/>
      <c r="S199" s="565"/>
      <c r="T199" s="565"/>
      <c r="U199" s="565"/>
      <c r="V199" s="565"/>
      <c r="W199" s="565"/>
      <c r="X199" s="565"/>
      <c r="Y199" t="str">
        <f t="shared" ca="1" si="11"/>
        <v>PAGO</v>
      </c>
      <c r="AA199" t="s">
        <v>394</v>
      </c>
    </row>
    <row r="200" spans="1:27" x14ac:dyDescent="0.3">
      <c r="A200" t="s">
        <v>219</v>
      </c>
      <c r="B200" s="562">
        <v>2025</v>
      </c>
      <c r="C200" t="s">
        <v>248</v>
      </c>
      <c r="D200">
        <v>18340</v>
      </c>
      <c r="F200" s="179">
        <v>45818</v>
      </c>
      <c r="G200" t="s">
        <v>236</v>
      </c>
      <c r="J200" s="583">
        <v>0</v>
      </c>
      <c r="K200" s="583">
        <v>451</v>
      </c>
      <c r="L200" s="565">
        <f t="shared" si="9"/>
        <v>451</v>
      </c>
      <c r="M200" s="179">
        <v>45853</v>
      </c>
      <c r="N200" s="179">
        <v>45853</v>
      </c>
      <c r="O200" s="565">
        <v>451</v>
      </c>
      <c r="P200" s="565">
        <f t="shared" si="10"/>
        <v>0</v>
      </c>
      <c r="Q200" s="565"/>
      <c r="R200" s="565"/>
      <c r="S200" s="565"/>
      <c r="T200" s="565"/>
      <c r="U200" s="565"/>
      <c r="V200" s="565"/>
      <c r="W200" s="565"/>
      <c r="X200" s="565"/>
      <c r="Y200" t="str">
        <f t="shared" ca="1" si="11"/>
        <v>PAGO</v>
      </c>
      <c r="AA200" t="s">
        <v>394</v>
      </c>
    </row>
    <row r="201" spans="1:27" x14ac:dyDescent="0.3">
      <c r="A201" t="s">
        <v>219</v>
      </c>
      <c r="B201" s="562">
        <v>2025</v>
      </c>
      <c r="C201" t="s">
        <v>248</v>
      </c>
      <c r="D201">
        <v>18340</v>
      </c>
      <c r="F201" s="179">
        <v>45818</v>
      </c>
      <c r="G201" t="s">
        <v>236</v>
      </c>
      <c r="J201" s="583">
        <v>0</v>
      </c>
      <c r="K201" s="583">
        <v>451</v>
      </c>
      <c r="L201" s="565">
        <f t="shared" si="9"/>
        <v>451</v>
      </c>
      <c r="M201" s="179">
        <v>45860</v>
      </c>
      <c r="N201" s="179">
        <v>45860</v>
      </c>
      <c r="O201" s="565">
        <v>451</v>
      </c>
      <c r="P201" s="565">
        <f t="shared" si="10"/>
        <v>0</v>
      </c>
      <c r="Q201" s="565"/>
      <c r="R201" s="565"/>
      <c r="S201" s="565"/>
      <c r="T201" s="565"/>
      <c r="U201" s="565"/>
      <c r="V201" s="565"/>
      <c r="W201" s="565"/>
      <c r="X201" s="565"/>
      <c r="Y201" t="str">
        <f t="shared" ca="1" si="11"/>
        <v>PAGO</v>
      </c>
      <c r="AA201" t="s">
        <v>394</v>
      </c>
    </row>
    <row r="202" spans="1:27" x14ac:dyDescent="0.3">
      <c r="A202" t="s">
        <v>219</v>
      </c>
      <c r="B202" s="562">
        <v>2025</v>
      </c>
      <c r="C202" t="s">
        <v>248</v>
      </c>
      <c r="D202">
        <v>18341</v>
      </c>
      <c r="F202" s="179">
        <v>45818</v>
      </c>
      <c r="G202" t="s">
        <v>236</v>
      </c>
      <c r="J202" s="583">
        <v>0</v>
      </c>
      <c r="K202" s="583">
        <v>131.1</v>
      </c>
      <c r="L202" s="565">
        <f t="shared" si="9"/>
        <v>131.1</v>
      </c>
      <c r="M202" s="179">
        <v>45846</v>
      </c>
      <c r="N202" s="179">
        <v>45845</v>
      </c>
      <c r="O202" s="565">
        <v>131.1</v>
      </c>
      <c r="P202" s="565">
        <f t="shared" si="10"/>
        <v>0</v>
      </c>
      <c r="Q202" s="565"/>
      <c r="R202" s="565"/>
      <c r="S202" s="565"/>
      <c r="T202" s="565"/>
      <c r="U202" s="565"/>
      <c r="V202" s="565"/>
      <c r="W202" s="565"/>
      <c r="X202" s="565"/>
      <c r="Y202" t="str">
        <f t="shared" ca="1" si="11"/>
        <v>PAGO</v>
      </c>
      <c r="AA202" t="s">
        <v>394</v>
      </c>
    </row>
    <row r="203" spans="1:27" x14ac:dyDescent="0.3">
      <c r="A203" t="s">
        <v>219</v>
      </c>
      <c r="B203" s="562">
        <v>2025</v>
      </c>
      <c r="C203" t="s">
        <v>248</v>
      </c>
      <c r="D203">
        <v>18342</v>
      </c>
      <c r="F203" s="179">
        <v>45818</v>
      </c>
      <c r="G203" t="s">
        <v>236</v>
      </c>
      <c r="J203" s="583">
        <v>0</v>
      </c>
      <c r="K203" s="583">
        <v>263.93</v>
      </c>
      <c r="L203" s="565">
        <f t="shared" si="9"/>
        <v>263.93</v>
      </c>
      <c r="M203" s="179">
        <v>45846</v>
      </c>
      <c r="N203" s="179">
        <v>45845</v>
      </c>
      <c r="O203" s="565">
        <v>263.93</v>
      </c>
      <c r="P203" s="565">
        <f t="shared" si="10"/>
        <v>0</v>
      </c>
      <c r="Q203" s="565"/>
      <c r="R203" s="565"/>
      <c r="S203" s="565"/>
      <c r="T203" s="565"/>
      <c r="U203" s="565"/>
      <c r="V203" s="565"/>
      <c r="W203" s="565"/>
      <c r="X203" s="565"/>
      <c r="Y203" t="str">
        <f t="shared" ca="1" si="11"/>
        <v>PAGO</v>
      </c>
      <c r="AA203" t="s">
        <v>394</v>
      </c>
    </row>
    <row r="204" spans="1:27" x14ac:dyDescent="0.3">
      <c r="A204" t="s">
        <v>219</v>
      </c>
      <c r="B204" s="562">
        <v>2025</v>
      </c>
      <c r="C204" t="s">
        <v>248</v>
      </c>
      <c r="D204">
        <v>18343</v>
      </c>
      <c r="F204" s="179">
        <v>45818</v>
      </c>
      <c r="G204" t="s">
        <v>236</v>
      </c>
      <c r="J204" s="583">
        <v>0</v>
      </c>
      <c r="K204" s="583">
        <v>1158.8599999999999</v>
      </c>
      <c r="L204" s="565">
        <f t="shared" si="9"/>
        <v>1158.8599999999999</v>
      </c>
      <c r="M204" s="179">
        <v>45846</v>
      </c>
      <c r="N204" s="179">
        <v>45846</v>
      </c>
      <c r="O204" s="565">
        <v>1158.8599999999999</v>
      </c>
      <c r="P204" s="565">
        <f t="shared" si="10"/>
        <v>0</v>
      </c>
      <c r="Q204" s="565"/>
      <c r="R204" s="565"/>
      <c r="S204" s="565"/>
      <c r="T204" s="565"/>
      <c r="U204" s="565"/>
      <c r="V204" s="565"/>
      <c r="W204" s="565"/>
      <c r="X204" s="565"/>
      <c r="Y204" t="str">
        <f t="shared" ca="1" si="11"/>
        <v>PAGO</v>
      </c>
      <c r="AA204" t="s">
        <v>394</v>
      </c>
    </row>
    <row r="205" spans="1:27" x14ac:dyDescent="0.3">
      <c r="A205" t="s">
        <v>219</v>
      </c>
      <c r="B205" s="562">
        <v>2025</v>
      </c>
      <c r="C205" t="s">
        <v>248</v>
      </c>
      <c r="D205">
        <v>18343</v>
      </c>
      <c r="F205" s="179">
        <v>45818</v>
      </c>
      <c r="G205" t="s">
        <v>236</v>
      </c>
      <c r="J205" s="583">
        <v>0</v>
      </c>
      <c r="K205" s="583">
        <v>1158</v>
      </c>
      <c r="L205" s="565">
        <f t="shared" si="9"/>
        <v>1158</v>
      </c>
      <c r="M205" s="179">
        <v>45853</v>
      </c>
      <c r="N205" s="179">
        <v>45853</v>
      </c>
      <c r="O205" s="565">
        <v>1158</v>
      </c>
      <c r="P205" s="565">
        <f t="shared" si="10"/>
        <v>0</v>
      </c>
      <c r="Q205" s="565"/>
      <c r="R205" s="565"/>
      <c r="S205" s="565"/>
      <c r="T205" s="565"/>
      <c r="U205" s="565"/>
      <c r="V205" s="565"/>
      <c r="W205" s="565"/>
      <c r="X205" s="565"/>
      <c r="Y205" t="str">
        <f t="shared" ca="1" si="11"/>
        <v>PAGO</v>
      </c>
      <c r="AA205" t="s">
        <v>394</v>
      </c>
    </row>
    <row r="206" spans="1:27" x14ac:dyDescent="0.3">
      <c r="A206" t="s">
        <v>219</v>
      </c>
      <c r="B206" s="562">
        <v>2025</v>
      </c>
      <c r="C206" t="s">
        <v>248</v>
      </c>
      <c r="D206">
        <v>18343</v>
      </c>
      <c r="F206" s="179">
        <v>45818</v>
      </c>
      <c r="G206" t="s">
        <v>236</v>
      </c>
      <c r="J206" s="583">
        <v>0</v>
      </c>
      <c r="K206" s="583">
        <v>1158</v>
      </c>
      <c r="L206" s="565">
        <f t="shared" si="9"/>
        <v>1158</v>
      </c>
      <c r="M206" s="179">
        <v>45860</v>
      </c>
      <c r="N206" s="179">
        <v>45860</v>
      </c>
      <c r="O206" s="565">
        <v>1158</v>
      </c>
      <c r="P206" s="565">
        <f t="shared" si="10"/>
        <v>0</v>
      </c>
      <c r="Q206" s="565"/>
      <c r="R206" s="565"/>
      <c r="S206" s="565"/>
      <c r="T206" s="565"/>
      <c r="U206" s="565"/>
      <c r="V206" s="565"/>
      <c r="W206" s="565"/>
      <c r="X206" s="565"/>
      <c r="Y206" t="str">
        <f t="shared" ca="1" si="11"/>
        <v>PAGO</v>
      </c>
      <c r="AA206" t="s">
        <v>394</v>
      </c>
    </row>
    <row r="207" spans="1:27" x14ac:dyDescent="0.3">
      <c r="A207" t="s">
        <v>219</v>
      </c>
      <c r="B207" s="562">
        <v>2025</v>
      </c>
      <c r="C207" t="s">
        <v>248</v>
      </c>
      <c r="D207">
        <v>18348</v>
      </c>
      <c r="F207" s="179">
        <v>45818</v>
      </c>
      <c r="G207" t="s">
        <v>236</v>
      </c>
      <c r="J207" s="583">
        <v>0</v>
      </c>
      <c r="K207" s="583">
        <v>538.6</v>
      </c>
      <c r="L207" s="565">
        <f t="shared" si="9"/>
        <v>538.6</v>
      </c>
      <c r="M207" s="179">
        <v>45846</v>
      </c>
      <c r="N207" s="179">
        <v>45845</v>
      </c>
      <c r="O207" s="565">
        <v>538.6</v>
      </c>
      <c r="P207" s="565">
        <f t="shared" si="10"/>
        <v>0</v>
      </c>
      <c r="Q207" s="565"/>
      <c r="R207" s="565"/>
      <c r="S207" s="565"/>
      <c r="T207" s="565"/>
      <c r="U207" s="565"/>
      <c r="V207" s="565"/>
      <c r="W207" s="565"/>
      <c r="X207" s="565"/>
      <c r="Y207" t="str">
        <f t="shared" ca="1" si="11"/>
        <v>PAGO</v>
      </c>
      <c r="AA207" t="s">
        <v>394</v>
      </c>
    </row>
    <row r="208" spans="1:27" x14ac:dyDescent="0.3">
      <c r="A208" t="s">
        <v>219</v>
      </c>
      <c r="B208" s="562">
        <v>2025</v>
      </c>
      <c r="C208" t="s">
        <v>248</v>
      </c>
      <c r="D208">
        <v>18348</v>
      </c>
      <c r="F208" s="179">
        <v>45818</v>
      </c>
      <c r="G208" t="s">
        <v>236</v>
      </c>
      <c r="J208" s="583">
        <v>0</v>
      </c>
      <c r="K208" s="583">
        <v>538</v>
      </c>
      <c r="L208" s="565">
        <f t="shared" si="9"/>
        <v>538</v>
      </c>
      <c r="M208" s="179">
        <v>45853</v>
      </c>
      <c r="N208" s="179">
        <v>45853</v>
      </c>
      <c r="O208" s="565">
        <v>538</v>
      </c>
      <c r="P208" s="565">
        <f t="shared" si="10"/>
        <v>0</v>
      </c>
      <c r="Q208" s="565"/>
      <c r="R208" s="565"/>
      <c r="S208" s="565"/>
      <c r="T208" s="565"/>
      <c r="U208" s="565"/>
      <c r="V208" s="565"/>
      <c r="W208" s="565"/>
      <c r="X208" s="565"/>
      <c r="Y208" t="str">
        <f t="shared" ca="1" si="11"/>
        <v>PAGO</v>
      </c>
      <c r="AA208" t="s">
        <v>394</v>
      </c>
    </row>
    <row r="209" spans="1:27" x14ac:dyDescent="0.3">
      <c r="A209" t="s">
        <v>219</v>
      </c>
      <c r="B209" s="562">
        <v>2025</v>
      </c>
      <c r="C209" t="s">
        <v>248</v>
      </c>
      <c r="D209">
        <v>18348</v>
      </c>
      <c r="F209" s="179">
        <v>45818</v>
      </c>
      <c r="G209" t="s">
        <v>236</v>
      </c>
      <c r="J209" s="583">
        <v>0</v>
      </c>
      <c r="K209" s="583">
        <v>538</v>
      </c>
      <c r="L209" s="565">
        <f t="shared" si="9"/>
        <v>538</v>
      </c>
      <c r="M209" s="179">
        <v>45860</v>
      </c>
      <c r="N209" s="179">
        <v>45860</v>
      </c>
      <c r="O209" s="565">
        <v>538</v>
      </c>
      <c r="P209" s="565">
        <f t="shared" si="10"/>
        <v>0</v>
      </c>
      <c r="Q209" s="565"/>
      <c r="R209" s="565"/>
      <c r="S209" s="565"/>
      <c r="T209" s="565"/>
      <c r="U209" s="565"/>
      <c r="V209" s="565"/>
      <c r="W209" s="565"/>
      <c r="X209" s="565"/>
      <c r="Y209" t="str">
        <f t="shared" ca="1" si="11"/>
        <v>PAGO</v>
      </c>
      <c r="AA209" t="s">
        <v>394</v>
      </c>
    </row>
    <row r="210" spans="1:27" x14ac:dyDescent="0.3">
      <c r="A210" t="s">
        <v>219</v>
      </c>
      <c r="B210" s="562">
        <v>2025</v>
      </c>
      <c r="C210" t="s">
        <v>248</v>
      </c>
      <c r="D210">
        <v>18349</v>
      </c>
      <c r="F210" s="179">
        <v>45818</v>
      </c>
      <c r="G210" t="s">
        <v>236</v>
      </c>
      <c r="J210" s="583">
        <v>0</v>
      </c>
      <c r="K210" s="583">
        <v>683.1</v>
      </c>
      <c r="L210" s="565">
        <f t="shared" si="9"/>
        <v>683.1</v>
      </c>
      <c r="M210" s="179">
        <v>45846</v>
      </c>
      <c r="N210" s="179">
        <v>45846</v>
      </c>
      <c r="O210" s="565">
        <v>683.1</v>
      </c>
      <c r="P210" s="565">
        <f t="shared" si="10"/>
        <v>0</v>
      </c>
      <c r="Q210" s="565"/>
      <c r="R210" s="565"/>
      <c r="S210" s="565"/>
      <c r="T210" s="565"/>
      <c r="U210" s="565"/>
      <c r="V210" s="565"/>
      <c r="W210" s="565"/>
      <c r="X210" s="565"/>
      <c r="Y210" t="str">
        <f t="shared" ca="1" si="11"/>
        <v>PAGO</v>
      </c>
      <c r="AA210" t="s">
        <v>394</v>
      </c>
    </row>
    <row r="211" spans="1:27" x14ac:dyDescent="0.3">
      <c r="A211" t="s">
        <v>219</v>
      </c>
      <c r="B211" s="562">
        <v>2025</v>
      </c>
      <c r="C211" t="s">
        <v>248</v>
      </c>
      <c r="D211">
        <v>18354</v>
      </c>
      <c r="F211" s="179">
        <v>45819</v>
      </c>
      <c r="G211" t="s">
        <v>236</v>
      </c>
      <c r="J211" s="583">
        <v>0</v>
      </c>
      <c r="K211" s="583">
        <v>1134.27</v>
      </c>
      <c r="L211" s="565">
        <f t="shared" si="9"/>
        <v>1134.27</v>
      </c>
      <c r="M211" s="179">
        <v>45847</v>
      </c>
      <c r="N211" s="179">
        <v>45847</v>
      </c>
      <c r="O211" s="565">
        <v>1134.27</v>
      </c>
      <c r="P211" s="565">
        <f t="shared" si="10"/>
        <v>0</v>
      </c>
      <c r="Q211" s="565"/>
      <c r="R211" s="565"/>
      <c r="S211" s="565"/>
      <c r="T211" s="565"/>
      <c r="U211" s="565"/>
      <c r="V211" s="565"/>
      <c r="W211" s="565"/>
      <c r="X211" s="565"/>
      <c r="Y211" t="str">
        <f t="shared" ca="1" si="11"/>
        <v>PAGO</v>
      </c>
      <c r="AA211" t="s">
        <v>394</v>
      </c>
    </row>
    <row r="212" spans="1:27" x14ac:dyDescent="0.3">
      <c r="A212" t="s">
        <v>219</v>
      </c>
      <c r="B212" s="562">
        <v>2025</v>
      </c>
      <c r="C212" t="s">
        <v>248</v>
      </c>
      <c r="D212">
        <v>18354</v>
      </c>
      <c r="F212" s="179">
        <v>45819</v>
      </c>
      <c r="G212" t="s">
        <v>236</v>
      </c>
      <c r="J212" s="583">
        <v>0</v>
      </c>
      <c r="K212" s="583">
        <v>1132</v>
      </c>
      <c r="L212" s="565">
        <f t="shared" si="9"/>
        <v>1132</v>
      </c>
      <c r="M212" s="179">
        <v>45854</v>
      </c>
      <c r="N212" s="179">
        <v>45854</v>
      </c>
      <c r="O212" s="565">
        <v>1132</v>
      </c>
      <c r="P212" s="565">
        <f t="shared" si="10"/>
        <v>0</v>
      </c>
      <c r="Q212" s="565"/>
      <c r="R212" s="565"/>
      <c r="S212" s="565"/>
      <c r="T212" s="565"/>
      <c r="U212" s="565"/>
      <c r="V212" s="565"/>
      <c r="W212" s="565"/>
      <c r="X212" s="565"/>
      <c r="Y212" t="str">
        <f t="shared" ca="1" si="11"/>
        <v>PAGO</v>
      </c>
      <c r="AA212" t="s">
        <v>394</v>
      </c>
    </row>
    <row r="213" spans="1:27" x14ac:dyDescent="0.3">
      <c r="A213" t="s">
        <v>219</v>
      </c>
      <c r="B213" s="562">
        <v>2025</v>
      </c>
      <c r="C213" t="s">
        <v>248</v>
      </c>
      <c r="D213">
        <v>18354</v>
      </c>
      <c r="F213" s="179">
        <v>45819</v>
      </c>
      <c r="G213" t="s">
        <v>236</v>
      </c>
      <c r="J213" s="583">
        <v>0</v>
      </c>
      <c r="K213" s="583">
        <v>1132</v>
      </c>
      <c r="L213" s="565">
        <f t="shared" si="9"/>
        <v>1132</v>
      </c>
      <c r="M213" s="179">
        <v>45861</v>
      </c>
      <c r="N213" s="179">
        <v>45861</v>
      </c>
      <c r="O213" s="565">
        <v>1132</v>
      </c>
      <c r="P213" s="565">
        <f t="shared" si="10"/>
        <v>0</v>
      </c>
      <c r="Q213" s="565"/>
      <c r="R213" s="565"/>
      <c r="S213" s="565"/>
      <c r="T213" s="565"/>
      <c r="U213" s="565"/>
      <c r="V213" s="565"/>
      <c r="W213" s="565"/>
      <c r="X213" s="565"/>
      <c r="Y213" t="str">
        <f t="shared" ca="1" si="11"/>
        <v>PAGO</v>
      </c>
      <c r="AA213" t="s">
        <v>394</v>
      </c>
    </row>
    <row r="214" spans="1:27" x14ac:dyDescent="0.3">
      <c r="A214" t="s">
        <v>219</v>
      </c>
      <c r="B214" s="562">
        <v>2025</v>
      </c>
      <c r="C214" t="s">
        <v>248</v>
      </c>
      <c r="D214">
        <v>18356</v>
      </c>
      <c r="F214" s="179">
        <v>45819</v>
      </c>
      <c r="G214" t="s">
        <v>236</v>
      </c>
      <c r="J214" s="583">
        <v>0</v>
      </c>
      <c r="K214" s="583">
        <v>400.2</v>
      </c>
      <c r="L214" s="565">
        <f t="shared" si="9"/>
        <v>400.2</v>
      </c>
      <c r="M214" s="179">
        <v>45847</v>
      </c>
      <c r="N214" s="179">
        <v>45847</v>
      </c>
      <c r="O214" s="565">
        <v>400.2</v>
      </c>
      <c r="P214" s="565">
        <f t="shared" si="10"/>
        <v>0</v>
      </c>
      <c r="Q214" s="565"/>
      <c r="R214" s="565"/>
      <c r="S214" s="565"/>
      <c r="T214" s="565"/>
      <c r="U214" s="565"/>
      <c r="V214" s="565"/>
      <c r="W214" s="565"/>
      <c r="X214" s="565"/>
      <c r="Y214" t="str">
        <f t="shared" ca="1" si="11"/>
        <v>PAGO</v>
      </c>
      <c r="AA214" t="s">
        <v>394</v>
      </c>
    </row>
    <row r="215" spans="1:27" x14ac:dyDescent="0.3">
      <c r="A215" t="s">
        <v>219</v>
      </c>
      <c r="B215" s="562">
        <v>2025</v>
      </c>
      <c r="C215" t="s">
        <v>248</v>
      </c>
      <c r="D215">
        <v>18357</v>
      </c>
      <c r="F215" s="179">
        <v>45819</v>
      </c>
      <c r="G215" t="s">
        <v>236</v>
      </c>
      <c r="J215" s="583">
        <v>0</v>
      </c>
      <c r="K215" s="583">
        <v>403.65</v>
      </c>
      <c r="L215" s="565">
        <f t="shared" si="9"/>
        <v>403.65</v>
      </c>
      <c r="M215" s="179">
        <v>45847</v>
      </c>
      <c r="N215" s="179">
        <v>45847</v>
      </c>
      <c r="O215" s="565">
        <v>403.65</v>
      </c>
      <c r="P215" s="565">
        <f t="shared" si="10"/>
        <v>0</v>
      </c>
      <c r="Q215" s="565"/>
      <c r="R215" s="565"/>
      <c r="S215" s="565"/>
      <c r="T215" s="565"/>
      <c r="U215" s="565"/>
      <c r="V215" s="565"/>
      <c r="W215" s="565"/>
      <c r="X215" s="565"/>
      <c r="Y215" t="str">
        <f t="shared" ca="1" si="11"/>
        <v>PAGO</v>
      </c>
      <c r="AA215" t="s">
        <v>394</v>
      </c>
    </row>
    <row r="216" spans="1:27" x14ac:dyDescent="0.3">
      <c r="A216" t="s">
        <v>219</v>
      </c>
      <c r="B216" s="562">
        <v>2025</v>
      </c>
      <c r="C216" t="s">
        <v>248</v>
      </c>
      <c r="D216">
        <v>18358</v>
      </c>
      <c r="F216" s="179">
        <v>45819</v>
      </c>
      <c r="G216" t="s">
        <v>236</v>
      </c>
      <c r="J216" s="583">
        <v>0</v>
      </c>
      <c r="K216" s="583">
        <v>134.55000000000001</v>
      </c>
      <c r="L216" s="565">
        <f t="shared" si="9"/>
        <v>134.55000000000001</v>
      </c>
      <c r="M216" s="179">
        <v>45847</v>
      </c>
      <c r="N216" s="179">
        <v>45847</v>
      </c>
      <c r="O216" s="565">
        <v>134.55000000000001</v>
      </c>
      <c r="P216" s="565">
        <f t="shared" si="10"/>
        <v>0</v>
      </c>
      <c r="Q216" s="565"/>
      <c r="R216" s="565"/>
      <c r="S216" s="565"/>
      <c r="T216" s="565"/>
      <c r="U216" s="565"/>
      <c r="V216" s="565"/>
      <c r="W216" s="565"/>
      <c r="X216" s="565"/>
      <c r="Y216" t="str">
        <f t="shared" ca="1" si="11"/>
        <v>PAGO</v>
      </c>
      <c r="AA216" t="s">
        <v>394</v>
      </c>
    </row>
    <row r="217" spans="1:27" x14ac:dyDescent="0.3">
      <c r="A217" t="s">
        <v>219</v>
      </c>
      <c r="B217" s="562">
        <v>2025</v>
      </c>
      <c r="C217" t="s">
        <v>248</v>
      </c>
      <c r="D217">
        <v>18371</v>
      </c>
      <c r="F217" s="179">
        <v>45819</v>
      </c>
      <c r="G217" t="s">
        <v>236</v>
      </c>
      <c r="J217" s="583">
        <v>0</v>
      </c>
      <c r="K217" s="583">
        <v>414</v>
      </c>
      <c r="L217" s="565">
        <f t="shared" si="9"/>
        <v>414</v>
      </c>
      <c r="M217" s="179">
        <v>45847</v>
      </c>
      <c r="N217" s="179">
        <v>45847</v>
      </c>
      <c r="O217" s="565">
        <v>414</v>
      </c>
      <c r="P217" s="565">
        <f t="shared" si="10"/>
        <v>0</v>
      </c>
      <c r="Q217" s="565"/>
      <c r="R217" s="565"/>
      <c r="S217" s="565"/>
      <c r="T217" s="565"/>
      <c r="U217" s="565"/>
      <c r="V217" s="565"/>
      <c r="W217" s="565"/>
      <c r="X217" s="565"/>
      <c r="Y217" t="str">
        <f t="shared" ca="1" si="11"/>
        <v>PAGO</v>
      </c>
      <c r="AA217" t="s">
        <v>394</v>
      </c>
    </row>
    <row r="218" spans="1:27" x14ac:dyDescent="0.3">
      <c r="A218" t="s">
        <v>219</v>
      </c>
      <c r="B218" s="562">
        <v>2025</v>
      </c>
      <c r="C218" t="s">
        <v>248</v>
      </c>
      <c r="D218">
        <v>18475</v>
      </c>
      <c r="F218" s="179">
        <v>45826</v>
      </c>
      <c r="G218" t="s">
        <v>236</v>
      </c>
      <c r="J218" s="583">
        <v>0</v>
      </c>
      <c r="K218" s="583">
        <v>323.45</v>
      </c>
      <c r="L218" s="565">
        <f t="shared" si="9"/>
        <v>323.45</v>
      </c>
      <c r="M218" s="179">
        <v>45854</v>
      </c>
      <c r="N218" s="179">
        <v>45854</v>
      </c>
      <c r="O218" s="565">
        <v>323.45</v>
      </c>
      <c r="P218" s="565">
        <f t="shared" si="10"/>
        <v>0</v>
      </c>
      <c r="Q218" s="565"/>
      <c r="R218" s="565"/>
      <c r="S218" s="565"/>
      <c r="T218" s="565"/>
      <c r="U218" s="565"/>
      <c r="V218" s="565"/>
      <c r="W218" s="565"/>
      <c r="X218" s="565"/>
      <c r="Y218" t="str">
        <f t="shared" ca="1" si="11"/>
        <v>PAGO</v>
      </c>
      <c r="AA218" t="s">
        <v>394</v>
      </c>
    </row>
    <row r="219" spans="1:27" x14ac:dyDescent="0.3">
      <c r="A219" t="s">
        <v>219</v>
      </c>
      <c r="B219" s="562">
        <v>2025</v>
      </c>
      <c r="C219" t="s">
        <v>248</v>
      </c>
      <c r="D219">
        <v>18475</v>
      </c>
      <c r="F219" s="179">
        <v>45826</v>
      </c>
      <c r="G219" t="s">
        <v>236</v>
      </c>
      <c r="J219" s="583">
        <v>0</v>
      </c>
      <c r="K219" s="583">
        <v>323</v>
      </c>
      <c r="L219" s="565">
        <f t="shared" si="9"/>
        <v>323</v>
      </c>
      <c r="M219" s="179">
        <v>45861</v>
      </c>
      <c r="N219" s="179">
        <v>45861</v>
      </c>
      <c r="O219" s="565">
        <v>323</v>
      </c>
      <c r="P219" s="565">
        <f t="shared" si="10"/>
        <v>0</v>
      </c>
      <c r="Q219" s="565"/>
      <c r="R219" s="565"/>
      <c r="S219" s="565"/>
      <c r="T219" s="565"/>
      <c r="U219" s="565"/>
      <c r="V219" s="565"/>
      <c r="W219" s="565"/>
      <c r="X219" s="565"/>
      <c r="Y219" t="str">
        <f t="shared" ca="1" si="11"/>
        <v>PAGO</v>
      </c>
      <c r="AA219" t="s">
        <v>394</v>
      </c>
    </row>
    <row r="220" spans="1:27" x14ac:dyDescent="0.3">
      <c r="A220" t="s">
        <v>219</v>
      </c>
      <c r="B220" s="562">
        <v>2025</v>
      </c>
      <c r="C220" t="s">
        <v>248</v>
      </c>
      <c r="D220">
        <v>18475</v>
      </c>
      <c r="F220" s="179">
        <v>45826</v>
      </c>
      <c r="G220" t="s">
        <v>236</v>
      </c>
      <c r="J220" s="583">
        <v>0</v>
      </c>
      <c r="K220" s="583">
        <v>323</v>
      </c>
      <c r="L220" s="565">
        <f t="shared" si="9"/>
        <v>323</v>
      </c>
      <c r="M220" s="179">
        <v>45868</v>
      </c>
      <c r="N220" s="179">
        <v>45868</v>
      </c>
      <c r="O220" s="565">
        <v>323</v>
      </c>
      <c r="P220" s="565">
        <f t="shared" si="10"/>
        <v>0</v>
      </c>
      <c r="Q220" s="565"/>
      <c r="R220" s="565"/>
      <c r="S220" s="565"/>
      <c r="T220" s="565"/>
      <c r="U220" s="565"/>
      <c r="V220" s="565"/>
      <c r="W220" s="565"/>
      <c r="X220" s="565"/>
      <c r="Y220" t="str">
        <f t="shared" ca="1" si="11"/>
        <v>PAGO</v>
      </c>
      <c r="AA220" t="s">
        <v>394</v>
      </c>
    </row>
    <row r="221" spans="1:27" x14ac:dyDescent="0.3">
      <c r="A221" t="s">
        <v>219</v>
      </c>
      <c r="B221" s="562">
        <v>2025</v>
      </c>
      <c r="C221" t="s">
        <v>248</v>
      </c>
      <c r="D221">
        <v>18489</v>
      </c>
      <c r="F221" s="179">
        <v>45828</v>
      </c>
      <c r="G221" t="s">
        <v>236</v>
      </c>
      <c r="J221" s="583">
        <v>0</v>
      </c>
      <c r="K221" s="583">
        <v>1451.91</v>
      </c>
      <c r="L221" s="565">
        <f t="shared" si="9"/>
        <v>1451.91</v>
      </c>
      <c r="M221" s="179">
        <v>45856</v>
      </c>
      <c r="N221" s="179">
        <v>45855</v>
      </c>
      <c r="O221" s="565">
        <v>1451.91</v>
      </c>
      <c r="P221" s="565">
        <f t="shared" si="10"/>
        <v>0</v>
      </c>
      <c r="Q221" s="565"/>
      <c r="R221" s="565"/>
      <c r="S221" s="565"/>
      <c r="T221" s="565"/>
      <c r="U221" s="565"/>
      <c r="V221" s="565"/>
      <c r="W221" s="565"/>
      <c r="X221" s="565"/>
      <c r="Y221" t="str">
        <f t="shared" ca="1" si="11"/>
        <v>PAGO</v>
      </c>
      <c r="AA221" t="s">
        <v>394</v>
      </c>
    </row>
    <row r="222" spans="1:27" x14ac:dyDescent="0.3">
      <c r="A222" t="s">
        <v>219</v>
      </c>
      <c r="B222" s="562">
        <v>2025</v>
      </c>
      <c r="C222" t="s">
        <v>248</v>
      </c>
      <c r="D222">
        <v>18489</v>
      </c>
      <c r="F222" s="179">
        <v>45828</v>
      </c>
      <c r="G222" t="s">
        <v>236</v>
      </c>
      <c r="J222" s="583">
        <v>0</v>
      </c>
      <c r="K222" s="583">
        <v>1451</v>
      </c>
      <c r="L222" s="565">
        <f t="shared" si="9"/>
        <v>1451</v>
      </c>
      <c r="M222" s="179">
        <v>45863</v>
      </c>
      <c r="N222" s="179">
        <v>45862</v>
      </c>
      <c r="O222" s="565">
        <v>1451</v>
      </c>
      <c r="P222" s="565">
        <f t="shared" si="10"/>
        <v>0</v>
      </c>
      <c r="Q222" s="565"/>
      <c r="R222" s="565"/>
      <c r="S222" s="565"/>
      <c r="T222" s="565"/>
      <c r="U222" s="565"/>
      <c r="V222" s="565"/>
      <c r="W222" s="565"/>
      <c r="X222" s="565"/>
      <c r="Y222" t="str">
        <f t="shared" ca="1" si="11"/>
        <v>PAGO</v>
      </c>
      <c r="AA222" t="s">
        <v>394</v>
      </c>
    </row>
    <row r="223" spans="1:27" x14ac:dyDescent="0.3">
      <c r="A223" t="s">
        <v>219</v>
      </c>
      <c r="B223" s="562">
        <v>2025</v>
      </c>
      <c r="C223" t="s">
        <v>248</v>
      </c>
      <c r="D223">
        <v>18489</v>
      </c>
      <c r="F223" s="179">
        <v>45828</v>
      </c>
      <c r="G223" t="s">
        <v>236</v>
      </c>
      <c r="J223" s="583">
        <v>0</v>
      </c>
      <c r="K223" s="583">
        <v>1451</v>
      </c>
      <c r="L223" s="565">
        <f t="shared" si="9"/>
        <v>1451</v>
      </c>
      <c r="M223" s="179">
        <v>45870</v>
      </c>
      <c r="N223" s="179">
        <v>45869</v>
      </c>
      <c r="O223" s="565">
        <v>1451</v>
      </c>
      <c r="P223" s="565">
        <f t="shared" si="10"/>
        <v>0</v>
      </c>
      <c r="Q223" s="565"/>
      <c r="R223" s="565"/>
      <c r="S223" s="565"/>
      <c r="T223" s="565"/>
      <c r="U223" s="565"/>
      <c r="V223" s="565"/>
      <c r="W223" s="565"/>
      <c r="X223" s="565"/>
      <c r="Y223" t="str">
        <f t="shared" ca="1" si="11"/>
        <v>PAGO</v>
      </c>
      <c r="AA223" t="s">
        <v>394</v>
      </c>
    </row>
    <row r="224" spans="1:27" x14ac:dyDescent="0.3">
      <c r="A224" t="s">
        <v>219</v>
      </c>
      <c r="B224" s="562">
        <v>2025</v>
      </c>
      <c r="C224" t="s">
        <v>248</v>
      </c>
      <c r="D224">
        <v>18541</v>
      </c>
      <c r="F224" s="179">
        <v>45833</v>
      </c>
      <c r="G224" t="s">
        <v>236</v>
      </c>
      <c r="J224" s="583">
        <v>0</v>
      </c>
      <c r="K224" s="583">
        <v>412.56</v>
      </c>
      <c r="L224" s="565">
        <f t="shared" si="9"/>
        <v>412.56</v>
      </c>
      <c r="M224" s="179">
        <v>45861</v>
      </c>
      <c r="N224" s="179">
        <v>45861</v>
      </c>
      <c r="O224" s="565">
        <v>412.56</v>
      </c>
      <c r="P224" s="565">
        <f t="shared" si="10"/>
        <v>0</v>
      </c>
      <c r="Q224" s="565"/>
      <c r="R224" s="565"/>
      <c r="S224" s="565"/>
      <c r="T224" s="565"/>
      <c r="U224" s="565"/>
      <c r="V224" s="565"/>
      <c r="W224" s="565"/>
      <c r="X224" s="565"/>
      <c r="Y224" t="str">
        <f t="shared" ca="1" si="11"/>
        <v>PAGO</v>
      </c>
      <c r="AA224" t="s">
        <v>394</v>
      </c>
    </row>
    <row r="225" spans="1:27" x14ac:dyDescent="0.3">
      <c r="A225" t="s">
        <v>219</v>
      </c>
      <c r="B225" s="562">
        <v>2025</v>
      </c>
      <c r="C225" t="s">
        <v>248</v>
      </c>
      <c r="D225">
        <v>18541</v>
      </c>
      <c r="F225" s="179">
        <v>45833</v>
      </c>
      <c r="G225" t="s">
        <v>236</v>
      </c>
      <c r="J225" s="583">
        <v>0</v>
      </c>
      <c r="K225" s="583">
        <v>412</v>
      </c>
      <c r="L225" s="565">
        <f t="shared" si="9"/>
        <v>412</v>
      </c>
      <c r="M225" s="179">
        <v>45868</v>
      </c>
      <c r="N225" s="179">
        <v>45868</v>
      </c>
      <c r="O225" s="565">
        <v>412</v>
      </c>
      <c r="P225" s="565">
        <f t="shared" si="10"/>
        <v>0</v>
      </c>
      <c r="Q225" s="565"/>
      <c r="R225" s="565"/>
      <c r="S225" s="565"/>
      <c r="T225" s="565"/>
      <c r="U225" s="565"/>
      <c r="V225" s="565"/>
      <c r="W225" s="565"/>
      <c r="X225" s="565"/>
      <c r="Y225" t="str">
        <f t="shared" ca="1" si="11"/>
        <v>PAGO</v>
      </c>
      <c r="AA225" t="s">
        <v>394</v>
      </c>
    </row>
    <row r="226" spans="1:27" x14ac:dyDescent="0.3">
      <c r="A226" t="s">
        <v>219</v>
      </c>
      <c r="B226" s="562">
        <v>2025</v>
      </c>
      <c r="C226" t="s">
        <v>248</v>
      </c>
      <c r="D226">
        <v>18542</v>
      </c>
      <c r="F226" s="179">
        <v>45833</v>
      </c>
      <c r="G226" t="s">
        <v>236</v>
      </c>
      <c r="J226" s="583">
        <v>0</v>
      </c>
      <c r="K226" s="583">
        <v>927.02</v>
      </c>
      <c r="L226" s="565">
        <f t="shared" si="9"/>
        <v>927.02</v>
      </c>
      <c r="M226" s="179">
        <v>45861</v>
      </c>
      <c r="N226" s="179">
        <v>45861</v>
      </c>
      <c r="O226" s="565">
        <v>927.02</v>
      </c>
      <c r="P226" s="565">
        <f t="shared" si="10"/>
        <v>0</v>
      </c>
      <c r="Q226" s="565"/>
      <c r="R226" s="565"/>
      <c r="S226" s="565"/>
      <c r="T226" s="565"/>
      <c r="U226" s="565"/>
      <c r="V226" s="565"/>
      <c r="W226" s="565"/>
      <c r="X226" s="565"/>
      <c r="Y226" t="str">
        <f t="shared" ca="1" si="11"/>
        <v>PAGO</v>
      </c>
      <c r="AA226" t="s">
        <v>394</v>
      </c>
    </row>
    <row r="227" spans="1:27" x14ac:dyDescent="0.3">
      <c r="A227" t="s">
        <v>219</v>
      </c>
      <c r="B227" s="562">
        <v>2025</v>
      </c>
      <c r="C227" t="s">
        <v>248</v>
      </c>
      <c r="D227">
        <v>18542</v>
      </c>
      <c r="F227" s="179">
        <v>45833</v>
      </c>
      <c r="G227" t="s">
        <v>236</v>
      </c>
      <c r="J227" s="583">
        <v>0</v>
      </c>
      <c r="K227" s="583">
        <v>927</v>
      </c>
      <c r="L227" s="565">
        <f t="shared" si="9"/>
        <v>927</v>
      </c>
      <c r="M227" s="179">
        <v>45868</v>
      </c>
      <c r="N227" s="179">
        <v>45868</v>
      </c>
      <c r="O227" s="565">
        <v>927</v>
      </c>
      <c r="P227" s="565">
        <f t="shared" si="10"/>
        <v>0</v>
      </c>
      <c r="Q227" s="565"/>
      <c r="R227" s="565"/>
      <c r="S227" s="565"/>
      <c r="T227" s="565"/>
      <c r="U227" s="565"/>
      <c r="V227" s="565"/>
      <c r="W227" s="565"/>
      <c r="X227" s="565"/>
      <c r="Y227" t="str">
        <f t="shared" ca="1" si="11"/>
        <v>PAGO</v>
      </c>
      <c r="AA227" t="s">
        <v>394</v>
      </c>
    </row>
    <row r="228" spans="1:27" x14ac:dyDescent="0.3">
      <c r="A228" t="s">
        <v>219</v>
      </c>
      <c r="B228" s="562">
        <v>2025</v>
      </c>
      <c r="C228" t="s">
        <v>248</v>
      </c>
      <c r="D228">
        <v>18542</v>
      </c>
      <c r="F228" s="179">
        <v>45833</v>
      </c>
      <c r="G228" t="s">
        <v>236</v>
      </c>
      <c r="J228" s="583">
        <v>0</v>
      </c>
      <c r="K228" s="583">
        <v>927</v>
      </c>
      <c r="L228" s="565">
        <f t="shared" si="9"/>
        <v>927</v>
      </c>
      <c r="M228" s="179">
        <v>45875</v>
      </c>
      <c r="N228" s="179">
        <v>45874</v>
      </c>
      <c r="O228" s="565">
        <v>927</v>
      </c>
      <c r="P228" s="565">
        <f t="shared" si="10"/>
        <v>0</v>
      </c>
      <c r="Q228" s="565"/>
      <c r="R228" s="565"/>
      <c r="S228" s="565"/>
      <c r="T228" s="565"/>
      <c r="U228" s="565"/>
      <c r="V228" s="565"/>
      <c r="W228" s="565"/>
      <c r="X228" s="565"/>
      <c r="Y228" t="str">
        <f t="shared" ca="1" si="11"/>
        <v>PAGO</v>
      </c>
      <c r="AA228" t="s">
        <v>394</v>
      </c>
    </row>
    <row r="229" spans="1:27" x14ac:dyDescent="0.3">
      <c r="A229" t="s">
        <v>219</v>
      </c>
      <c r="B229" s="562">
        <v>2025</v>
      </c>
      <c r="C229" t="s">
        <v>248</v>
      </c>
      <c r="D229">
        <v>18543</v>
      </c>
      <c r="F229" s="179">
        <v>45833</v>
      </c>
      <c r="G229" t="s">
        <v>236</v>
      </c>
      <c r="J229" s="583">
        <v>0</v>
      </c>
      <c r="K229" s="583">
        <v>545.45000000000005</v>
      </c>
      <c r="L229" s="565">
        <f t="shared" si="9"/>
        <v>545.45000000000005</v>
      </c>
      <c r="M229" s="179">
        <v>45861</v>
      </c>
      <c r="N229" s="179">
        <v>45861</v>
      </c>
      <c r="O229" s="565">
        <v>545.45000000000005</v>
      </c>
      <c r="P229" s="565">
        <f t="shared" si="10"/>
        <v>0</v>
      </c>
      <c r="Q229" s="565"/>
      <c r="R229" s="565"/>
      <c r="S229" s="565"/>
      <c r="T229" s="565"/>
      <c r="U229" s="565"/>
      <c r="V229" s="565"/>
      <c r="W229" s="565"/>
      <c r="X229" s="565"/>
      <c r="Y229" t="str">
        <f t="shared" ca="1" si="11"/>
        <v>PAGO</v>
      </c>
      <c r="AA229" t="s">
        <v>394</v>
      </c>
    </row>
    <row r="230" spans="1:27" x14ac:dyDescent="0.3">
      <c r="A230" t="s">
        <v>219</v>
      </c>
      <c r="B230" s="562">
        <v>2025</v>
      </c>
      <c r="C230" t="s">
        <v>248</v>
      </c>
      <c r="D230">
        <v>18557</v>
      </c>
      <c r="F230" s="179">
        <v>45834</v>
      </c>
      <c r="G230" t="s">
        <v>236</v>
      </c>
      <c r="J230" s="583">
        <v>0</v>
      </c>
      <c r="K230" s="583">
        <v>591.32000000000005</v>
      </c>
      <c r="L230" s="565">
        <f t="shared" si="9"/>
        <v>591.32000000000005</v>
      </c>
      <c r="M230" s="179">
        <v>45862</v>
      </c>
      <c r="N230" s="179">
        <v>45862</v>
      </c>
      <c r="O230" s="565">
        <v>591.32000000000005</v>
      </c>
      <c r="P230" s="565">
        <f t="shared" si="10"/>
        <v>0</v>
      </c>
      <c r="Q230" s="565"/>
      <c r="R230" s="565"/>
      <c r="S230" s="565"/>
      <c r="T230" s="565"/>
      <c r="U230" s="565"/>
      <c r="V230" s="565"/>
      <c r="W230" s="565"/>
      <c r="X230" s="565"/>
      <c r="Y230" t="str">
        <f t="shared" ca="1" si="11"/>
        <v>PAGO</v>
      </c>
      <c r="AA230" t="s">
        <v>394</v>
      </c>
    </row>
    <row r="231" spans="1:27" x14ac:dyDescent="0.3">
      <c r="A231" t="s">
        <v>219</v>
      </c>
      <c r="B231" s="562">
        <v>2025</v>
      </c>
      <c r="C231" t="s">
        <v>248</v>
      </c>
      <c r="D231">
        <v>18557</v>
      </c>
      <c r="F231" s="179">
        <v>45834</v>
      </c>
      <c r="G231" t="s">
        <v>236</v>
      </c>
      <c r="J231" s="583">
        <v>0</v>
      </c>
      <c r="K231" s="583">
        <v>591</v>
      </c>
      <c r="L231" s="565">
        <f t="shared" si="9"/>
        <v>591</v>
      </c>
      <c r="M231" s="179">
        <v>45869</v>
      </c>
      <c r="N231" s="179">
        <v>45869</v>
      </c>
      <c r="O231" s="565">
        <v>591</v>
      </c>
      <c r="P231" s="565">
        <f t="shared" si="10"/>
        <v>0</v>
      </c>
      <c r="Q231" s="565"/>
      <c r="R231" s="565"/>
      <c r="S231" s="565"/>
      <c r="T231" s="565"/>
      <c r="U231" s="565"/>
      <c r="V231" s="565"/>
      <c r="W231" s="565"/>
      <c r="X231" s="565"/>
      <c r="Y231" t="str">
        <f t="shared" ca="1" si="11"/>
        <v>PAGO</v>
      </c>
      <c r="AA231" t="s">
        <v>394</v>
      </c>
    </row>
    <row r="232" spans="1:27" x14ac:dyDescent="0.3">
      <c r="A232" t="s">
        <v>219</v>
      </c>
      <c r="B232" s="562">
        <v>2025</v>
      </c>
      <c r="C232" t="s">
        <v>248</v>
      </c>
      <c r="D232">
        <v>18557</v>
      </c>
      <c r="F232" s="179">
        <v>45834</v>
      </c>
      <c r="G232" t="s">
        <v>236</v>
      </c>
      <c r="J232" s="583">
        <v>0</v>
      </c>
      <c r="K232" s="583">
        <v>591</v>
      </c>
      <c r="L232" s="565">
        <f t="shared" si="9"/>
        <v>591</v>
      </c>
      <c r="M232" s="179">
        <v>45876</v>
      </c>
      <c r="N232" s="179">
        <v>45874</v>
      </c>
      <c r="O232" s="565">
        <v>591</v>
      </c>
      <c r="P232" s="565">
        <f t="shared" si="10"/>
        <v>0</v>
      </c>
      <c r="Q232" s="565"/>
      <c r="R232" s="565"/>
      <c r="S232" s="565"/>
      <c r="T232" s="565"/>
      <c r="U232" s="565"/>
      <c r="V232" s="565"/>
      <c r="W232" s="565"/>
      <c r="X232" s="565"/>
      <c r="Y232" t="str">
        <f t="shared" ca="1" si="11"/>
        <v>PAGO</v>
      </c>
      <c r="AA232" t="s">
        <v>394</v>
      </c>
    </row>
    <row r="233" spans="1:27" x14ac:dyDescent="0.3">
      <c r="A233" t="s">
        <v>219</v>
      </c>
      <c r="B233" s="562">
        <v>2025</v>
      </c>
      <c r="C233" t="s">
        <v>248</v>
      </c>
      <c r="D233">
        <v>18579</v>
      </c>
      <c r="F233" s="179">
        <v>45835</v>
      </c>
      <c r="G233" t="s">
        <v>236</v>
      </c>
      <c r="J233" s="583">
        <v>0</v>
      </c>
      <c r="K233" s="583">
        <v>546.83000000000004</v>
      </c>
      <c r="L233" s="565">
        <f t="shared" si="9"/>
        <v>546.83000000000004</v>
      </c>
      <c r="M233" s="179">
        <v>45863</v>
      </c>
      <c r="N233" s="179">
        <v>45862</v>
      </c>
      <c r="O233" s="565">
        <v>546.83000000000004</v>
      </c>
      <c r="P233" s="565">
        <f t="shared" si="10"/>
        <v>0</v>
      </c>
      <c r="Q233" s="565"/>
      <c r="R233" s="565"/>
      <c r="S233" s="565"/>
      <c r="T233" s="565"/>
      <c r="U233" s="565"/>
      <c r="V233" s="565"/>
      <c r="W233" s="565"/>
      <c r="X233" s="565"/>
      <c r="Y233" t="str">
        <f t="shared" ca="1" si="11"/>
        <v>PAGO</v>
      </c>
      <c r="AA233" t="s">
        <v>394</v>
      </c>
    </row>
    <row r="234" spans="1:27" x14ac:dyDescent="0.3">
      <c r="A234" t="s">
        <v>220</v>
      </c>
      <c r="B234" s="562">
        <v>2025</v>
      </c>
      <c r="C234" t="s">
        <v>248</v>
      </c>
      <c r="D234">
        <v>18656</v>
      </c>
      <c r="F234" s="179">
        <v>45841</v>
      </c>
      <c r="G234" t="s">
        <v>236</v>
      </c>
      <c r="J234" s="583">
        <v>0</v>
      </c>
      <c r="K234" s="583">
        <v>591.85</v>
      </c>
      <c r="L234" s="565">
        <f t="shared" si="9"/>
        <v>591.85</v>
      </c>
      <c r="M234" s="179">
        <v>45869</v>
      </c>
      <c r="N234" s="179">
        <v>45869</v>
      </c>
      <c r="O234" s="565">
        <v>591.85</v>
      </c>
      <c r="P234" s="565">
        <f t="shared" si="10"/>
        <v>0</v>
      </c>
      <c r="Q234" s="565"/>
      <c r="R234" s="565"/>
      <c r="S234" s="565"/>
      <c r="T234" s="565"/>
      <c r="U234" s="565"/>
      <c r="V234" s="565"/>
      <c r="W234" s="565"/>
      <c r="X234" s="565"/>
      <c r="Y234" t="str">
        <f t="shared" ca="1" si="11"/>
        <v>PAGO</v>
      </c>
      <c r="AA234" t="s">
        <v>395</v>
      </c>
    </row>
    <row r="235" spans="1:27" x14ac:dyDescent="0.3">
      <c r="A235" t="s">
        <v>220</v>
      </c>
      <c r="B235" s="562">
        <v>2025</v>
      </c>
      <c r="C235" t="s">
        <v>248</v>
      </c>
      <c r="D235">
        <v>18656</v>
      </c>
      <c r="F235" s="179">
        <v>45841</v>
      </c>
      <c r="G235" t="s">
        <v>236</v>
      </c>
      <c r="J235" s="583">
        <v>0</v>
      </c>
      <c r="K235" s="583">
        <v>589</v>
      </c>
      <c r="L235" s="565">
        <f t="shared" si="9"/>
        <v>589</v>
      </c>
      <c r="M235" s="179">
        <v>45876</v>
      </c>
      <c r="N235" s="179">
        <v>45874</v>
      </c>
      <c r="O235" s="565">
        <v>589</v>
      </c>
      <c r="P235" s="565">
        <f t="shared" si="10"/>
        <v>0</v>
      </c>
      <c r="Q235" s="565"/>
      <c r="R235" s="565"/>
      <c r="S235" s="565"/>
      <c r="T235" s="565"/>
      <c r="U235" s="565"/>
      <c r="V235" s="565"/>
      <c r="W235" s="565"/>
      <c r="X235" s="565"/>
      <c r="Y235" t="str">
        <f t="shared" ca="1" si="11"/>
        <v>PAGO</v>
      </c>
      <c r="AA235" t="s">
        <v>395</v>
      </c>
    </row>
    <row r="236" spans="1:27" x14ac:dyDescent="0.3">
      <c r="A236" t="s">
        <v>220</v>
      </c>
      <c r="B236" s="562">
        <v>2025</v>
      </c>
      <c r="C236" t="s">
        <v>248</v>
      </c>
      <c r="D236">
        <v>18656</v>
      </c>
      <c r="F236" s="179">
        <v>45841</v>
      </c>
      <c r="G236" t="s">
        <v>236</v>
      </c>
      <c r="J236" s="583">
        <v>0</v>
      </c>
      <c r="K236" s="583">
        <v>589</v>
      </c>
      <c r="L236" s="565">
        <f t="shared" si="9"/>
        <v>589</v>
      </c>
      <c r="M236" s="179">
        <v>45883</v>
      </c>
      <c r="N236" s="179">
        <v>45880</v>
      </c>
      <c r="O236" s="565">
        <v>589</v>
      </c>
      <c r="P236" s="565">
        <f t="shared" si="10"/>
        <v>0</v>
      </c>
      <c r="Q236" s="565"/>
      <c r="R236" s="565"/>
      <c r="S236" s="565"/>
      <c r="T236" s="565"/>
      <c r="U236" s="565"/>
      <c r="V236" s="565"/>
      <c r="W236" s="565"/>
      <c r="X236" s="565"/>
      <c r="Y236" t="str">
        <f t="shared" ca="1" si="11"/>
        <v>PAGO</v>
      </c>
      <c r="AA236" t="s">
        <v>395</v>
      </c>
    </row>
    <row r="237" spans="1:27" x14ac:dyDescent="0.3">
      <c r="A237" t="s">
        <v>220</v>
      </c>
      <c r="B237" s="562">
        <v>2025</v>
      </c>
      <c r="C237" t="s">
        <v>248</v>
      </c>
      <c r="D237">
        <v>18666</v>
      </c>
      <c r="F237" s="179">
        <v>45845</v>
      </c>
      <c r="G237" t="s">
        <v>236</v>
      </c>
      <c r="J237" s="583">
        <v>0</v>
      </c>
      <c r="K237" s="583">
        <v>429.4</v>
      </c>
      <c r="L237" s="565">
        <f t="shared" si="9"/>
        <v>429.4</v>
      </c>
      <c r="M237" s="179">
        <v>45873</v>
      </c>
      <c r="N237" s="179">
        <v>45874</v>
      </c>
      <c r="O237" s="565">
        <v>429.4</v>
      </c>
      <c r="P237" s="565">
        <f t="shared" si="10"/>
        <v>0</v>
      </c>
      <c r="Q237" s="565"/>
      <c r="R237" s="565"/>
      <c r="S237" s="565"/>
      <c r="T237" s="565"/>
      <c r="U237" s="565"/>
      <c r="V237" s="565"/>
      <c r="W237" s="565"/>
      <c r="X237" s="565"/>
      <c r="Y237" t="str">
        <f t="shared" ca="1" si="11"/>
        <v>PAGO</v>
      </c>
      <c r="AA237" t="s">
        <v>395</v>
      </c>
    </row>
    <row r="238" spans="1:27" x14ac:dyDescent="0.3">
      <c r="A238" t="s">
        <v>220</v>
      </c>
      <c r="B238" s="562">
        <v>2025</v>
      </c>
      <c r="C238" t="s">
        <v>248</v>
      </c>
      <c r="D238">
        <v>18666</v>
      </c>
      <c r="F238" s="179">
        <v>45845</v>
      </c>
      <c r="G238" t="s">
        <v>236</v>
      </c>
      <c r="J238" s="583">
        <v>0</v>
      </c>
      <c r="K238" s="583">
        <v>427</v>
      </c>
      <c r="L238" s="565">
        <f t="shared" si="9"/>
        <v>427</v>
      </c>
      <c r="M238" s="179">
        <v>45880</v>
      </c>
      <c r="N238" s="179">
        <v>45880</v>
      </c>
      <c r="O238" s="565">
        <v>427</v>
      </c>
      <c r="P238" s="565">
        <f t="shared" si="10"/>
        <v>0</v>
      </c>
      <c r="Q238" s="565"/>
      <c r="R238" s="565"/>
      <c r="S238" s="565"/>
      <c r="T238" s="565"/>
      <c r="U238" s="565"/>
      <c r="V238" s="565"/>
      <c r="W238" s="565"/>
      <c r="X238" s="565"/>
      <c r="Y238" t="str">
        <f t="shared" ca="1" si="11"/>
        <v>PAGO</v>
      </c>
      <c r="AA238" t="s">
        <v>395</v>
      </c>
    </row>
    <row r="239" spans="1:27" x14ac:dyDescent="0.3">
      <c r="A239" t="s">
        <v>220</v>
      </c>
      <c r="B239" s="562">
        <v>2025</v>
      </c>
      <c r="C239" t="s">
        <v>248</v>
      </c>
      <c r="D239">
        <v>18666</v>
      </c>
      <c r="F239" s="179">
        <v>45845</v>
      </c>
      <c r="G239" t="s">
        <v>236</v>
      </c>
      <c r="J239" s="583">
        <v>0</v>
      </c>
      <c r="K239" s="583">
        <v>427</v>
      </c>
      <c r="L239" s="565">
        <f t="shared" si="9"/>
        <v>427</v>
      </c>
      <c r="M239" s="179">
        <v>45887</v>
      </c>
      <c r="N239" s="179">
        <v>45888</v>
      </c>
      <c r="O239" s="565">
        <v>427</v>
      </c>
      <c r="P239" s="565">
        <f t="shared" si="10"/>
        <v>0</v>
      </c>
      <c r="Q239" s="565"/>
      <c r="R239" s="565"/>
      <c r="S239" s="565"/>
      <c r="T239" s="565"/>
      <c r="U239" s="565"/>
      <c r="V239" s="565"/>
      <c r="W239" s="565"/>
      <c r="X239" s="565"/>
      <c r="Y239" t="str">
        <f t="shared" ca="1" si="11"/>
        <v>PAGO</v>
      </c>
      <c r="AA239" t="s">
        <v>395</v>
      </c>
    </row>
    <row r="240" spans="1:27" x14ac:dyDescent="0.3">
      <c r="A240" t="s">
        <v>220</v>
      </c>
      <c r="B240" s="562">
        <v>2025</v>
      </c>
      <c r="C240" t="s">
        <v>248</v>
      </c>
      <c r="D240">
        <v>18720</v>
      </c>
      <c r="F240" s="179">
        <v>45847</v>
      </c>
      <c r="G240" t="s">
        <v>236</v>
      </c>
      <c r="J240" s="583">
        <v>0</v>
      </c>
      <c r="K240" s="583">
        <v>396.75</v>
      </c>
      <c r="L240" s="565">
        <f t="shared" si="9"/>
        <v>396.75</v>
      </c>
      <c r="M240" s="179">
        <v>45875</v>
      </c>
      <c r="N240" s="179">
        <v>45874</v>
      </c>
      <c r="O240" s="565">
        <v>396.75</v>
      </c>
      <c r="P240" s="565">
        <f t="shared" si="10"/>
        <v>0</v>
      </c>
      <c r="Q240" s="565"/>
      <c r="R240" s="565"/>
      <c r="S240" s="565"/>
      <c r="T240" s="565"/>
      <c r="U240" s="565"/>
      <c r="V240" s="565"/>
      <c r="W240" s="565"/>
      <c r="X240" s="565"/>
      <c r="Y240" t="str">
        <f t="shared" ca="1" si="11"/>
        <v>PAGO</v>
      </c>
      <c r="AA240" t="s">
        <v>395</v>
      </c>
    </row>
    <row r="241" spans="1:27" x14ac:dyDescent="0.3">
      <c r="A241" t="s">
        <v>220</v>
      </c>
      <c r="B241" s="562">
        <v>2025</v>
      </c>
      <c r="C241" t="s">
        <v>248</v>
      </c>
      <c r="D241">
        <v>18765</v>
      </c>
      <c r="F241" s="179">
        <v>45849</v>
      </c>
      <c r="G241" t="s">
        <v>236</v>
      </c>
      <c r="J241" s="583">
        <v>0</v>
      </c>
      <c r="K241" s="583">
        <v>127.65</v>
      </c>
      <c r="L241" s="565">
        <f t="shared" si="9"/>
        <v>127.65</v>
      </c>
      <c r="M241" s="179">
        <v>45877</v>
      </c>
      <c r="N241" s="179">
        <v>45874</v>
      </c>
      <c r="O241" s="565">
        <v>127.65</v>
      </c>
      <c r="P241" s="565">
        <f t="shared" si="10"/>
        <v>0</v>
      </c>
      <c r="Q241" s="565"/>
      <c r="R241" s="565"/>
      <c r="S241" s="565"/>
      <c r="T241" s="565"/>
      <c r="U241" s="565"/>
      <c r="V241" s="565"/>
      <c r="W241" s="565"/>
      <c r="X241" s="565"/>
      <c r="Y241" t="str">
        <f t="shared" ca="1" si="11"/>
        <v>PAGO</v>
      </c>
      <c r="AA241" t="s">
        <v>395</v>
      </c>
    </row>
    <row r="242" spans="1:27" x14ac:dyDescent="0.3">
      <c r="A242" t="s">
        <v>220</v>
      </c>
      <c r="B242" s="562">
        <v>2025</v>
      </c>
      <c r="C242" t="s">
        <v>248</v>
      </c>
      <c r="D242">
        <v>18838</v>
      </c>
      <c r="F242" s="179">
        <v>45855</v>
      </c>
      <c r="G242" t="s">
        <v>236</v>
      </c>
      <c r="J242" s="583">
        <v>0</v>
      </c>
      <c r="K242" s="583">
        <v>343.55</v>
      </c>
      <c r="L242" s="565">
        <f t="shared" si="9"/>
        <v>343.55</v>
      </c>
      <c r="M242" s="179">
        <v>45883</v>
      </c>
      <c r="N242" s="179">
        <v>45901</v>
      </c>
      <c r="O242" s="565">
        <v>343.55</v>
      </c>
      <c r="P242" s="565">
        <f t="shared" si="10"/>
        <v>0</v>
      </c>
      <c r="Q242" s="565"/>
      <c r="R242" s="565"/>
      <c r="S242" s="565"/>
      <c r="T242" s="565"/>
      <c r="U242" s="565"/>
      <c r="V242" s="565"/>
      <c r="W242" s="565"/>
      <c r="X242" s="565"/>
      <c r="Y242" t="str">
        <f t="shared" ca="1" si="11"/>
        <v>PAGO</v>
      </c>
      <c r="AA242" t="s">
        <v>395</v>
      </c>
    </row>
    <row r="243" spans="1:27" x14ac:dyDescent="0.3">
      <c r="A243" t="s">
        <v>220</v>
      </c>
      <c r="B243" s="562">
        <v>2025</v>
      </c>
      <c r="C243" t="s">
        <v>248</v>
      </c>
      <c r="D243">
        <v>18838</v>
      </c>
      <c r="F243" s="179">
        <v>45855</v>
      </c>
      <c r="G243" t="s">
        <v>236</v>
      </c>
      <c r="J243" s="583">
        <v>0</v>
      </c>
      <c r="K243" s="583">
        <v>343</v>
      </c>
      <c r="L243" s="565">
        <f t="shared" si="9"/>
        <v>343</v>
      </c>
      <c r="M243" s="179">
        <v>45890</v>
      </c>
      <c r="N243" s="179">
        <v>45908</v>
      </c>
      <c r="O243" s="565">
        <v>343</v>
      </c>
      <c r="P243" s="565">
        <f t="shared" si="10"/>
        <v>0</v>
      </c>
      <c r="Q243" s="565"/>
      <c r="R243" s="565"/>
      <c r="S243" s="565"/>
      <c r="T243" s="565"/>
      <c r="U243" s="565"/>
      <c r="V243" s="565"/>
      <c r="W243" s="565"/>
      <c r="X243" s="565"/>
      <c r="Y243" t="str">
        <f t="shared" ca="1" si="11"/>
        <v>PAGO</v>
      </c>
      <c r="AA243" t="s">
        <v>395</v>
      </c>
    </row>
    <row r="244" spans="1:27" x14ac:dyDescent="0.3">
      <c r="A244" t="s">
        <v>220</v>
      </c>
      <c r="B244" s="562">
        <v>2025</v>
      </c>
      <c r="C244" t="s">
        <v>248</v>
      </c>
      <c r="D244">
        <v>18944</v>
      </c>
      <c r="F244" s="179">
        <v>45862</v>
      </c>
      <c r="G244" t="s">
        <v>236</v>
      </c>
      <c r="J244" s="583">
        <v>0</v>
      </c>
      <c r="K244" s="583">
        <v>411.1</v>
      </c>
      <c r="L244" s="565">
        <f t="shared" si="9"/>
        <v>411.1</v>
      </c>
      <c r="M244" s="179">
        <v>45890</v>
      </c>
      <c r="N244" s="179">
        <v>45888</v>
      </c>
      <c r="O244" s="565">
        <v>411.1</v>
      </c>
      <c r="P244" s="565">
        <f t="shared" si="10"/>
        <v>0</v>
      </c>
      <c r="Q244" s="565"/>
      <c r="R244" s="565"/>
      <c r="S244" s="565"/>
      <c r="T244" s="565"/>
      <c r="U244" s="565"/>
      <c r="V244" s="565"/>
      <c r="W244" s="565"/>
      <c r="X244" s="565"/>
      <c r="Y244" t="str">
        <f t="shared" ca="1" si="11"/>
        <v>PAGO</v>
      </c>
      <c r="AA244" t="s">
        <v>395</v>
      </c>
    </row>
    <row r="245" spans="1:27" x14ac:dyDescent="0.3">
      <c r="A245" t="s">
        <v>220</v>
      </c>
      <c r="B245" s="562">
        <v>2025</v>
      </c>
      <c r="C245" t="s">
        <v>248</v>
      </c>
      <c r="D245">
        <v>18944</v>
      </c>
      <c r="F245" s="179">
        <v>45862</v>
      </c>
      <c r="G245" t="s">
        <v>236</v>
      </c>
      <c r="J245" s="583">
        <v>0</v>
      </c>
      <c r="K245" s="583">
        <v>410</v>
      </c>
      <c r="L245" s="565">
        <f t="shared" si="9"/>
        <v>410</v>
      </c>
      <c r="M245" s="179">
        <v>45897</v>
      </c>
      <c r="N245" s="179">
        <v>45898</v>
      </c>
      <c r="O245" s="565">
        <v>410</v>
      </c>
      <c r="P245" s="565">
        <f t="shared" si="10"/>
        <v>0</v>
      </c>
      <c r="Q245" s="565"/>
      <c r="R245" s="565"/>
      <c r="S245" s="565"/>
      <c r="T245" s="565"/>
      <c r="U245" s="565"/>
      <c r="V245" s="565"/>
      <c r="W245" s="565"/>
      <c r="X245" s="565"/>
      <c r="Y245" t="str">
        <f t="shared" ca="1" si="11"/>
        <v>PAGO</v>
      </c>
      <c r="AA245" t="s">
        <v>395</v>
      </c>
    </row>
    <row r="246" spans="1:27" x14ac:dyDescent="0.3">
      <c r="A246" t="s">
        <v>220</v>
      </c>
      <c r="B246" s="562">
        <v>2025</v>
      </c>
      <c r="C246" t="s">
        <v>248</v>
      </c>
      <c r="D246">
        <v>18969</v>
      </c>
      <c r="F246" s="179">
        <v>45863</v>
      </c>
      <c r="G246" t="s">
        <v>236</v>
      </c>
      <c r="J246" s="583">
        <v>0</v>
      </c>
      <c r="K246" s="583">
        <v>408.83</v>
      </c>
      <c r="L246" s="565">
        <f t="shared" si="9"/>
        <v>408.83</v>
      </c>
      <c r="M246" s="179">
        <v>45923</v>
      </c>
      <c r="N246" s="179">
        <v>45922</v>
      </c>
      <c r="O246" s="565">
        <v>408.83</v>
      </c>
      <c r="P246" s="565">
        <f t="shared" si="10"/>
        <v>0</v>
      </c>
      <c r="Q246" s="565"/>
      <c r="R246" s="565"/>
      <c r="S246" s="565"/>
      <c r="T246" s="565"/>
      <c r="U246" s="565"/>
      <c r="V246" s="565"/>
      <c r="W246" s="565"/>
      <c r="X246" s="565"/>
      <c r="Y246" t="str">
        <f t="shared" ca="1" si="11"/>
        <v>PAGO</v>
      </c>
      <c r="AA246" t="s">
        <v>395</v>
      </c>
    </row>
    <row r="247" spans="1:27" x14ac:dyDescent="0.3">
      <c r="A247" t="s">
        <v>220</v>
      </c>
      <c r="B247" s="562">
        <v>2025</v>
      </c>
      <c r="C247" t="s">
        <v>248</v>
      </c>
      <c r="D247">
        <v>19052</v>
      </c>
      <c r="F247" s="179">
        <v>45869</v>
      </c>
      <c r="G247" t="s">
        <v>236</v>
      </c>
      <c r="J247" s="583">
        <v>0</v>
      </c>
      <c r="K247" s="583">
        <v>864.68</v>
      </c>
      <c r="L247" s="565">
        <f t="shared" si="9"/>
        <v>864.68</v>
      </c>
      <c r="M247" s="179">
        <v>45897</v>
      </c>
      <c r="N247" s="179">
        <v>45898</v>
      </c>
      <c r="O247" s="565">
        <v>864.68</v>
      </c>
      <c r="P247" s="565">
        <f t="shared" si="10"/>
        <v>0</v>
      </c>
      <c r="Q247" s="565"/>
      <c r="R247" s="565"/>
      <c r="S247" s="565"/>
      <c r="T247" s="565"/>
      <c r="U247" s="565"/>
      <c r="V247" s="565"/>
      <c r="W247" s="565"/>
      <c r="X247" s="565"/>
      <c r="Y247" t="str">
        <f t="shared" ca="1" si="11"/>
        <v>PAGO</v>
      </c>
      <c r="AA247" t="s">
        <v>395</v>
      </c>
    </row>
    <row r="248" spans="1:27" x14ac:dyDescent="0.3">
      <c r="A248" t="s">
        <v>220</v>
      </c>
      <c r="B248" s="562">
        <v>2025</v>
      </c>
      <c r="C248" t="s">
        <v>248</v>
      </c>
      <c r="D248">
        <v>19052</v>
      </c>
      <c r="F248" s="179">
        <v>45869</v>
      </c>
      <c r="G248" t="s">
        <v>236</v>
      </c>
      <c r="J248" s="583">
        <v>0</v>
      </c>
      <c r="K248" s="583">
        <v>864</v>
      </c>
      <c r="L248" s="565">
        <f t="shared" si="9"/>
        <v>864</v>
      </c>
      <c r="M248" s="179">
        <v>45904</v>
      </c>
      <c r="N248" s="179">
        <v>45901</v>
      </c>
      <c r="O248" s="565">
        <v>864</v>
      </c>
      <c r="P248" s="565">
        <f t="shared" si="10"/>
        <v>0</v>
      </c>
      <c r="Q248" s="565"/>
      <c r="R248" s="565"/>
      <c r="S248" s="565"/>
      <c r="T248" s="565"/>
      <c r="U248" s="565"/>
      <c r="V248" s="565"/>
      <c r="W248" s="565"/>
      <c r="X248" s="565"/>
      <c r="Y248" t="str">
        <f t="shared" ca="1" si="11"/>
        <v>PAGO</v>
      </c>
      <c r="AA248" t="s">
        <v>395</v>
      </c>
    </row>
    <row r="249" spans="1:27" x14ac:dyDescent="0.3">
      <c r="A249" t="s">
        <v>220</v>
      </c>
      <c r="B249" s="562">
        <v>2025</v>
      </c>
      <c r="C249" t="s">
        <v>248</v>
      </c>
      <c r="D249">
        <v>19052</v>
      </c>
      <c r="F249" s="179">
        <v>45869</v>
      </c>
      <c r="G249" t="s">
        <v>236</v>
      </c>
      <c r="J249" s="583">
        <v>0</v>
      </c>
      <c r="K249" s="583">
        <v>864</v>
      </c>
      <c r="L249" s="565">
        <f t="shared" si="9"/>
        <v>864</v>
      </c>
      <c r="M249" s="179">
        <v>45911</v>
      </c>
      <c r="N249" s="179">
        <v>45908</v>
      </c>
      <c r="O249" s="565">
        <v>864</v>
      </c>
      <c r="P249" s="565">
        <f t="shared" si="10"/>
        <v>0</v>
      </c>
      <c r="Q249" s="565"/>
      <c r="R249" s="565"/>
      <c r="S249" s="565"/>
      <c r="T249" s="565"/>
      <c r="U249" s="565"/>
      <c r="V249" s="565"/>
      <c r="W249" s="565"/>
      <c r="X249" s="565"/>
      <c r="Y249" t="str">
        <f t="shared" ca="1" si="11"/>
        <v>PAGO</v>
      </c>
      <c r="AA249" t="s">
        <v>395</v>
      </c>
    </row>
    <row r="250" spans="1:27" x14ac:dyDescent="0.3">
      <c r="A250" t="s">
        <v>221</v>
      </c>
      <c r="B250" s="562">
        <v>2025</v>
      </c>
      <c r="C250" t="s">
        <v>248</v>
      </c>
      <c r="D250">
        <v>19183</v>
      </c>
      <c r="E250">
        <v>1734</v>
      </c>
      <c r="F250" s="179">
        <v>45880</v>
      </c>
      <c r="G250" t="s">
        <v>236</v>
      </c>
      <c r="I250" t="s">
        <v>270</v>
      </c>
      <c r="J250" s="583">
        <v>0</v>
      </c>
      <c r="K250" s="583">
        <v>364.21</v>
      </c>
      <c r="L250" s="565">
        <f t="shared" si="9"/>
        <v>364.21</v>
      </c>
      <c r="M250" s="179">
        <v>45908</v>
      </c>
      <c r="N250" s="179">
        <v>45908</v>
      </c>
      <c r="O250" s="565">
        <v>364.21</v>
      </c>
      <c r="P250" s="565">
        <f t="shared" si="10"/>
        <v>0</v>
      </c>
      <c r="Q250" s="565"/>
      <c r="R250" s="565"/>
      <c r="S250" s="565"/>
      <c r="T250" s="565"/>
      <c r="U250" s="565"/>
      <c r="V250" s="565"/>
      <c r="W250" s="565"/>
      <c r="X250" s="565"/>
      <c r="Y250" t="str">
        <f t="shared" ca="1" si="11"/>
        <v>PAGO</v>
      </c>
      <c r="AA250" t="s">
        <v>396</v>
      </c>
    </row>
    <row r="251" spans="1:27" x14ac:dyDescent="0.3">
      <c r="A251" t="s">
        <v>221</v>
      </c>
      <c r="B251" s="562">
        <v>2025</v>
      </c>
      <c r="C251" t="s">
        <v>248</v>
      </c>
      <c r="D251">
        <v>19183</v>
      </c>
      <c r="E251">
        <v>1734</v>
      </c>
      <c r="F251" s="179">
        <v>45880</v>
      </c>
      <c r="G251" t="s">
        <v>236</v>
      </c>
      <c r="I251" t="s">
        <v>270</v>
      </c>
      <c r="J251" s="583">
        <v>0</v>
      </c>
      <c r="K251" s="583">
        <v>363</v>
      </c>
      <c r="L251" s="565">
        <f t="shared" si="9"/>
        <v>363</v>
      </c>
      <c r="M251" s="179">
        <v>45915</v>
      </c>
      <c r="N251" s="179">
        <v>45915</v>
      </c>
      <c r="O251" s="565">
        <v>363</v>
      </c>
      <c r="P251" s="565">
        <f t="shared" si="10"/>
        <v>0</v>
      </c>
      <c r="Q251" s="565"/>
      <c r="R251" s="565"/>
      <c r="S251" s="565"/>
      <c r="T251" s="565"/>
      <c r="U251" s="565"/>
      <c r="V251" s="565"/>
      <c r="W251" s="565"/>
      <c r="X251" s="565"/>
      <c r="Y251" t="str">
        <f t="shared" ca="1" si="11"/>
        <v>PAGO</v>
      </c>
      <c r="AA251" t="s">
        <v>396</v>
      </c>
    </row>
    <row r="252" spans="1:27" x14ac:dyDescent="0.3">
      <c r="A252" t="s">
        <v>221</v>
      </c>
      <c r="B252" s="562">
        <v>2025</v>
      </c>
      <c r="C252" t="s">
        <v>248</v>
      </c>
      <c r="D252">
        <v>19183</v>
      </c>
      <c r="E252">
        <v>1734</v>
      </c>
      <c r="F252" s="179">
        <v>45880</v>
      </c>
      <c r="G252" t="s">
        <v>236</v>
      </c>
      <c r="I252" t="s">
        <v>270</v>
      </c>
      <c r="J252" s="583">
        <v>0</v>
      </c>
      <c r="K252" s="583">
        <v>363</v>
      </c>
      <c r="L252" s="565">
        <f t="shared" si="9"/>
        <v>363</v>
      </c>
      <c r="M252" s="179">
        <v>45922</v>
      </c>
      <c r="N252" s="179">
        <v>45922</v>
      </c>
      <c r="O252" s="565">
        <v>363</v>
      </c>
      <c r="P252" s="565">
        <f t="shared" si="10"/>
        <v>0</v>
      </c>
      <c r="Q252" s="565"/>
      <c r="R252" s="565"/>
      <c r="S252" s="565"/>
      <c r="T252" s="565"/>
      <c r="U252" s="565"/>
      <c r="V252" s="565"/>
      <c r="W252" s="565"/>
      <c r="X252" s="565"/>
      <c r="Y252" t="str">
        <f t="shared" ca="1" si="11"/>
        <v>PAGO</v>
      </c>
      <c r="AA252" t="s">
        <v>396</v>
      </c>
    </row>
    <row r="253" spans="1:27" x14ac:dyDescent="0.3">
      <c r="A253" t="s">
        <v>221</v>
      </c>
      <c r="B253" s="562">
        <v>2025</v>
      </c>
      <c r="C253" t="s">
        <v>248</v>
      </c>
      <c r="D253">
        <v>19226</v>
      </c>
      <c r="E253">
        <v>1734</v>
      </c>
      <c r="F253" s="179">
        <v>45883</v>
      </c>
      <c r="G253" t="s">
        <v>236</v>
      </c>
      <c r="I253" t="s">
        <v>270</v>
      </c>
      <c r="J253" s="583">
        <v>0</v>
      </c>
      <c r="K253" s="583">
        <v>1248.98</v>
      </c>
      <c r="L253" s="565">
        <f t="shared" si="9"/>
        <v>1248.98</v>
      </c>
      <c r="M253" s="179">
        <v>45911</v>
      </c>
      <c r="N253" s="179">
        <v>45908</v>
      </c>
      <c r="O253" s="565">
        <v>1248.98</v>
      </c>
      <c r="P253" s="565">
        <f t="shared" si="10"/>
        <v>0</v>
      </c>
      <c r="Q253" s="565"/>
      <c r="R253" s="565"/>
      <c r="S253" s="565"/>
      <c r="T253" s="565"/>
      <c r="U253" s="565"/>
      <c r="V253" s="565"/>
      <c r="W253" s="565"/>
      <c r="X253" s="565"/>
      <c r="Y253" t="str">
        <f t="shared" ca="1" si="11"/>
        <v>PAGO</v>
      </c>
      <c r="AA253" t="s">
        <v>396</v>
      </c>
    </row>
    <row r="254" spans="1:27" x14ac:dyDescent="0.3">
      <c r="A254" t="s">
        <v>221</v>
      </c>
      <c r="B254" s="562">
        <v>2025</v>
      </c>
      <c r="C254" t="s">
        <v>248</v>
      </c>
      <c r="D254">
        <v>19226</v>
      </c>
      <c r="E254">
        <v>1734</v>
      </c>
      <c r="F254" s="179">
        <v>45883</v>
      </c>
      <c r="G254" t="s">
        <v>236</v>
      </c>
      <c r="I254" t="s">
        <v>270</v>
      </c>
      <c r="J254" s="583">
        <v>0</v>
      </c>
      <c r="K254" s="583">
        <v>1248</v>
      </c>
      <c r="L254" s="565">
        <f t="shared" si="9"/>
        <v>1248</v>
      </c>
      <c r="M254" s="179">
        <v>45918</v>
      </c>
      <c r="N254" s="179">
        <v>45915</v>
      </c>
      <c r="O254" s="565">
        <v>1248</v>
      </c>
      <c r="P254" s="565">
        <f t="shared" si="10"/>
        <v>0</v>
      </c>
      <c r="Q254" s="565"/>
      <c r="R254" s="565"/>
      <c r="S254" s="565"/>
      <c r="T254" s="565"/>
      <c r="U254" s="565"/>
      <c r="V254" s="565"/>
      <c r="W254" s="565"/>
      <c r="X254" s="565"/>
      <c r="Y254" t="str">
        <f t="shared" ca="1" si="11"/>
        <v>PAGO</v>
      </c>
      <c r="AA254" t="s">
        <v>396</v>
      </c>
    </row>
    <row r="255" spans="1:27" x14ac:dyDescent="0.3">
      <c r="A255" t="s">
        <v>221</v>
      </c>
      <c r="B255" s="562">
        <v>2025</v>
      </c>
      <c r="C255" t="s">
        <v>248</v>
      </c>
      <c r="D255">
        <v>19226</v>
      </c>
      <c r="E255">
        <v>1734</v>
      </c>
      <c r="F255" s="179">
        <v>45883</v>
      </c>
      <c r="G255" t="s">
        <v>236</v>
      </c>
      <c r="I255" t="s">
        <v>270</v>
      </c>
      <c r="J255" s="583">
        <v>0</v>
      </c>
      <c r="K255" s="583">
        <v>1248</v>
      </c>
      <c r="L255" s="565">
        <f t="shared" si="9"/>
        <v>1248</v>
      </c>
      <c r="M255" s="179">
        <v>45925</v>
      </c>
      <c r="N255" s="179">
        <v>45926</v>
      </c>
      <c r="O255" s="565">
        <v>1248</v>
      </c>
      <c r="P255" s="565">
        <f t="shared" si="10"/>
        <v>0</v>
      </c>
      <c r="Q255" s="565"/>
      <c r="R255" s="565"/>
      <c r="S255" s="565"/>
      <c r="T255" s="565"/>
      <c r="U255" s="565"/>
      <c r="V255" s="565"/>
      <c r="W255" s="565"/>
      <c r="X255" s="565"/>
      <c r="Y255" t="str">
        <f t="shared" ca="1" si="11"/>
        <v>PAGO</v>
      </c>
      <c r="AA255" t="s">
        <v>396</v>
      </c>
    </row>
    <row r="256" spans="1:27" x14ac:dyDescent="0.3">
      <c r="A256" t="s">
        <v>221</v>
      </c>
      <c r="B256" s="562">
        <v>2025</v>
      </c>
      <c r="C256" t="s">
        <v>248</v>
      </c>
      <c r="D256">
        <v>19272</v>
      </c>
      <c r="E256">
        <v>1796</v>
      </c>
      <c r="F256" s="179">
        <v>45887</v>
      </c>
      <c r="G256" t="s">
        <v>236</v>
      </c>
      <c r="I256" t="s">
        <v>270</v>
      </c>
      <c r="J256" s="583">
        <v>0</v>
      </c>
      <c r="K256" s="583">
        <v>633.51</v>
      </c>
      <c r="L256" s="565">
        <f t="shared" si="9"/>
        <v>633.51</v>
      </c>
      <c r="M256" s="179">
        <v>45915</v>
      </c>
      <c r="N256" s="179">
        <v>45915</v>
      </c>
      <c r="O256" s="565">
        <v>633.51</v>
      </c>
      <c r="P256" s="565">
        <f t="shared" si="10"/>
        <v>0</v>
      </c>
      <c r="Q256" s="565"/>
      <c r="R256" s="565"/>
      <c r="S256" s="565"/>
      <c r="T256" s="565"/>
      <c r="U256" s="565"/>
      <c r="V256" s="565"/>
      <c r="W256" s="565"/>
      <c r="X256" s="565"/>
      <c r="Y256" t="str">
        <f t="shared" ca="1" si="11"/>
        <v>PAGO</v>
      </c>
      <c r="AA256" t="s">
        <v>396</v>
      </c>
    </row>
    <row r="257" spans="1:27" x14ac:dyDescent="0.3">
      <c r="A257" t="s">
        <v>221</v>
      </c>
      <c r="B257" s="562">
        <v>2025</v>
      </c>
      <c r="C257" t="s">
        <v>248</v>
      </c>
      <c r="D257">
        <v>19272</v>
      </c>
      <c r="E257">
        <v>1796</v>
      </c>
      <c r="F257" s="179">
        <v>45887</v>
      </c>
      <c r="G257" t="s">
        <v>236</v>
      </c>
      <c r="I257" t="s">
        <v>270</v>
      </c>
      <c r="J257" s="583">
        <v>0</v>
      </c>
      <c r="K257" s="583">
        <v>632</v>
      </c>
      <c r="L257" s="565">
        <f t="shared" si="9"/>
        <v>632</v>
      </c>
      <c r="M257" s="179">
        <v>45922</v>
      </c>
      <c r="N257" s="179">
        <v>45922</v>
      </c>
      <c r="O257" s="565">
        <v>632</v>
      </c>
      <c r="P257" s="565">
        <f t="shared" si="10"/>
        <v>0</v>
      </c>
      <c r="Q257" s="565"/>
      <c r="R257" s="565"/>
      <c r="S257" s="565"/>
      <c r="T257" s="565"/>
      <c r="U257" s="565"/>
      <c r="V257" s="565"/>
      <c r="W257" s="565"/>
      <c r="X257" s="565"/>
      <c r="Y257" t="str">
        <f t="shared" ca="1" si="11"/>
        <v>PAGO</v>
      </c>
      <c r="AA257" t="s">
        <v>396</v>
      </c>
    </row>
    <row r="258" spans="1:27" x14ac:dyDescent="0.3">
      <c r="A258" t="s">
        <v>221</v>
      </c>
      <c r="B258" s="562">
        <v>2025</v>
      </c>
      <c r="C258" t="s">
        <v>248</v>
      </c>
      <c r="D258">
        <v>19272</v>
      </c>
      <c r="E258">
        <v>1796</v>
      </c>
      <c r="F258" s="179">
        <v>45887</v>
      </c>
      <c r="G258" t="s">
        <v>236</v>
      </c>
      <c r="I258" t="s">
        <v>270</v>
      </c>
      <c r="J258" s="583">
        <v>0</v>
      </c>
      <c r="K258" s="583">
        <v>632</v>
      </c>
      <c r="L258" s="565">
        <f t="shared" si="9"/>
        <v>632</v>
      </c>
      <c r="M258" s="179">
        <v>45929</v>
      </c>
      <c r="N258" s="179">
        <v>45929</v>
      </c>
      <c r="O258" s="565">
        <v>632</v>
      </c>
      <c r="P258" s="565">
        <f t="shared" si="10"/>
        <v>0</v>
      </c>
      <c r="Q258" s="565"/>
      <c r="R258" s="565"/>
      <c r="S258" s="565"/>
      <c r="T258" s="565"/>
      <c r="U258" s="565"/>
      <c r="V258" s="565"/>
      <c r="W258" s="565"/>
      <c r="X258" s="565"/>
      <c r="Y258" t="str">
        <f t="shared" ca="1" si="11"/>
        <v>PAGO</v>
      </c>
      <c r="AA258" t="s">
        <v>396</v>
      </c>
    </row>
    <row r="259" spans="1:27" x14ac:dyDescent="0.3">
      <c r="A259" t="s">
        <v>221</v>
      </c>
      <c r="B259" s="562">
        <v>2025</v>
      </c>
      <c r="C259" t="s">
        <v>248</v>
      </c>
      <c r="D259">
        <v>19289</v>
      </c>
      <c r="E259">
        <v>1819</v>
      </c>
      <c r="F259" s="179">
        <v>45888</v>
      </c>
      <c r="G259" t="s">
        <v>237</v>
      </c>
      <c r="I259" t="s">
        <v>270</v>
      </c>
      <c r="J259" s="583">
        <v>0</v>
      </c>
      <c r="K259" s="583">
        <v>3841.53</v>
      </c>
      <c r="L259" s="565">
        <f t="shared" ref="L259:L322" si="12">J259+K259</f>
        <v>3841.53</v>
      </c>
      <c r="N259" s="179">
        <v>45923</v>
      </c>
      <c r="O259" s="565">
        <v>3841.53</v>
      </c>
      <c r="P259" s="565">
        <f t="shared" ref="P259:P322" si="13">L259-O259</f>
        <v>0</v>
      </c>
      <c r="Q259" s="565"/>
      <c r="R259" s="565"/>
      <c r="S259" s="565"/>
      <c r="T259" s="565"/>
      <c r="U259" s="565"/>
      <c r="V259" s="565"/>
      <c r="W259" s="565"/>
      <c r="X259" s="565"/>
      <c r="Y259" t="str">
        <f t="shared" ref="Y259:Y322" ca="1" si="14">IF(L259=0,"SEM VALOR",IF(P259&lt;=0.01,"PAGO",IF(M259="","SEM VENCIMENTO",IF(M259&lt;TODAY(),"VENCIDO","A VENCER"))))</f>
        <v>PAGO</v>
      </c>
      <c r="AA259" t="s">
        <v>396</v>
      </c>
    </row>
    <row r="260" spans="1:27" x14ac:dyDescent="0.3">
      <c r="A260" t="s">
        <v>221</v>
      </c>
      <c r="B260" s="562">
        <v>2025</v>
      </c>
      <c r="C260" t="s">
        <v>248</v>
      </c>
      <c r="D260">
        <v>19331</v>
      </c>
      <c r="E260">
        <v>1847</v>
      </c>
      <c r="F260" s="179">
        <v>45891</v>
      </c>
      <c r="G260" t="s">
        <v>236</v>
      </c>
      <c r="I260" t="s">
        <v>270</v>
      </c>
      <c r="J260" s="583">
        <v>0</v>
      </c>
      <c r="K260" s="583">
        <v>1665.88</v>
      </c>
      <c r="L260" s="565">
        <f t="shared" si="12"/>
        <v>1665.88</v>
      </c>
      <c r="M260" s="179">
        <v>45919</v>
      </c>
      <c r="N260" s="179">
        <v>45915</v>
      </c>
      <c r="O260" s="565">
        <v>1665.88</v>
      </c>
      <c r="P260" s="565">
        <f t="shared" si="13"/>
        <v>0</v>
      </c>
      <c r="Q260" s="565"/>
      <c r="R260" s="565"/>
      <c r="S260" s="565"/>
      <c r="T260" s="565"/>
      <c r="U260" s="565"/>
      <c r="V260" s="565"/>
      <c r="W260" s="565"/>
      <c r="X260" s="565"/>
      <c r="Y260" t="str">
        <f t="shared" ca="1" si="14"/>
        <v>PAGO</v>
      </c>
      <c r="AA260" t="s">
        <v>396</v>
      </c>
    </row>
    <row r="261" spans="1:27" x14ac:dyDescent="0.3">
      <c r="A261" t="s">
        <v>221</v>
      </c>
      <c r="B261" s="562">
        <v>2025</v>
      </c>
      <c r="C261" t="s">
        <v>248</v>
      </c>
      <c r="D261">
        <v>19331</v>
      </c>
      <c r="E261">
        <v>1847</v>
      </c>
      <c r="F261" s="179">
        <v>45891</v>
      </c>
      <c r="G261" t="s">
        <v>236</v>
      </c>
      <c r="I261" t="s">
        <v>270</v>
      </c>
      <c r="J261" s="583">
        <v>0</v>
      </c>
      <c r="K261" s="583">
        <v>1664</v>
      </c>
      <c r="L261" s="565">
        <f t="shared" si="12"/>
        <v>1664</v>
      </c>
      <c r="M261" s="179">
        <v>45926</v>
      </c>
      <c r="N261" s="179">
        <v>45926</v>
      </c>
      <c r="O261" s="565">
        <v>1664</v>
      </c>
      <c r="P261" s="565">
        <f t="shared" si="13"/>
        <v>0</v>
      </c>
      <c r="Q261" s="565"/>
      <c r="R261" s="565"/>
      <c r="S261" s="565"/>
      <c r="T261" s="565"/>
      <c r="U261" s="565"/>
      <c r="V261" s="565"/>
      <c r="W261" s="565"/>
      <c r="X261" s="565"/>
      <c r="Y261" t="str">
        <f t="shared" ca="1" si="14"/>
        <v>PAGO</v>
      </c>
      <c r="AA261" t="s">
        <v>396</v>
      </c>
    </row>
    <row r="262" spans="1:27" x14ac:dyDescent="0.3">
      <c r="A262" t="s">
        <v>221</v>
      </c>
      <c r="B262" s="562">
        <v>2025</v>
      </c>
      <c r="C262" t="s">
        <v>248</v>
      </c>
      <c r="D262">
        <v>19331</v>
      </c>
      <c r="E262">
        <v>1847</v>
      </c>
      <c r="F262" s="179">
        <v>45891</v>
      </c>
      <c r="G262" t="s">
        <v>236</v>
      </c>
      <c r="I262" t="s">
        <v>270</v>
      </c>
      <c r="J262" s="583">
        <v>0</v>
      </c>
      <c r="K262" s="583">
        <v>1664</v>
      </c>
      <c r="L262" s="565">
        <f t="shared" si="12"/>
        <v>1664</v>
      </c>
      <c r="M262" s="179">
        <v>45933</v>
      </c>
      <c r="N262" s="179">
        <v>45933</v>
      </c>
      <c r="O262" s="565">
        <v>1664</v>
      </c>
      <c r="P262" s="565">
        <f t="shared" si="13"/>
        <v>0</v>
      </c>
      <c r="Q262" s="565"/>
      <c r="R262" s="565"/>
      <c r="S262" s="565"/>
      <c r="T262" s="565"/>
      <c r="U262" s="565"/>
      <c r="V262" s="565"/>
      <c r="W262" s="565"/>
      <c r="X262" s="565"/>
      <c r="Y262" t="str">
        <f t="shared" ca="1" si="14"/>
        <v>PAGO</v>
      </c>
      <c r="AA262" t="s">
        <v>396</v>
      </c>
    </row>
    <row r="263" spans="1:27" x14ac:dyDescent="0.3">
      <c r="A263" t="s">
        <v>221</v>
      </c>
      <c r="B263" s="562">
        <v>2025</v>
      </c>
      <c r="C263" t="s">
        <v>248</v>
      </c>
      <c r="D263">
        <v>19353</v>
      </c>
      <c r="E263">
        <v>1849</v>
      </c>
      <c r="F263" s="179">
        <v>45894</v>
      </c>
      <c r="G263" t="s">
        <v>236</v>
      </c>
      <c r="I263" t="s">
        <v>270</v>
      </c>
      <c r="J263" s="583">
        <v>0</v>
      </c>
      <c r="K263" s="583">
        <v>578.92999999999995</v>
      </c>
      <c r="L263" s="565">
        <f t="shared" si="12"/>
        <v>578.92999999999995</v>
      </c>
      <c r="M263" s="179">
        <v>45922</v>
      </c>
      <c r="N263" s="179">
        <v>45951</v>
      </c>
      <c r="O263" s="565">
        <v>578.92999999999995</v>
      </c>
      <c r="P263" s="565">
        <f t="shared" si="13"/>
        <v>0</v>
      </c>
      <c r="Q263" s="565"/>
      <c r="R263" s="565"/>
      <c r="S263" s="565"/>
      <c r="T263" s="565"/>
      <c r="U263" s="565"/>
      <c r="V263" s="565"/>
      <c r="W263" s="565"/>
      <c r="X263" s="565"/>
      <c r="Y263" t="str">
        <f t="shared" ca="1" si="14"/>
        <v>PAGO</v>
      </c>
      <c r="AA263" t="s">
        <v>396</v>
      </c>
    </row>
    <row r="264" spans="1:27" x14ac:dyDescent="0.3">
      <c r="A264" t="s">
        <v>221</v>
      </c>
      <c r="B264" s="562">
        <v>2025</v>
      </c>
      <c r="C264" t="s">
        <v>248</v>
      </c>
      <c r="D264">
        <v>19441</v>
      </c>
      <c r="E264">
        <v>1934</v>
      </c>
      <c r="F264" s="179">
        <v>45897</v>
      </c>
      <c r="G264" t="s">
        <v>238</v>
      </c>
      <c r="I264" t="s">
        <v>397</v>
      </c>
      <c r="J264" s="583">
        <v>1496.1</v>
      </c>
      <c r="K264" s="583">
        <v>0</v>
      </c>
      <c r="L264" s="565">
        <f t="shared" si="12"/>
        <v>1496.1</v>
      </c>
      <c r="M264" s="179">
        <v>45897</v>
      </c>
      <c r="N264" s="179">
        <v>45897</v>
      </c>
      <c r="O264" s="565">
        <v>1496.1</v>
      </c>
      <c r="P264" s="565">
        <f t="shared" si="13"/>
        <v>0</v>
      </c>
      <c r="Q264" s="565"/>
      <c r="R264" s="565"/>
      <c r="S264" s="565"/>
      <c r="T264" s="565"/>
      <c r="U264" s="565"/>
      <c r="V264" s="565"/>
      <c r="W264" s="565"/>
      <c r="X264" s="565"/>
      <c r="Y264" t="str">
        <f t="shared" ca="1" si="14"/>
        <v>PAGO</v>
      </c>
      <c r="AA264" t="s">
        <v>396</v>
      </c>
    </row>
    <row r="265" spans="1:27" x14ac:dyDescent="0.3">
      <c r="A265" t="s">
        <v>221</v>
      </c>
      <c r="B265" s="562">
        <v>2025</v>
      </c>
      <c r="C265" t="s">
        <v>248</v>
      </c>
      <c r="D265">
        <v>19463</v>
      </c>
      <c r="E265">
        <v>1936</v>
      </c>
      <c r="F265" s="179">
        <v>45898</v>
      </c>
      <c r="G265" t="s">
        <v>238</v>
      </c>
      <c r="I265" t="s">
        <v>397</v>
      </c>
      <c r="J265" s="583">
        <v>1227</v>
      </c>
      <c r="K265" s="583">
        <v>0</v>
      </c>
      <c r="L265" s="565">
        <f t="shared" si="12"/>
        <v>1227</v>
      </c>
      <c r="M265" s="179">
        <v>45898</v>
      </c>
      <c r="N265" s="179">
        <v>45898</v>
      </c>
      <c r="O265" s="565">
        <v>1227</v>
      </c>
      <c r="P265" s="565">
        <f t="shared" si="13"/>
        <v>0</v>
      </c>
      <c r="Q265" s="565"/>
      <c r="R265" s="565"/>
      <c r="S265" s="565"/>
      <c r="T265" s="565"/>
      <c r="U265" s="565"/>
      <c r="V265" s="565"/>
      <c r="W265" s="565"/>
      <c r="X265" s="565"/>
      <c r="Y265" t="str">
        <f t="shared" ca="1" si="14"/>
        <v>PAGO</v>
      </c>
      <c r="AA265" t="s">
        <v>396</v>
      </c>
    </row>
    <row r="266" spans="1:27" x14ac:dyDescent="0.3">
      <c r="A266" t="s">
        <v>221</v>
      </c>
      <c r="B266" s="562">
        <v>2025</v>
      </c>
      <c r="C266" t="s">
        <v>248</v>
      </c>
      <c r="D266">
        <v>19462</v>
      </c>
      <c r="E266">
        <v>1922</v>
      </c>
      <c r="F266" s="179">
        <v>45898</v>
      </c>
      <c r="G266" t="s">
        <v>236</v>
      </c>
      <c r="I266" t="s">
        <v>270</v>
      </c>
      <c r="J266" s="583">
        <v>0</v>
      </c>
      <c r="K266" s="583">
        <v>1445.22</v>
      </c>
      <c r="L266" s="565">
        <f t="shared" si="12"/>
        <v>1445.22</v>
      </c>
      <c r="M266" s="179">
        <v>45926</v>
      </c>
      <c r="N266" s="179">
        <v>45926</v>
      </c>
      <c r="O266" s="565">
        <v>1445.22</v>
      </c>
      <c r="P266" s="565">
        <f t="shared" si="13"/>
        <v>0</v>
      </c>
      <c r="Q266" s="565"/>
      <c r="R266" s="565"/>
      <c r="S266" s="565"/>
      <c r="T266" s="565"/>
      <c r="U266" s="565"/>
      <c r="V266" s="565"/>
      <c r="W266" s="565"/>
      <c r="X266" s="565"/>
      <c r="Y266" t="str">
        <f t="shared" ca="1" si="14"/>
        <v>PAGO</v>
      </c>
      <c r="AA266" t="s">
        <v>396</v>
      </c>
    </row>
    <row r="267" spans="1:27" x14ac:dyDescent="0.3">
      <c r="A267" t="s">
        <v>221</v>
      </c>
      <c r="B267" s="562">
        <v>2025</v>
      </c>
      <c r="C267" t="s">
        <v>248</v>
      </c>
      <c r="D267">
        <v>19462</v>
      </c>
      <c r="E267">
        <v>1922</v>
      </c>
      <c r="F267" s="179">
        <v>45898</v>
      </c>
      <c r="G267" t="s">
        <v>236</v>
      </c>
      <c r="I267" t="s">
        <v>270</v>
      </c>
      <c r="J267" s="583">
        <v>0</v>
      </c>
      <c r="K267" s="583">
        <v>1444</v>
      </c>
      <c r="L267" s="565">
        <f t="shared" si="12"/>
        <v>1444</v>
      </c>
      <c r="M267" s="179">
        <v>45933</v>
      </c>
      <c r="N267" s="179">
        <v>45929</v>
      </c>
      <c r="O267" s="565">
        <v>1444</v>
      </c>
      <c r="P267" s="565">
        <f t="shared" si="13"/>
        <v>0</v>
      </c>
      <c r="Q267" s="565"/>
      <c r="R267" s="565"/>
      <c r="S267" s="565"/>
      <c r="T267" s="565"/>
      <c r="U267" s="565"/>
      <c r="V267" s="565"/>
      <c r="W267" s="565"/>
      <c r="X267" s="565"/>
      <c r="Y267" t="str">
        <f t="shared" ca="1" si="14"/>
        <v>PAGO</v>
      </c>
      <c r="AA267" t="s">
        <v>396</v>
      </c>
    </row>
    <row r="268" spans="1:27" x14ac:dyDescent="0.3">
      <c r="A268" t="s">
        <v>221</v>
      </c>
      <c r="B268" s="562">
        <v>2025</v>
      </c>
      <c r="C268" t="s">
        <v>248</v>
      </c>
      <c r="D268">
        <v>19462</v>
      </c>
      <c r="E268">
        <v>1922</v>
      </c>
      <c r="F268" s="179">
        <v>45898</v>
      </c>
      <c r="G268" t="s">
        <v>236</v>
      </c>
      <c r="I268" t="s">
        <v>270</v>
      </c>
      <c r="J268" s="583">
        <v>0</v>
      </c>
      <c r="K268" s="583">
        <v>1444</v>
      </c>
      <c r="L268" s="565">
        <f t="shared" si="12"/>
        <v>1444</v>
      </c>
      <c r="M268" s="179">
        <v>45940</v>
      </c>
      <c r="N268" s="179">
        <v>45939</v>
      </c>
      <c r="O268" s="565">
        <v>1444</v>
      </c>
      <c r="P268" s="565">
        <f t="shared" si="13"/>
        <v>0</v>
      </c>
      <c r="Q268" s="565"/>
      <c r="R268" s="565"/>
      <c r="S268" s="565"/>
      <c r="T268" s="565"/>
      <c r="U268" s="565"/>
      <c r="V268" s="565"/>
      <c r="W268" s="565"/>
      <c r="X268" s="565"/>
      <c r="Y268" t="str">
        <f t="shared" ca="1" si="14"/>
        <v>PAGO</v>
      </c>
      <c r="AA268" t="s">
        <v>396</v>
      </c>
    </row>
    <row r="269" spans="1:27" x14ac:dyDescent="0.3">
      <c r="A269" t="s">
        <v>211</v>
      </c>
      <c r="B269" s="562">
        <v>2025</v>
      </c>
      <c r="C269" t="s">
        <v>248</v>
      </c>
      <c r="D269">
        <v>19488</v>
      </c>
      <c r="E269">
        <v>1922</v>
      </c>
      <c r="F269" s="179">
        <v>45902</v>
      </c>
      <c r="G269" t="s">
        <v>236</v>
      </c>
      <c r="I269" t="s">
        <v>270</v>
      </c>
      <c r="J269" s="583">
        <v>0</v>
      </c>
      <c r="K269" s="583">
        <v>365.03</v>
      </c>
      <c r="L269" s="565">
        <f t="shared" si="12"/>
        <v>365.03</v>
      </c>
      <c r="M269" s="179">
        <v>45930</v>
      </c>
      <c r="N269" s="179">
        <v>45929</v>
      </c>
      <c r="O269" s="565">
        <v>365.03</v>
      </c>
      <c r="P269" s="565">
        <f t="shared" si="13"/>
        <v>0</v>
      </c>
      <c r="Q269" s="565"/>
      <c r="R269" s="565"/>
      <c r="S269" s="565"/>
      <c r="T269" s="565"/>
      <c r="U269" s="565"/>
      <c r="V269" s="565"/>
      <c r="W269" s="565"/>
      <c r="X269" s="565"/>
      <c r="Y269" t="str">
        <f t="shared" ca="1" si="14"/>
        <v>PAGO</v>
      </c>
      <c r="AA269" t="s">
        <v>398</v>
      </c>
    </row>
    <row r="270" spans="1:27" x14ac:dyDescent="0.3">
      <c r="A270" t="s">
        <v>211</v>
      </c>
      <c r="B270" s="562">
        <v>2025</v>
      </c>
      <c r="C270" t="s">
        <v>248</v>
      </c>
      <c r="D270">
        <v>19547</v>
      </c>
      <c r="E270" t="s">
        <v>240</v>
      </c>
      <c r="F270" s="179">
        <v>45905</v>
      </c>
      <c r="G270" t="s">
        <v>236</v>
      </c>
      <c r="I270" t="s">
        <v>270</v>
      </c>
      <c r="J270" s="583">
        <v>0</v>
      </c>
      <c r="K270" s="583">
        <v>2571.04</v>
      </c>
      <c r="L270" s="565">
        <f t="shared" si="12"/>
        <v>2571.04</v>
      </c>
      <c r="M270" s="179">
        <v>45933</v>
      </c>
      <c r="N270" s="179">
        <v>45933</v>
      </c>
      <c r="O270" s="565">
        <v>2571.04</v>
      </c>
      <c r="P270" s="565">
        <f t="shared" si="13"/>
        <v>0</v>
      </c>
      <c r="Q270" s="565"/>
      <c r="R270" s="565"/>
      <c r="S270" s="565"/>
      <c r="T270" s="565"/>
      <c r="U270" s="565"/>
      <c r="V270" s="565"/>
      <c r="W270" s="565"/>
      <c r="X270" s="565"/>
      <c r="Y270" t="str">
        <f t="shared" ca="1" si="14"/>
        <v>PAGO</v>
      </c>
      <c r="AA270" t="s">
        <v>398</v>
      </c>
    </row>
    <row r="271" spans="1:27" x14ac:dyDescent="0.3">
      <c r="A271" t="s">
        <v>211</v>
      </c>
      <c r="B271" s="562">
        <v>2025</v>
      </c>
      <c r="C271" t="s">
        <v>248</v>
      </c>
      <c r="D271">
        <v>19547</v>
      </c>
      <c r="E271" t="s">
        <v>240</v>
      </c>
      <c r="F271" s="179">
        <v>45905</v>
      </c>
      <c r="G271" t="s">
        <v>236</v>
      </c>
      <c r="I271" t="s">
        <v>270</v>
      </c>
      <c r="J271" s="583">
        <v>0</v>
      </c>
      <c r="K271" s="583">
        <v>2569</v>
      </c>
      <c r="L271" s="565">
        <f t="shared" si="12"/>
        <v>2569</v>
      </c>
      <c r="M271" s="179">
        <v>45940</v>
      </c>
      <c r="N271" s="179">
        <v>45939</v>
      </c>
      <c r="O271" s="565">
        <v>2569</v>
      </c>
      <c r="P271" s="565">
        <f t="shared" si="13"/>
        <v>0</v>
      </c>
      <c r="Q271" s="565"/>
      <c r="R271" s="565"/>
      <c r="S271" s="565"/>
      <c r="T271" s="565"/>
      <c r="U271" s="565"/>
      <c r="V271" s="565"/>
      <c r="W271" s="565"/>
      <c r="X271" s="565"/>
      <c r="Y271" t="str">
        <f t="shared" ca="1" si="14"/>
        <v>PAGO</v>
      </c>
      <c r="AA271" t="s">
        <v>398</v>
      </c>
    </row>
    <row r="272" spans="1:27" x14ac:dyDescent="0.3">
      <c r="A272" t="s">
        <v>211</v>
      </c>
      <c r="B272" s="562">
        <v>2025</v>
      </c>
      <c r="C272" t="s">
        <v>248</v>
      </c>
      <c r="D272">
        <v>19547</v>
      </c>
      <c r="E272" t="s">
        <v>240</v>
      </c>
      <c r="F272" s="179">
        <v>45905</v>
      </c>
      <c r="G272" t="s">
        <v>236</v>
      </c>
      <c r="I272" t="s">
        <v>270</v>
      </c>
      <c r="J272" s="583">
        <v>0</v>
      </c>
      <c r="K272" s="583">
        <v>2569</v>
      </c>
      <c r="L272" s="565">
        <f t="shared" si="12"/>
        <v>2569</v>
      </c>
      <c r="M272" s="179">
        <v>45947</v>
      </c>
      <c r="N272" s="179">
        <v>45945</v>
      </c>
      <c r="O272" s="565">
        <v>2569</v>
      </c>
      <c r="P272" s="565">
        <f t="shared" si="13"/>
        <v>0</v>
      </c>
      <c r="Q272" s="565"/>
      <c r="R272" s="565"/>
      <c r="S272" s="565"/>
      <c r="T272" s="565"/>
      <c r="U272" s="565"/>
      <c r="V272" s="565"/>
      <c r="W272" s="565"/>
      <c r="X272" s="565"/>
      <c r="Y272" t="str">
        <f t="shared" ca="1" si="14"/>
        <v>PAGO</v>
      </c>
      <c r="AA272" t="s">
        <v>398</v>
      </c>
    </row>
    <row r="273" spans="1:27" x14ac:dyDescent="0.3">
      <c r="A273" t="s">
        <v>211</v>
      </c>
      <c r="B273" s="562">
        <v>2025</v>
      </c>
      <c r="C273" t="s">
        <v>248</v>
      </c>
      <c r="D273">
        <v>19589</v>
      </c>
      <c r="E273">
        <v>2016</v>
      </c>
      <c r="F273" s="179">
        <v>45910</v>
      </c>
      <c r="G273" t="s">
        <v>236</v>
      </c>
      <c r="I273" t="s">
        <v>270</v>
      </c>
      <c r="J273" s="583">
        <v>0</v>
      </c>
      <c r="K273" s="583">
        <v>120.75</v>
      </c>
      <c r="L273" s="565">
        <f t="shared" si="12"/>
        <v>120.75</v>
      </c>
      <c r="M273" s="179">
        <v>45938</v>
      </c>
      <c r="N273" s="179">
        <v>45971</v>
      </c>
      <c r="O273" s="565">
        <v>120.75</v>
      </c>
      <c r="P273" s="565">
        <f t="shared" si="13"/>
        <v>0</v>
      </c>
      <c r="Q273" s="565"/>
      <c r="R273" s="565"/>
      <c r="S273" s="565"/>
      <c r="T273" s="565"/>
      <c r="U273" s="565"/>
      <c r="V273" s="565"/>
      <c r="W273" s="565"/>
      <c r="X273" s="565"/>
      <c r="Y273" t="str">
        <f t="shared" ca="1" si="14"/>
        <v>PAGO</v>
      </c>
      <c r="AA273" t="s">
        <v>398</v>
      </c>
    </row>
    <row r="274" spans="1:27" x14ac:dyDescent="0.3">
      <c r="A274" t="s">
        <v>211</v>
      </c>
      <c r="B274" s="562">
        <v>2025</v>
      </c>
      <c r="C274" t="s">
        <v>248</v>
      </c>
      <c r="D274">
        <v>19590</v>
      </c>
      <c r="E274">
        <v>2000</v>
      </c>
      <c r="F274" s="179">
        <v>45910</v>
      </c>
      <c r="G274" t="s">
        <v>236</v>
      </c>
      <c r="I274" t="s">
        <v>270</v>
      </c>
      <c r="J274" s="583">
        <v>0</v>
      </c>
      <c r="K274" s="583">
        <v>348.75</v>
      </c>
      <c r="L274" s="565">
        <f t="shared" si="12"/>
        <v>348.75</v>
      </c>
      <c r="M274" s="179">
        <v>45938</v>
      </c>
      <c r="N274" s="179">
        <v>45939</v>
      </c>
      <c r="O274" s="565">
        <v>348.75</v>
      </c>
      <c r="P274" s="565">
        <f t="shared" si="13"/>
        <v>0</v>
      </c>
      <c r="Q274" s="565"/>
      <c r="R274" s="565"/>
      <c r="S274" s="565"/>
      <c r="T274" s="565"/>
      <c r="U274" s="565"/>
      <c r="V274" s="565"/>
      <c r="W274" s="565"/>
      <c r="X274" s="565"/>
      <c r="Y274" t="str">
        <f t="shared" ca="1" si="14"/>
        <v>PAGO</v>
      </c>
      <c r="AA274" t="s">
        <v>398</v>
      </c>
    </row>
    <row r="275" spans="1:27" x14ac:dyDescent="0.3">
      <c r="A275" t="s">
        <v>211</v>
      </c>
      <c r="B275" s="562">
        <v>2025</v>
      </c>
      <c r="C275" t="s">
        <v>248</v>
      </c>
      <c r="D275">
        <v>19590</v>
      </c>
      <c r="E275">
        <v>2000</v>
      </c>
      <c r="F275" s="179">
        <v>45910</v>
      </c>
      <c r="G275" t="s">
        <v>236</v>
      </c>
      <c r="I275" t="s">
        <v>270</v>
      </c>
      <c r="J275" s="583">
        <v>0</v>
      </c>
      <c r="K275" s="583">
        <v>347</v>
      </c>
      <c r="L275" s="565">
        <f t="shared" si="12"/>
        <v>347</v>
      </c>
      <c r="M275" s="179">
        <v>45945</v>
      </c>
      <c r="N275" s="179">
        <v>45945</v>
      </c>
      <c r="O275" s="565">
        <v>347</v>
      </c>
      <c r="P275" s="565">
        <f t="shared" si="13"/>
        <v>0</v>
      </c>
      <c r="Q275" s="565"/>
      <c r="R275" s="565"/>
      <c r="S275" s="565"/>
      <c r="T275" s="565"/>
      <c r="U275" s="565"/>
      <c r="V275" s="565"/>
      <c r="W275" s="565"/>
      <c r="X275" s="565"/>
      <c r="Y275" t="str">
        <f t="shared" ca="1" si="14"/>
        <v>PAGO</v>
      </c>
      <c r="AA275" t="s">
        <v>398</v>
      </c>
    </row>
    <row r="276" spans="1:27" x14ac:dyDescent="0.3">
      <c r="A276" t="s">
        <v>211</v>
      </c>
      <c r="B276" s="562">
        <v>2025</v>
      </c>
      <c r="C276" t="s">
        <v>248</v>
      </c>
      <c r="D276">
        <v>19590</v>
      </c>
      <c r="E276">
        <v>2000</v>
      </c>
      <c r="F276" s="179">
        <v>45910</v>
      </c>
      <c r="G276" t="s">
        <v>236</v>
      </c>
      <c r="I276" t="s">
        <v>270</v>
      </c>
      <c r="J276" s="583">
        <v>0</v>
      </c>
      <c r="K276" s="583">
        <v>347</v>
      </c>
      <c r="L276" s="565">
        <f t="shared" si="12"/>
        <v>347</v>
      </c>
      <c r="M276" s="179">
        <v>45952</v>
      </c>
      <c r="N276" s="179">
        <v>45951</v>
      </c>
      <c r="O276" s="565">
        <v>347</v>
      </c>
      <c r="P276" s="565">
        <f t="shared" si="13"/>
        <v>0</v>
      </c>
      <c r="Q276" s="565"/>
      <c r="R276" s="565"/>
      <c r="S276" s="565"/>
      <c r="T276" s="565"/>
      <c r="U276" s="565"/>
      <c r="V276" s="565"/>
      <c r="W276" s="565"/>
      <c r="X276" s="565"/>
      <c r="Y276" t="str">
        <f t="shared" ca="1" si="14"/>
        <v>PAGO</v>
      </c>
      <c r="AA276" t="s">
        <v>398</v>
      </c>
    </row>
    <row r="277" spans="1:27" x14ac:dyDescent="0.3">
      <c r="A277" t="s">
        <v>211</v>
      </c>
      <c r="B277" s="562">
        <v>2025</v>
      </c>
      <c r="C277" t="s">
        <v>248</v>
      </c>
      <c r="D277">
        <v>19643</v>
      </c>
      <c r="E277">
        <v>2066</v>
      </c>
      <c r="F277" s="179">
        <v>45915</v>
      </c>
      <c r="G277" t="s">
        <v>237</v>
      </c>
      <c r="I277" t="s">
        <v>270</v>
      </c>
      <c r="J277" s="583">
        <v>0</v>
      </c>
      <c r="K277" s="583">
        <v>1400.67</v>
      </c>
      <c r="L277" s="565">
        <f t="shared" si="12"/>
        <v>1400.67</v>
      </c>
      <c r="M277" s="179">
        <v>45950</v>
      </c>
      <c r="N277" s="179">
        <v>45950</v>
      </c>
      <c r="O277" s="565">
        <v>1400.67</v>
      </c>
      <c r="P277" s="565">
        <f t="shared" si="13"/>
        <v>0</v>
      </c>
      <c r="Q277" s="565"/>
      <c r="R277" s="565"/>
      <c r="S277" s="565"/>
      <c r="T277" s="565"/>
      <c r="U277" s="565"/>
      <c r="V277" s="565"/>
      <c r="W277" s="565"/>
      <c r="X277" s="565"/>
      <c r="Y277" t="str">
        <f t="shared" ca="1" si="14"/>
        <v>PAGO</v>
      </c>
      <c r="AA277" t="s">
        <v>398</v>
      </c>
    </row>
    <row r="278" spans="1:27" x14ac:dyDescent="0.3">
      <c r="A278" t="s">
        <v>211</v>
      </c>
      <c r="B278" s="562">
        <v>2025</v>
      </c>
      <c r="C278" t="s">
        <v>248</v>
      </c>
      <c r="D278">
        <v>19650</v>
      </c>
      <c r="E278">
        <v>2092</v>
      </c>
      <c r="F278" s="179">
        <v>45915</v>
      </c>
      <c r="G278" t="s">
        <v>236</v>
      </c>
      <c r="I278" t="s">
        <v>270</v>
      </c>
      <c r="J278" s="583">
        <v>0</v>
      </c>
      <c r="K278" s="583">
        <v>407.1</v>
      </c>
      <c r="L278" s="565">
        <f t="shared" si="12"/>
        <v>407.1</v>
      </c>
      <c r="M278" s="179">
        <v>45943</v>
      </c>
      <c r="N278" s="179">
        <v>45945</v>
      </c>
      <c r="O278" s="565">
        <v>407.1</v>
      </c>
      <c r="P278" s="565">
        <f t="shared" si="13"/>
        <v>0</v>
      </c>
      <c r="Q278" s="565"/>
      <c r="R278" s="565"/>
      <c r="S278" s="565"/>
      <c r="T278" s="565"/>
      <c r="U278" s="565"/>
      <c r="V278" s="565"/>
      <c r="W278" s="565"/>
      <c r="X278" s="565"/>
      <c r="Y278" t="str">
        <f t="shared" ca="1" si="14"/>
        <v>PAGO</v>
      </c>
      <c r="AA278" t="s">
        <v>398</v>
      </c>
    </row>
    <row r="279" spans="1:27" x14ac:dyDescent="0.3">
      <c r="A279" t="s">
        <v>211</v>
      </c>
      <c r="B279" s="562">
        <v>2025</v>
      </c>
      <c r="C279" t="s">
        <v>248</v>
      </c>
      <c r="D279">
        <v>19703</v>
      </c>
      <c r="E279">
        <v>2092</v>
      </c>
      <c r="F279" s="179">
        <v>45917</v>
      </c>
      <c r="G279" t="s">
        <v>236</v>
      </c>
      <c r="I279" t="s">
        <v>270</v>
      </c>
      <c r="J279" s="583">
        <v>0</v>
      </c>
      <c r="K279" s="583">
        <v>917.93</v>
      </c>
      <c r="L279" s="565">
        <f t="shared" si="12"/>
        <v>917.93</v>
      </c>
      <c r="M279" s="179">
        <v>45945</v>
      </c>
      <c r="N279" s="179">
        <v>45945</v>
      </c>
      <c r="O279" s="565">
        <v>917.93</v>
      </c>
      <c r="P279" s="565">
        <f t="shared" si="13"/>
        <v>0</v>
      </c>
      <c r="Q279" s="565"/>
      <c r="R279" s="565"/>
      <c r="S279" s="565"/>
      <c r="T279" s="565"/>
      <c r="U279" s="565"/>
      <c r="V279" s="565"/>
      <c r="W279" s="565"/>
      <c r="X279" s="565"/>
      <c r="Y279" t="str">
        <f t="shared" ca="1" si="14"/>
        <v>PAGO</v>
      </c>
      <c r="AA279" t="s">
        <v>398</v>
      </c>
    </row>
    <row r="280" spans="1:27" x14ac:dyDescent="0.3">
      <c r="A280" t="s">
        <v>211</v>
      </c>
      <c r="B280" s="562">
        <v>2025</v>
      </c>
      <c r="C280" t="s">
        <v>248</v>
      </c>
      <c r="D280">
        <v>19703</v>
      </c>
      <c r="E280">
        <v>2092</v>
      </c>
      <c r="F280" s="179">
        <v>45917</v>
      </c>
      <c r="G280" t="s">
        <v>236</v>
      </c>
      <c r="I280" t="s">
        <v>270</v>
      </c>
      <c r="J280" s="583">
        <v>0</v>
      </c>
      <c r="K280" s="583">
        <v>915</v>
      </c>
      <c r="L280" s="565">
        <f t="shared" si="12"/>
        <v>915</v>
      </c>
      <c r="M280" s="179">
        <v>45952</v>
      </c>
      <c r="N280" s="179">
        <v>45951</v>
      </c>
      <c r="O280" s="565">
        <v>915</v>
      </c>
      <c r="P280" s="565">
        <f t="shared" si="13"/>
        <v>0</v>
      </c>
      <c r="Q280" s="565"/>
      <c r="R280" s="565"/>
      <c r="S280" s="565"/>
      <c r="T280" s="565"/>
      <c r="U280" s="565"/>
      <c r="V280" s="565"/>
      <c r="W280" s="565"/>
      <c r="X280" s="565"/>
      <c r="Y280" t="str">
        <f t="shared" ca="1" si="14"/>
        <v>PAGO</v>
      </c>
      <c r="AA280" t="s">
        <v>398</v>
      </c>
    </row>
    <row r="281" spans="1:27" x14ac:dyDescent="0.3">
      <c r="A281" t="s">
        <v>211</v>
      </c>
      <c r="B281" s="562">
        <v>2025</v>
      </c>
      <c r="C281" t="s">
        <v>248</v>
      </c>
      <c r="D281">
        <v>19703</v>
      </c>
      <c r="E281">
        <v>2092</v>
      </c>
      <c r="F281" s="179">
        <v>45917</v>
      </c>
      <c r="G281" t="s">
        <v>236</v>
      </c>
      <c r="I281" t="s">
        <v>270</v>
      </c>
      <c r="J281" s="583">
        <v>0</v>
      </c>
      <c r="K281" s="583">
        <v>915</v>
      </c>
      <c r="L281" s="565">
        <f t="shared" si="12"/>
        <v>915</v>
      </c>
      <c r="M281" s="179">
        <v>45959</v>
      </c>
      <c r="N281" s="179">
        <v>45957</v>
      </c>
      <c r="O281" s="565">
        <v>915</v>
      </c>
      <c r="P281" s="565">
        <f t="shared" si="13"/>
        <v>0</v>
      </c>
      <c r="Q281" s="565"/>
      <c r="R281" s="565"/>
      <c r="S281" s="565"/>
      <c r="T281" s="565"/>
      <c r="U281" s="565"/>
      <c r="V281" s="565"/>
      <c r="W281" s="565"/>
      <c r="X281" s="565"/>
      <c r="Y281" t="str">
        <f t="shared" ca="1" si="14"/>
        <v>PAGO</v>
      </c>
      <c r="AA281" t="s">
        <v>398</v>
      </c>
    </row>
    <row r="282" spans="1:27" x14ac:dyDescent="0.3">
      <c r="A282" t="s">
        <v>211</v>
      </c>
      <c r="B282" s="562">
        <v>2025</v>
      </c>
      <c r="C282" t="s">
        <v>248</v>
      </c>
      <c r="D282">
        <v>19747</v>
      </c>
      <c r="E282">
        <v>2126</v>
      </c>
      <c r="F282" s="179">
        <v>45919</v>
      </c>
      <c r="G282" t="s">
        <v>236</v>
      </c>
      <c r="I282" t="s">
        <v>270</v>
      </c>
      <c r="J282" s="583">
        <v>0</v>
      </c>
      <c r="K282" s="583">
        <v>408.75</v>
      </c>
      <c r="L282" s="565">
        <f t="shared" si="12"/>
        <v>408.75</v>
      </c>
      <c r="M282" s="179">
        <v>45947</v>
      </c>
      <c r="N282" s="179">
        <v>45945</v>
      </c>
      <c r="O282" s="565">
        <v>408.75</v>
      </c>
      <c r="P282" s="565">
        <f t="shared" si="13"/>
        <v>0</v>
      </c>
      <c r="Q282" s="565"/>
      <c r="R282" s="565"/>
      <c r="S282" s="565"/>
      <c r="T282" s="565"/>
      <c r="U282" s="565"/>
      <c r="V282" s="565"/>
      <c r="W282" s="565"/>
      <c r="X282" s="565"/>
      <c r="Y282" t="str">
        <f t="shared" ca="1" si="14"/>
        <v>PAGO</v>
      </c>
      <c r="AA282" t="s">
        <v>398</v>
      </c>
    </row>
    <row r="283" spans="1:27" x14ac:dyDescent="0.3">
      <c r="A283" t="s">
        <v>211</v>
      </c>
      <c r="B283" s="562">
        <v>2025</v>
      </c>
      <c r="C283" t="s">
        <v>248</v>
      </c>
      <c r="D283">
        <v>19747</v>
      </c>
      <c r="E283">
        <v>2126</v>
      </c>
      <c r="F283" s="179">
        <v>45919</v>
      </c>
      <c r="G283" t="s">
        <v>236</v>
      </c>
      <c r="I283" t="s">
        <v>270</v>
      </c>
      <c r="J283" s="583">
        <v>0</v>
      </c>
      <c r="K283" s="583">
        <v>408</v>
      </c>
      <c r="L283" s="565">
        <f t="shared" si="12"/>
        <v>408</v>
      </c>
      <c r="M283" s="179">
        <v>45954</v>
      </c>
      <c r="N283" s="179">
        <v>45951</v>
      </c>
      <c r="O283" s="565">
        <v>408</v>
      </c>
      <c r="P283" s="565">
        <f t="shared" si="13"/>
        <v>0</v>
      </c>
      <c r="Q283" s="565"/>
      <c r="R283" s="565"/>
      <c r="S283" s="565"/>
      <c r="T283" s="565"/>
      <c r="U283" s="565"/>
      <c r="V283" s="565"/>
      <c r="W283" s="565"/>
      <c r="X283" s="565"/>
      <c r="Y283" t="str">
        <f t="shared" ca="1" si="14"/>
        <v>PAGO</v>
      </c>
      <c r="AA283" t="s">
        <v>398</v>
      </c>
    </row>
    <row r="284" spans="1:27" x14ac:dyDescent="0.3">
      <c r="A284" t="s">
        <v>211</v>
      </c>
      <c r="B284" s="562">
        <v>2025</v>
      </c>
      <c r="C284" t="s">
        <v>248</v>
      </c>
      <c r="D284">
        <v>19747</v>
      </c>
      <c r="E284">
        <v>2126</v>
      </c>
      <c r="F284" s="179">
        <v>45919</v>
      </c>
      <c r="G284" t="s">
        <v>236</v>
      </c>
      <c r="I284" t="s">
        <v>270</v>
      </c>
      <c r="J284" s="583">
        <v>0</v>
      </c>
      <c r="K284" s="583">
        <v>408</v>
      </c>
      <c r="L284" s="565">
        <f t="shared" si="12"/>
        <v>408</v>
      </c>
      <c r="M284" s="179">
        <v>45961</v>
      </c>
      <c r="N284" s="179">
        <v>45957</v>
      </c>
      <c r="O284" s="565">
        <v>408</v>
      </c>
      <c r="P284" s="565">
        <f t="shared" si="13"/>
        <v>0</v>
      </c>
      <c r="Q284" s="565"/>
      <c r="R284" s="565"/>
      <c r="S284" s="565"/>
      <c r="T284" s="565"/>
      <c r="U284" s="565"/>
      <c r="V284" s="565"/>
      <c r="W284" s="565"/>
      <c r="X284" s="565"/>
      <c r="Y284" t="str">
        <f t="shared" ca="1" si="14"/>
        <v>PAGO</v>
      </c>
      <c r="AA284" t="s">
        <v>398</v>
      </c>
    </row>
    <row r="285" spans="1:27" x14ac:dyDescent="0.3">
      <c r="A285" t="s">
        <v>211</v>
      </c>
      <c r="B285" s="562">
        <v>2025</v>
      </c>
      <c r="C285" t="s">
        <v>248</v>
      </c>
      <c r="D285">
        <v>19769</v>
      </c>
      <c r="E285">
        <v>2152</v>
      </c>
      <c r="F285" s="179">
        <v>45922</v>
      </c>
      <c r="G285" t="s">
        <v>237</v>
      </c>
      <c r="I285" t="s">
        <v>270</v>
      </c>
      <c r="J285" s="583">
        <v>0</v>
      </c>
      <c r="K285" s="583">
        <v>1357.29</v>
      </c>
      <c r="L285" s="565">
        <f t="shared" si="12"/>
        <v>1357.29</v>
      </c>
      <c r="M285" s="179">
        <v>45957</v>
      </c>
      <c r="N285" s="179">
        <v>45957</v>
      </c>
      <c r="O285" s="565">
        <v>1357.29</v>
      </c>
      <c r="P285" s="565">
        <f t="shared" si="13"/>
        <v>0</v>
      </c>
      <c r="Q285" s="565"/>
      <c r="R285" s="565"/>
      <c r="S285" s="565"/>
      <c r="T285" s="565"/>
      <c r="U285" s="565"/>
      <c r="V285" s="565"/>
      <c r="W285" s="565"/>
      <c r="X285" s="565"/>
      <c r="Y285" t="str">
        <f t="shared" ca="1" si="14"/>
        <v>PAGO</v>
      </c>
      <c r="AA285" t="s">
        <v>398</v>
      </c>
    </row>
    <row r="286" spans="1:27" x14ac:dyDescent="0.3">
      <c r="A286" t="s">
        <v>211</v>
      </c>
      <c r="B286" s="562">
        <v>2025</v>
      </c>
      <c r="C286" t="s">
        <v>248</v>
      </c>
      <c r="D286">
        <v>19770</v>
      </c>
      <c r="E286">
        <v>2183</v>
      </c>
      <c r="F286" s="179">
        <v>45922</v>
      </c>
      <c r="G286" t="s">
        <v>236</v>
      </c>
      <c r="I286" t="s">
        <v>270</v>
      </c>
      <c r="J286" s="583">
        <v>0</v>
      </c>
      <c r="K286" s="583">
        <v>1484.52</v>
      </c>
      <c r="L286" s="565">
        <f t="shared" si="12"/>
        <v>1484.52</v>
      </c>
      <c r="M286" s="179">
        <v>45950</v>
      </c>
      <c r="N286" s="179">
        <v>45951</v>
      </c>
      <c r="O286" s="565">
        <v>1484.52</v>
      </c>
      <c r="P286" s="565">
        <f t="shared" si="13"/>
        <v>0</v>
      </c>
      <c r="Q286" s="565"/>
      <c r="R286" s="565"/>
      <c r="S286" s="565"/>
      <c r="T286" s="565"/>
      <c r="U286" s="565"/>
      <c r="V286" s="565"/>
      <c r="W286" s="565"/>
      <c r="X286" s="565"/>
      <c r="Y286" t="str">
        <f t="shared" ca="1" si="14"/>
        <v>PAGO</v>
      </c>
      <c r="AA286" t="s">
        <v>398</v>
      </c>
    </row>
    <row r="287" spans="1:27" x14ac:dyDescent="0.3">
      <c r="A287" t="s">
        <v>211</v>
      </c>
      <c r="B287" s="562">
        <v>2025</v>
      </c>
      <c r="C287" t="s">
        <v>248</v>
      </c>
      <c r="D287">
        <v>19770</v>
      </c>
      <c r="E287">
        <v>2183</v>
      </c>
      <c r="F287" s="179">
        <v>45922</v>
      </c>
      <c r="G287" t="s">
        <v>236</v>
      </c>
      <c r="I287" t="s">
        <v>270</v>
      </c>
      <c r="J287" s="583">
        <v>0</v>
      </c>
      <c r="K287" s="583">
        <v>1483</v>
      </c>
      <c r="L287" s="565">
        <f t="shared" si="12"/>
        <v>1483</v>
      </c>
      <c r="M287" s="179">
        <v>45957</v>
      </c>
      <c r="N287" s="179">
        <v>45957</v>
      </c>
      <c r="O287" s="565">
        <v>1483</v>
      </c>
      <c r="P287" s="565">
        <f t="shared" si="13"/>
        <v>0</v>
      </c>
      <c r="Q287" s="565"/>
      <c r="R287" s="565"/>
      <c r="S287" s="565"/>
      <c r="T287" s="565"/>
      <c r="U287" s="565"/>
      <c r="V287" s="565"/>
      <c r="W287" s="565"/>
      <c r="X287" s="565"/>
      <c r="Y287" t="str">
        <f t="shared" ca="1" si="14"/>
        <v>PAGO</v>
      </c>
      <c r="AA287" t="s">
        <v>398</v>
      </c>
    </row>
    <row r="288" spans="1:27" x14ac:dyDescent="0.3">
      <c r="A288" t="s">
        <v>211</v>
      </c>
      <c r="B288" s="562">
        <v>2025</v>
      </c>
      <c r="C288" t="s">
        <v>248</v>
      </c>
      <c r="D288">
        <v>19770</v>
      </c>
      <c r="E288">
        <v>2183</v>
      </c>
      <c r="F288" s="179">
        <v>45922</v>
      </c>
      <c r="G288" t="s">
        <v>236</v>
      </c>
      <c r="I288" t="s">
        <v>270</v>
      </c>
      <c r="J288" s="583">
        <v>0</v>
      </c>
      <c r="K288" s="583">
        <v>1483</v>
      </c>
      <c r="L288" s="565">
        <f t="shared" si="12"/>
        <v>1483</v>
      </c>
      <c r="M288" s="179">
        <v>45964</v>
      </c>
      <c r="N288" s="179">
        <v>45965</v>
      </c>
      <c r="O288" s="565">
        <v>1483</v>
      </c>
      <c r="P288" s="565">
        <f t="shared" si="13"/>
        <v>0</v>
      </c>
      <c r="Q288" s="565"/>
      <c r="R288" s="565"/>
      <c r="S288" s="565"/>
      <c r="T288" s="565"/>
      <c r="U288" s="565"/>
      <c r="V288" s="565"/>
      <c r="W288" s="565"/>
      <c r="X288" s="565"/>
      <c r="Y288" t="str">
        <f t="shared" ca="1" si="14"/>
        <v>PAGO</v>
      </c>
      <c r="AA288" t="s">
        <v>398</v>
      </c>
    </row>
    <row r="289" spans="1:27" x14ac:dyDescent="0.3">
      <c r="A289" t="s">
        <v>211</v>
      </c>
      <c r="B289" s="562">
        <v>2025</v>
      </c>
      <c r="C289" t="s">
        <v>248</v>
      </c>
      <c r="D289">
        <v>19908</v>
      </c>
      <c r="E289">
        <v>2280</v>
      </c>
      <c r="F289" s="179">
        <v>45930</v>
      </c>
      <c r="G289" t="s">
        <v>236</v>
      </c>
      <c r="I289" t="s">
        <v>270</v>
      </c>
      <c r="J289" s="583">
        <v>0</v>
      </c>
      <c r="K289" s="583">
        <v>913.59</v>
      </c>
      <c r="L289" s="565">
        <f t="shared" si="12"/>
        <v>913.59</v>
      </c>
      <c r="M289" s="179">
        <v>45958</v>
      </c>
      <c r="N289" s="179">
        <v>45957</v>
      </c>
      <c r="O289" s="565">
        <v>913.59</v>
      </c>
      <c r="P289" s="565">
        <f t="shared" si="13"/>
        <v>0</v>
      </c>
      <c r="Q289" s="565"/>
      <c r="R289" s="565"/>
      <c r="S289" s="565"/>
      <c r="T289" s="565"/>
      <c r="U289" s="565"/>
      <c r="V289" s="565"/>
      <c r="W289" s="565"/>
      <c r="X289" s="565"/>
      <c r="Y289" t="str">
        <f t="shared" ca="1" si="14"/>
        <v>PAGO</v>
      </c>
      <c r="AA289" t="s">
        <v>398</v>
      </c>
    </row>
    <row r="290" spans="1:27" x14ac:dyDescent="0.3">
      <c r="A290" t="s">
        <v>211</v>
      </c>
      <c r="B290" s="562">
        <v>2025</v>
      </c>
      <c r="C290" t="s">
        <v>248</v>
      </c>
      <c r="D290">
        <v>19908</v>
      </c>
      <c r="E290">
        <v>2280</v>
      </c>
      <c r="F290" s="179">
        <v>45930</v>
      </c>
      <c r="G290" t="s">
        <v>236</v>
      </c>
      <c r="I290" t="s">
        <v>270</v>
      </c>
      <c r="J290" s="583">
        <v>0</v>
      </c>
      <c r="K290" s="583">
        <v>912</v>
      </c>
      <c r="L290" s="565">
        <f t="shared" si="12"/>
        <v>912</v>
      </c>
      <c r="M290" s="179">
        <v>45965</v>
      </c>
      <c r="N290" s="179">
        <v>45966</v>
      </c>
      <c r="O290" s="565">
        <v>912</v>
      </c>
      <c r="P290" s="565">
        <f t="shared" si="13"/>
        <v>0</v>
      </c>
      <c r="Q290" s="565"/>
      <c r="R290" s="565"/>
      <c r="S290" s="565"/>
      <c r="T290" s="565"/>
      <c r="U290" s="565"/>
      <c r="V290" s="565"/>
      <c r="W290" s="565"/>
      <c r="X290" s="565"/>
      <c r="Y290" t="str">
        <f t="shared" ca="1" si="14"/>
        <v>PAGO</v>
      </c>
      <c r="AA290" t="s">
        <v>398</v>
      </c>
    </row>
    <row r="291" spans="1:27" x14ac:dyDescent="0.3">
      <c r="A291" t="s">
        <v>211</v>
      </c>
      <c r="B291" s="562">
        <v>2025</v>
      </c>
      <c r="C291" t="s">
        <v>248</v>
      </c>
      <c r="D291">
        <v>19908</v>
      </c>
      <c r="E291">
        <v>2280</v>
      </c>
      <c r="F291" s="179">
        <v>45930</v>
      </c>
      <c r="G291" t="s">
        <v>236</v>
      </c>
      <c r="I291" t="s">
        <v>270</v>
      </c>
      <c r="J291" s="583">
        <v>0</v>
      </c>
      <c r="K291" s="583">
        <v>912</v>
      </c>
      <c r="L291" s="565">
        <f t="shared" si="12"/>
        <v>912</v>
      </c>
      <c r="M291" s="179">
        <v>45972</v>
      </c>
      <c r="N291" s="179">
        <v>45973</v>
      </c>
      <c r="O291" s="565">
        <v>912</v>
      </c>
      <c r="P291" s="565">
        <f t="shared" si="13"/>
        <v>0</v>
      </c>
      <c r="Q291" s="565"/>
      <c r="R291" s="565"/>
      <c r="S291" s="565"/>
      <c r="T291" s="565"/>
      <c r="U291" s="565"/>
      <c r="V291" s="565"/>
      <c r="W291" s="565"/>
      <c r="X291" s="565"/>
      <c r="Y291" t="str">
        <f t="shared" ca="1" si="14"/>
        <v>PAGO</v>
      </c>
      <c r="AA291" t="s">
        <v>398</v>
      </c>
    </row>
    <row r="292" spans="1:27" x14ac:dyDescent="0.3">
      <c r="A292" t="s">
        <v>211</v>
      </c>
      <c r="B292" s="562">
        <v>2025</v>
      </c>
      <c r="C292" t="s">
        <v>248</v>
      </c>
      <c r="D292" t="s">
        <v>243</v>
      </c>
      <c r="E292">
        <v>2280</v>
      </c>
      <c r="F292" s="179">
        <v>45918</v>
      </c>
      <c r="G292" t="s">
        <v>241</v>
      </c>
      <c r="I292" t="s">
        <v>242</v>
      </c>
      <c r="J292" s="583">
        <v>12903</v>
      </c>
      <c r="K292" s="583">
        <v>0</v>
      </c>
      <c r="L292" s="565">
        <f t="shared" si="12"/>
        <v>12903</v>
      </c>
      <c r="O292" s="565">
        <v>0</v>
      </c>
      <c r="P292" s="565">
        <f t="shared" si="13"/>
        <v>12903</v>
      </c>
      <c r="Q292" s="565"/>
      <c r="R292" s="565"/>
      <c r="S292" s="565"/>
      <c r="T292" s="565"/>
      <c r="U292" s="565"/>
      <c r="V292" s="565"/>
      <c r="W292" s="565"/>
      <c r="X292" s="565"/>
      <c r="Y292" t="str">
        <f t="shared" ca="1" si="14"/>
        <v>SEM VENCIMENTO</v>
      </c>
      <c r="AA292" t="s">
        <v>398</v>
      </c>
    </row>
    <row r="293" spans="1:27" x14ac:dyDescent="0.3">
      <c r="A293" t="s">
        <v>222</v>
      </c>
      <c r="B293" s="562">
        <v>2025</v>
      </c>
      <c r="C293" t="s">
        <v>248</v>
      </c>
      <c r="D293">
        <v>19970</v>
      </c>
      <c r="E293">
        <v>2280</v>
      </c>
      <c r="F293" s="179">
        <v>45933</v>
      </c>
      <c r="G293" t="s">
        <v>236</v>
      </c>
      <c r="I293" t="s">
        <v>270</v>
      </c>
      <c r="J293" s="583">
        <v>0</v>
      </c>
      <c r="K293" s="583">
        <v>400.89</v>
      </c>
      <c r="L293" s="565">
        <f t="shared" si="12"/>
        <v>400.89</v>
      </c>
      <c r="M293" s="179">
        <v>45961</v>
      </c>
      <c r="N293" s="179">
        <v>45957</v>
      </c>
      <c r="O293" s="565">
        <v>400.89</v>
      </c>
      <c r="P293" s="565">
        <f t="shared" si="13"/>
        <v>0</v>
      </c>
      <c r="Q293" s="565"/>
      <c r="R293" s="565"/>
      <c r="S293" s="565"/>
      <c r="T293" s="565"/>
      <c r="U293" s="565"/>
      <c r="V293" s="565"/>
      <c r="W293" s="565"/>
      <c r="X293" s="565"/>
      <c r="Y293" t="str">
        <f t="shared" ca="1" si="14"/>
        <v>PAGO</v>
      </c>
      <c r="AA293" t="s">
        <v>399</v>
      </c>
    </row>
    <row r="294" spans="1:27" x14ac:dyDescent="0.3">
      <c r="A294" t="s">
        <v>222</v>
      </c>
      <c r="B294" s="562">
        <v>2025</v>
      </c>
      <c r="C294" t="s">
        <v>248</v>
      </c>
      <c r="D294">
        <v>19970</v>
      </c>
      <c r="E294">
        <v>2280</v>
      </c>
      <c r="F294" s="179">
        <v>45933</v>
      </c>
      <c r="G294" t="s">
        <v>236</v>
      </c>
      <c r="I294" t="s">
        <v>270</v>
      </c>
      <c r="J294" s="583">
        <v>0</v>
      </c>
      <c r="K294" s="583">
        <v>399</v>
      </c>
      <c r="L294" s="565">
        <f t="shared" si="12"/>
        <v>399</v>
      </c>
      <c r="M294" s="179">
        <v>45968</v>
      </c>
      <c r="N294" s="179">
        <v>45966</v>
      </c>
      <c r="O294" s="565">
        <v>399</v>
      </c>
      <c r="P294" s="565">
        <f t="shared" si="13"/>
        <v>0</v>
      </c>
      <c r="Q294" s="565"/>
      <c r="R294" s="565"/>
      <c r="S294" s="565"/>
      <c r="T294" s="565"/>
      <c r="U294" s="565"/>
      <c r="V294" s="565"/>
      <c r="W294" s="565"/>
      <c r="X294" s="565"/>
      <c r="Y294" t="str">
        <f t="shared" ca="1" si="14"/>
        <v>PAGO</v>
      </c>
      <c r="AA294" t="s">
        <v>399</v>
      </c>
    </row>
    <row r="295" spans="1:27" x14ac:dyDescent="0.3">
      <c r="A295" t="s">
        <v>222</v>
      </c>
      <c r="B295" s="562">
        <v>2025</v>
      </c>
      <c r="C295" t="s">
        <v>248</v>
      </c>
      <c r="D295">
        <v>19970</v>
      </c>
      <c r="E295">
        <v>2280</v>
      </c>
      <c r="F295" s="179">
        <v>45933</v>
      </c>
      <c r="G295" t="s">
        <v>236</v>
      </c>
      <c r="I295" t="s">
        <v>270</v>
      </c>
      <c r="J295" s="583">
        <v>0</v>
      </c>
      <c r="K295" s="583">
        <v>399</v>
      </c>
      <c r="L295" s="565">
        <f t="shared" si="12"/>
        <v>399</v>
      </c>
      <c r="M295" s="179">
        <v>45975</v>
      </c>
      <c r="N295" s="179">
        <v>45973</v>
      </c>
      <c r="O295" s="565">
        <v>399</v>
      </c>
      <c r="P295" s="565">
        <f t="shared" si="13"/>
        <v>0</v>
      </c>
      <c r="Q295" s="565"/>
      <c r="R295" s="565"/>
      <c r="S295" s="565"/>
      <c r="T295" s="565"/>
      <c r="U295" s="565"/>
      <c r="V295" s="565"/>
      <c r="W295" s="565"/>
      <c r="X295" s="565"/>
      <c r="Y295" t="str">
        <f t="shared" ca="1" si="14"/>
        <v>PAGO</v>
      </c>
      <c r="AA295" t="s">
        <v>399</v>
      </c>
    </row>
    <row r="296" spans="1:27" x14ac:dyDescent="0.3">
      <c r="A296" t="s">
        <v>222</v>
      </c>
      <c r="B296" s="562">
        <v>2025</v>
      </c>
      <c r="C296" t="s">
        <v>248</v>
      </c>
      <c r="D296">
        <v>19997</v>
      </c>
      <c r="E296">
        <v>2404</v>
      </c>
      <c r="F296" s="179">
        <v>45935</v>
      </c>
      <c r="G296" t="s">
        <v>262</v>
      </c>
      <c r="I296" t="s">
        <v>272</v>
      </c>
      <c r="J296" s="583">
        <v>1554</v>
      </c>
      <c r="K296" s="583">
        <v>0</v>
      </c>
      <c r="L296" s="565">
        <f t="shared" si="12"/>
        <v>1554</v>
      </c>
      <c r="M296" s="179">
        <v>45939</v>
      </c>
      <c r="N296" s="179">
        <v>45939</v>
      </c>
      <c r="O296" s="565">
        <v>1554</v>
      </c>
      <c r="P296" s="565">
        <f t="shared" si="13"/>
        <v>0</v>
      </c>
      <c r="Q296" s="565"/>
      <c r="R296" s="565"/>
      <c r="S296" s="565"/>
      <c r="T296" s="565"/>
      <c r="U296" s="565"/>
      <c r="V296" s="565"/>
      <c r="W296" s="565"/>
      <c r="X296" s="565"/>
      <c r="Y296" t="str">
        <f t="shared" ca="1" si="14"/>
        <v>PAGO</v>
      </c>
      <c r="AA296" t="s">
        <v>399</v>
      </c>
    </row>
    <row r="297" spans="1:27" x14ac:dyDescent="0.3">
      <c r="A297" t="s">
        <v>222</v>
      </c>
      <c r="B297" s="562">
        <v>2025</v>
      </c>
      <c r="C297" t="s">
        <v>248</v>
      </c>
      <c r="D297">
        <v>19999</v>
      </c>
      <c r="E297">
        <v>2349</v>
      </c>
      <c r="F297" s="179">
        <v>45936</v>
      </c>
      <c r="G297" t="s">
        <v>236</v>
      </c>
      <c r="I297" t="s">
        <v>270</v>
      </c>
      <c r="J297" s="583">
        <v>0</v>
      </c>
      <c r="K297" s="583">
        <v>2241.37</v>
      </c>
      <c r="L297" s="565">
        <f t="shared" si="12"/>
        <v>2241.37</v>
      </c>
      <c r="M297" s="179">
        <v>45964</v>
      </c>
      <c r="N297" s="179">
        <v>45965</v>
      </c>
      <c r="O297" s="565">
        <v>2241.37</v>
      </c>
      <c r="P297" s="565">
        <f t="shared" si="13"/>
        <v>0</v>
      </c>
      <c r="Q297" s="565"/>
      <c r="R297" s="565"/>
      <c r="S297" s="565"/>
      <c r="T297" s="565"/>
      <c r="U297" s="565"/>
      <c r="V297" s="565"/>
      <c r="W297" s="565"/>
      <c r="X297" s="565"/>
      <c r="Y297" t="str">
        <f t="shared" ca="1" si="14"/>
        <v>PAGO</v>
      </c>
      <c r="AA297" t="s">
        <v>399</v>
      </c>
    </row>
    <row r="298" spans="1:27" x14ac:dyDescent="0.3">
      <c r="A298" t="s">
        <v>222</v>
      </c>
      <c r="B298" s="562">
        <v>2025</v>
      </c>
      <c r="C298" t="s">
        <v>248</v>
      </c>
      <c r="D298">
        <v>19999</v>
      </c>
      <c r="E298">
        <v>2349</v>
      </c>
      <c r="F298" s="179">
        <v>45936</v>
      </c>
      <c r="G298" t="s">
        <v>236</v>
      </c>
      <c r="I298" t="s">
        <v>270</v>
      </c>
      <c r="J298" s="583">
        <v>0</v>
      </c>
      <c r="K298" s="583">
        <v>2241</v>
      </c>
      <c r="L298" s="565">
        <f t="shared" si="12"/>
        <v>2241</v>
      </c>
      <c r="M298" s="179">
        <v>45971</v>
      </c>
      <c r="N298" s="179">
        <v>45971</v>
      </c>
      <c r="O298" s="565">
        <v>2241</v>
      </c>
      <c r="P298" s="565">
        <f t="shared" si="13"/>
        <v>0</v>
      </c>
      <c r="Q298" s="565"/>
      <c r="R298" s="565"/>
      <c r="S298" s="565"/>
      <c r="T298" s="565"/>
      <c r="U298" s="565"/>
      <c r="V298" s="565"/>
      <c r="W298" s="565"/>
      <c r="X298" s="565"/>
      <c r="Y298" t="str">
        <f t="shared" ca="1" si="14"/>
        <v>PAGO</v>
      </c>
      <c r="AA298" t="s">
        <v>399</v>
      </c>
    </row>
    <row r="299" spans="1:27" x14ac:dyDescent="0.3">
      <c r="A299" t="s">
        <v>222</v>
      </c>
      <c r="B299" s="562">
        <v>2025</v>
      </c>
      <c r="C299" t="s">
        <v>248</v>
      </c>
      <c r="D299">
        <v>19999</v>
      </c>
      <c r="E299">
        <v>2349</v>
      </c>
      <c r="F299" s="179">
        <v>45936</v>
      </c>
      <c r="G299" t="s">
        <v>236</v>
      </c>
      <c r="I299" t="s">
        <v>270</v>
      </c>
      <c r="J299" s="583">
        <v>0</v>
      </c>
      <c r="K299" s="583">
        <v>2241</v>
      </c>
      <c r="L299" s="565">
        <f t="shared" si="12"/>
        <v>2241</v>
      </c>
      <c r="M299" s="179">
        <v>45978</v>
      </c>
      <c r="N299" s="179">
        <v>45978</v>
      </c>
      <c r="O299" s="565">
        <v>2241</v>
      </c>
      <c r="P299" s="565">
        <f t="shared" si="13"/>
        <v>0</v>
      </c>
      <c r="Q299" s="565"/>
      <c r="R299" s="565"/>
      <c r="S299" s="565"/>
      <c r="T299" s="565"/>
      <c r="U299" s="565"/>
      <c r="V299" s="565"/>
      <c r="W299" s="565"/>
      <c r="X299" s="565"/>
      <c r="Y299" t="str">
        <f t="shared" ca="1" si="14"/>
        <v>PAGO</v>
      </c>
      <c r="AA299" t="s">
        <v>399</v>
      </c>
    </row>
    <row r="300" spans="1:27" x14ac:dyDescent="0.3">
      <c r="A300" t="s">
        <v>222</v>
      </c>
      <c r="B300" s="562">
        <v>2025</v>
      </c>
      <c r="C300" t="s">
        <v>248</v>
      </c>
      <c r="D300">
        <v>20001</v>
      </c>
      <c r="E300">
        <v>2349</v>
      </c>
      <c r="F300" s="179">
        <v>45936</v>
      </c>
      <c r="G300" t="s">
        <v>236</v>
      </c>
      <c r="I300" t="s">
        <v>270</v>
      </c>
      <c r="J300" s="583">
        <v>0</v>
      </c>
      <c r="K300" s="583">
        <v>576.73</v>
      </c>
      <c r="L300" s="565">
        <f t="shared" si="12"/>
        <v>576.73</v>
      </c>
      <c r="M300" s="179">
        <v>45964</v>
      </c>
      <c r="N300" s="179">
        <v>45965</v>
      </c>
      <c r="O300" s="565">
        <v>576.73</v>
      </c>
      <c r="P300" s="565">
        <f t="shared" si="13"/>
        <v>0</v>
      </c>
      <c r="Q300" s="565"/>
      <c r="R300" s="565"/>
      <c r="S300" s="565"/>
      <c r="T300" s="565"/>
      <c r="U300" s="565"/>
      <c r="V300" s="565"/>
      <c r="W300" s="565"/>
      <c r="X300" s="565"/>
      <c r="Y300" t="str">
        <f t="shared" ca="1" si="14"/>
        <v>PAGO</v>
      </c>
      <c r="AA300" t="s">
        <v>399</v>
      </c>
    </row>
    <row r="301" spans="1:27" x14ac:dyDescent="0.3">
      <c r="A301" t="s">
        <v>222</v>
      </c>
      <c r="B301" s="562">
        <v>2025</v>
      </c>
      <c r="C301" t="s">
        <v>248</v>
      </c>
      <c r="D301">
        <v>20001</v>
      </c>
      <c r="E301">
        <v>2349</v>
      </c>
      <c r="F301" s="179">
        <v>45936</v>
      </c>
      <c r="G301" t="s">
        <v>236</v>
      </c>
      <c r="I301" t="s">
        <v>270</v>
      </c>
      <c r="J301" s="583">
        <v>0</v>
      </c>
      <c r="K301" s="583">
        <v>576</v>
      </c>
      <c r="L301" s="565">
        <f t="shared" si="12"/>
        <v>576</v>
      </c>
      <c r="M301" s="179">
        <v>45971</v>
      </c>
      <c r="N301" s="179">
        <v>45971</v>
      </c>
      <c r="O301" s="565">
        <v>576</v>
      </c>
      <c r="P301" s="565">
        <f t="shared" si="13"/>
        <v>0</v>
      </c>
      <c r="Q301" s="565"/>
      <c r="R301" s="565"/>
      <c r="S301" s="565"/>
      <c r="T301" s="565"/>
      <c r="U301" s="565"/>
      <c r="V301" s="565"/>
      <c r="W301" s="565"/>
      <c r="X301" s="565"/>
      <c r="Y301" t="str">
        <f t="shared" ca="1" si="14"/>
        <v>PAGO</v>
      </c>
      <c r="AA301" t="s">
        <v>399</v>
      </c>
    </row>
    <row r="302" spans="1:27" x14ac:dyDescent="0.3">
      <c r="A302" t="s">
        <v>222</v>
      </c>
      <c r="B302" s="562">
        <v>2025</v>
      </c>
      <c r="C302" t="s">
        <v>248</v>
      </c>
      <c r="D302">
        <v>20001</v>
      </c>
      <c r="E302">
        <v>2349</v>
      </c>
      <c r="F302" s="179">
        <v>45936</v>
      </c>
      <c r="G302" t="s">
        <v>236</v>
      </c>
      <c r="I302" t="s">
        <v>270</v>
      </c>
      <c r="J302" s="583">
        <v>0</v>
      </c>
      <c r="K302" s="583">
        <v>576</v>
      </c>
      <c r="L302" s="565">
        <f t="shared" si="12"/>
        <v>576</v>
      </c>
      <c r="M302" s="179">
        <v>45978</v>
      </c>
      <c r="N302" s="179">
        <v>45978</v>
      </c>
      <c r="O302" s="565">
        <v>576</v>
      </c>
      <c r="P302" s="565">
        <f t="shared" si="13"/>
        <v>0</v>
      </c>
      <c r="Q302" s="565"/>
      <c r="R302" s="565"/>
      <c r="S302" s="565"/>
      <c r="T302" s="565"/>
      <c r="U302" s="565"/>
      <c r="V302" s="565"/>
      <c r="W302" s="565"/>
      <c r="X302" s="565"/>
      <c r="Y302" t="str">
        <f t="shared" ca="1" si="14"/>
        <v>PAGO</v>
      </c>
      <c r="AA302" t="s">
        <v>399</v>
      </c>
    </row>
    <row r="303" spans="1:27" x14ac:dyDescent="0.3">
      <c r="A303" t="s">
        <v>222</v>
      </c>
      <c r="B303" s="562">
        <v>2025</v>
      </c>
      <c r="C303" t="s">
        <v>248</v>
      </c>
      <c r="D303">
        <v>20019</v>
      </c>
      <c r="E303">
        <v>2349</v>
      </c>
      <c r="F303" s="179">
        <v>45937</v>
      </c>
      <c r="G303" t="s">
        <v>236</v>
      </c>
      <c r="I303" t="s">
        <v>270</v>
      </c>
      <c r="J303" s="583">
        <v>0</v>
      </c>
      <c r="K303" s="583">
        <v>487.79</v>
      </c>
      <c r="L303" s="565">
        <f t="shared" si="12"/>
        <v>487.79</v>
      </c>
      <c r="M303" s="179">
        <v>45965</v>
      </c>
      <c r="N303" s="179">
        <v>45966</v>
      </c>
      <c r="O303" s="565">
        <v>487.79</v>
      </c>
      <c r="P303" s="565">
        <f t="shared" si="13"/>
        <v>0</v>
      </c>
      <c r="Q303" s="565"/>
      <c r="R303" s="565"/>
      <c r="S303" s="565"/>
      <c r="T303" s="565"/>
      <c r="U303" s="565"/>
      <c r="V303" s="565"/>
      <c r="W303" s="565"/>
      <c r="X303" s="565"/>
      <c r="Y303" t="str">
        <f t="shared" ca="1" si="14"/>
        <v>PAGO</v>
      </c>
      <c r="AA303" t="s">
        <v>399</v>
      </c>
    </row>
    <row r="304" spans="1:27" x14ac:dyDescent="0.3">
      <c r="A304" t="s">
        <v>222</v>
      </c>
      <c r="B304" s="562">
        <v>2025</v>
      </c>
      <c r="C304" t="s">
        <v>248</v>
      </c>
      <c r="D304">
        <v>20019</v>
      </c>
      <c r="E304">
        <v>2349</v>
      </c>
      <c r="F304" s="179">
        <v>45937</v>
      </c>
      <c r="G304" t="s">
        <v>236</v>
      </c>
      <c r="I304" t="s">
        <v>270</v>
      </c>
      <c r="J304" s="583">
        <v>0</v>
      </c>
      <c r="K304" s="583">
        <v>485</v>
      </c>
      <c r="L304" s="565">
        <f t="shared" si="12"/>
        <v>485</v>
      </c>
      <c r="M304" s="179">
        <v>45972</v>
      </c>
      <c r="N304" s="179">
        <v>45973</v>
      </c>
      <c r="O304" s="565">
        <v>485</v>
      </c>
      <c r="P304" s="565">
        <f t="shared" si="13"/>
        <v>0</v>
      </c>
      <c r="Q304" s="565"/>
      <c r="R304" s="565"/>
      <c r="S304" s="565"/>
      <c r="T304" s="565"/>
      <c r="U304" s="565"/>
      <c r="V304" s="565"/>
      <c r="W304" s="565"/>
      <c r="X304" s="565"/>
      <c r="Y304" t="str">
        <f t="shared" ca="1" si="14"/>
        <v>PAGO</v>
      </c>
      <c r="AA304" t="s">
        <v>399</v>
      </c>
    </row>
    <row r="305" spans="1:27" x14ac:dyDescent="0.3">
      <c r="A305" t="s">
        <v>222</v>
      </c>
      <c r="B305" s="562">
        <v>2025</v>
      </c>
      <c r="C305" t="s">
        <v>248</v>
      </c>
      <c r="D305">
        <v>20019</v>
      </c>
      <c r="E305">
        <v>2349</v>
      </c>
      <c r="F305" s="179">
        <v>45937</v>
      </c>
      <c r="G305" t="s">
        <v>236</v>
      </c>
      <c r="I305" t="s">
        <v>270</v>
      </c>
      <c r="J305" s="583">
        <v>0</v>
      </c>
      <c r="K305" s="583">
        <v>485</v>
      </c>
      <c r="L305" s="565">
        <f t="shared" si="12"/>
        <v>485</v>
      </c>
      <c r="M305" s="179">
        <v>45979</v>
      </c>
      <c r="N305" s="179">
        <v>45980</v>
      </c>
      <c r="O305" s="565">
        <v>485</v>
      </c>
      <c r="P305" s="565">
        <f t="shared" si="13"/>
        <v>0</v>
      </c>
      <c r="Q305" s="565"/>
      <c r="R305" s="565"/>
      <c r="S305" s="565"/>
      <c r="T305" s="565"/>
      <c r="U305" s="565"/>
      <c r="V305" s="565"/>
      <c r="W305" s="565"/>
      <c r="X305" s="565"/>
      <c r="Y305" t="str">
        <f t="shared" ca="1" si="14"/>
        <v>PAGO</v>
      </c>
      <c r="AA305" t="s">
        <v>399</v>
      </c>
    </row>
    <row r="306" spans="1:27" x14ac:dyDescent="0.3">
      <c r="A306" t="s">
        <v>222</v>
      </c>
      <c r="B306" s="562">
        <v>2025</v>
      </c>
      <c r="C306" t="s">
        <v>248</v>
      </c>
      <c r="D306">
        <v>20103</v>
      </c>
      <c r="E306">
        <v>2412</v>
      </c>
      <c r="F306" s="179">
        <v>45940</v>
      </c>
      <c r="G306" t="s">
        <v>236</v>
      </c>
      <c r="I306" t="s">
        <v>270</v>
      </c>
      <c r="J306" s="583">
        <v>0</v>
      </c>
      <c r="K306" s="583">
        <v>404.31</v>
      </c>
      <c r="L306" s="565">
        <f t="shared" si="12"/>
        <v>404.31</v>
      </c>
      <c r="M306" s="179">
        <v>45968</v>
      </c>
      <c r="N306" s="179">
        <v>45966</v>
      </c>
      <c r="O306" s="565">
        <v>404.31</v>
      </c>
      <c r="P306" s="565">
        <f t="shared" si="13"/>
        <v>0</v>
      </c>
      <c r="Q306" s="565"/>
      <c r="R306" s="565"/>
      <c r="S306" s="565"/>
      <c r="T306" s="565"/>
      <c r="U306" s="565"/>
      <c r="V306" s="565"/>
      <c r="W306" s="565"/>
      <c r="X306" s="565"/>
      <c r="Y306" t="str">
        <f t="shared" ca="1" si="14"/>
        <v>PAGO</v>
      </c>
      <c r="AA306" t="s">
        <v>399</v>
      </c>
    </row>
    <row r="307" spans="1:27" x14ac:dyDescent="0.3">
      <c r="A307" t="s">
        <v>222</v>
      </c>
      <c r="B307" s="562">
        <v>2025</v>
      </c>
      <c r="C307" t="s">
        <v>248</v>
      </c>
      <c r="D307">
        <v>20103</v>
      </c>
      <c r="E307">
        <v>2412</v>
      </c>
      <c r="F307" s="179">
        <v>45940</v>
      </c>
      <c r="G307" t="s">
        <v>236</v>
      </c>
      <c r="I307" t="s">
        <v>270</v>
      </c>
      <c r="J307" s="583">
        <v>0</v>
      </c>
      <c r="K307" s="583">
        <v>403</v>
      </c>
      <c r="L307" s="565">
        <f t="shared" si="12"/>
        <v>403</v>
      </c>
      <c r="M307" s="179">
        <v>45975</v>
      </c>
      <c r="N307" s="179">
        <v>45973</v>
      </c>
      <c r="O307" s="565">
        <v>403</v>
      </c>
      <c r="P307" s="565">
        <f t="shared" si="13"/>
        <v>0</v>
      </c>
      <c r="Q307" s="565"/>
      <c r="R307" s="565"/>
      <c r="S307" s="565"/>
      <c r="T307" s="565"/>
      <c r="U307" s="565"/>
      <c r="V307" s="565"/>
      <c r="W307" s="565"/>
      <c r="X307" s="565"/>
      <c r="Y307" t="str">
        <f t="shared" ca="1" si="14"/>
        <v>PAGO</v>
      </c>
      <c r="AA307" t="s">
        <v>399</v>
      </c>
    </row>
    <row r="308" spans="1:27" x14ac:dyDescent="0.3">
      <c r="A308" t="s">
        <v>222</v>
      </c>
      <c r="B308" s="562">
        <v>2025</v>
      </c>
      <c r="C308" t="s">
        <v>248</v>
      </c>
      <c r="D308">
        <v>20104</v>
      </c>
      <c r="E308">
        <v>2435</v>
      </c>
      <c r="F308" s="179">
        <v>45940</v>
      </c>
      <c r="G308" t="s">
        <v>236</v>
      </c>
      <c r="I308" t="s">
        <v>270</v>
      </c>
      <c r="J308" s="583">
        <v>0</v>
      </c>
      <c r="K308" s="583">
        <v>132.83000000000001</v>
      </c>
      <c r="L308" s="565">
        <f t="shared" si="12"/>
        <v>132.83000000000001</v>
      </c>
      <c r="M308" s="179">
        <v>45968</v>
      </c>
      <c r="N308" s="179">
        <v>45971</v>
      </c>
      <c r="O308" s="565">
        <v>132.83000000000001</v>
      </c>
      <c r="P308" s="565">
        <f t="shared" si="13"/>
        <v>0</v>
      </c>
      <c r="Q308" s="565"/>
      <c r="R308" s="565"/>
      <c r="S308" s="565"/>
      <c r="T308" s="565"/>
      <c r="U308" s="565"/>
      <c r="V308" s="565"/>
      <c r="W308" s="565"/>
      <c r="X308" s="565"/>
      <c r="Y308" t="str">
        <f t="shared" ca="1" si="14"/>
        <v>PAGO</v>
      </c>
      <c r="AA308" t="s">
        <v>399</v>
      </c>
    </row>
    <row r="309" spans="1:27" x14ac:dyDescent="0.3">
      <c r="A309" t="s">
        <v>222</v>
      </c>
      <c r="B309" s="562">
        <v>2025</v>
      </c>
      <c r="C309" t="s">
        <v>248</v>
      </c>
      <c r="D309">
        <v>20105</v>
      </c>
      <c r="E309">
        <v>2435</v>
      </c>
      <c r="F309" s="179">
        <v>45940</v>
      </c>
      <c r="G309" t="s">
        <v>236</v>
      </c>
      <c r="I309" t="s">
        <v>270</v>
      </c>
      <c r="J309" s="583">
        <v>0</v>
      </c>
      <c r="K309" s="583">
        <v>270.83</v>
      </c>
      <c r="L309" s="565">
        <f t="shared" si="12"/>
        <v>270.83</v>
      </c>
      <c r="M309" s="179">
        <v>45968</v>
      </c>
      <c r="N309" s="179">
        <v>45971</v>
      </c>
      <c r="O309" s="565">
        <v>270.83</v>
      </c>
      <c r="P309" s="565">
        <f t="shared" si="13"/>
        <v>0</v>
      </c>
      <c r="Q309" s="565"/>
      <c r="R309" s="565"/>
      <c r="S309" s="565"/>
      <c r="T309" s="565"/>
      <c r="U309" s="565"/>
      <c r="V309" s="565"/>
      <c r="W309" s="565"/>
      <c r="X309" s="565"/>
      <c r="Y309" t="str">
        <f t="shared" ca="1" si="14"/>
        <v>PAGO</v>
      </c>
      <c r="AA309" t="s">
        <v>399</v>
      </c>
    </row>
    <row r="310" spans="1:27" x14ac:dyDescent="0.3">
      <c r="A310" t="s">
        <v>222</v>
      </c>
      <c r="B310" s="562">
        <v>2025</v>
      </c>
      <c r="C310" t="s">
        <v>248</v>
      </c>
      <c r="D310">
        <v>20122</v>
      </c>
      <c r="E310">
        <v>2428</v>
      </c>
      <c r="F310" s="179">
        <v>45943</v>
      </c>
      <c r="G310" t="s">
        <v>236</v>
      </c>
      <c r="I310" t="s">
        <v>270</v>
      </c>
      <c r="J310" s="583">
        <v>0</v>
      </c>
      <c r="K310" s="583">
        <v>369.68</v>
      </c>
      <c r="L310" s="565">
        <f t="shared" si="12"/>
        <v>369.68</v>
      </c>
      <c r="M310" s="179">
        <v>45971</v>
      </c>
      <c r="N310" s="179">
        <v>45973</v>
      </c>
      <c r="O310" s="565">
        <v>369.68</v>
      </c>
      <c r="P310" s="565">
        <f t="shared" si="13"/>
        <v>0</v>
      </c>
      <c r="Q310" s="565"/>
      <c r="R310" s="565"/>
      <c r="S310" s="565"/>
      <c r="T310" s="565"/>
      <c r="U310" s="565"/>
      <c r="V310" s="565"/>
      <c r="W310" s="565"/>
      <c r="X310" s="565"/>
      <c r="Y310" t="str">
        <f t="shared" ca="1" si="14"/>
        <v>PAGO</v>
      </c>
      <c r="AA310" t="s">
        <v>399</v>
      </c>
    </row>
    <row r="311" spans="1:27" x14ac:dyDescent="0.3">
      <c r="A311" t="s">
        <v>222</v>
      </c>
      <c r="B311" s="562">
        <v>2025</v>
      </c>
      <c r="C311" t="s">
        <v>248</v>
      </c>
      <c r="D311">
        <v>378</v>
      </c>
      <c r="E311">
        <v>338</v>
      </c>
      <c r="F311" s="179">
        <v>45943</v>
      </c>
      <c r="G311" t="s">
        <v>262</v>
      </c>
      <c r="I311" t="s">
        <v>272</v>
      </c>
      <c r="J311" s="583">
        <v>518</v>
      </c>
      <c r="K311" s="583">
        <v>0</v>
      </c>
      <c r="L311" s="565">
        <f t="shared" si="12"/>
        <v>518</v>
      </c>
      <c r="M311" s="179">
        <v>45940</v>
      </c>
      <c r="N311" s="179">
        <v>45940</v>
      </c>
      <c r="O311" s="565">
        <v>518</v>
      </c>
      <c r="P311" s="565">
        <f t="shared" si="13"/>
        <v>0</v>
      </c>
      <c r="Q311" s="565"/>
      <c r="R311" s="565"/>
      <c r="S311" s="565"/>
      <c r="T311" s="565"/>
      <c r="U311" s="565"/>
      <c r="V311" s="565"/>
      <c r="W311" s="565"/>
      <c r="X311" s="565"/>
      <c r="Y311" t="str">
        <f t="shared" ca="1" si="14"/>
        <v>PAGO</v>
      </c>
      <c r="AA311" t="s">
        <v>399</v>
      </c>
    </row>
    <row r="312" spans="1:27" x14ac:dyDescent="0.3">
      <c r="A312" t="s">
        <v>222</v>
      </c>
      <c r="B312" s="562">
        <v>2025</v>
      </c>
      <c r="C312" t="s">
        <v>248</v>
      </c>
      <c r="D312">
        <v>20164</v>
      </c>
      <c r="E312">
        <v>2428</v>
      </c>
      <c r="F312" s="179">
        <v>45945</v>
      </c>
      <c r="G312" t="s">
        <v>236</v>
      </c>
      <c r="I312" t="s">
        <v>270</v>
      </c>
      <c r="J312" s="583">
        <v>0</v>
      </c>
      <c r="K312" s="583">
        <v>679.23</v>
      </c>
      <c r="L312" s="565">
        <f t="shared" si="12"/>
        <v>679.23</v>
      </c>
      <c r="M312" s="179">
        <v>45973</v>
      </c>
      <c r="N312" s="179">
        <v>45973</v>
      </c>
      <c r="O312" s="565">
        <v>679.23</v>
      </c>
      <c r="P312" s="565">
        <f t="shared" si="13"/>
        <v>0</v>
      </c>
      <c r="Q312" s="565"/>
      <c r="R312" s="565"/>
      <c r="S312" s="565"/>
      <c r="T312" s="565"/>
      <c r="U312" s="565"/>
      <c r="V312" s="565"/>
      <c r="W312" s="565"/>
      <c r="X312" s="565"/>
      <c r="Y312" t="str">
        <f t="shared" ca="1" si="14"/>
        <v>PAGO</v>
      </c>
      <c r="AA312" t="s">
        <v>399</v>
      </c>
    </row>
    <row r="313" spans="1:27" x14ac:dyDescent="0.3">
      <c r="A313" t="s">
        <v>222</v>
      </c>
      <c r="B313" s="562">
        <v>2025</v>
      </c>
      <c r="C313" t="s">
        <v>248</v>
      </c>
      <c r="D313">
        <v>20164</v>
      </c>
      <c r="E313">
        <v>2428</v>
      </c>
      <c r="F313" s="179">
        <v>45945</v>
      </c>
      <c r="G313" t="s">
        <v>236</v>
      </c>
      <c r="I313" t="s">
        <v>270</v>
      </c>
      <c r="J313" s="583">
        <v>0</v>
      </c>
      <c r="K313" s="583">
        <v>679</v>
      </c>
      <c r="L313" s="565">
        <f t="shared" si="12"/>
        <v>679</v>
      </c>
      <c r="M313" s="179">
        <v>45980</v>
      </c>
      <c r="N313" s="179">
        <v>45980</v>
      </c>
      <c r="O313" s="565">
        <v>679</v>
      </c>
      <c r="P313" s="565">
        <f t="shared" si="13"/>
        <v>0</v>
      </c>
      <c r="Q313" s="565"/>
      <c r="R313" s="565"/>
      <c r="S313" s="565"/>
      <c r="T313" s="565"/>
      <c r="U313" s="565"/>
      <c r="V313" s="565"/>
      <c r="W313" s="565"/>
      <c r="X313" s="565"/>
      <c r="Y313" t="str">
        <f t="shared" ca="1" si="14"/>
        <v>PAGO</v>
      </c>
      <c r="AA313" t="s">
        <v>399</v>
      </c>
    </row>
    <row r="314" spans="1:27" x14ac:dyDescent="0.3">
      <c r="A314" t="s">
        <v>222</v>
      </c>
      <c r="B314" s="562">
        <v>2025</v>
      </c>
      <c r="C314" t="s">
        <v>248</v>
      </c>
      <c r="D314">
        <v>20164</v>
      </c>
      <c r="E314">
        <v>2428</v>
      </c>
      <c r="F314" s="179">
        <v>45945</v>
      </c>
      <c r="G314" t="s">
        <v>236</v>
      </c>
      <c r="I314" t="s">
        <v>270</v>
      </c>
      <c r="J314" s="583">
        <v>0</v>
      </c>
      <c r="K314" s="583">
        <v>679</v>
      </c>
      <c r="L314" s="565">
        <f t="shared" si="12"/>
        <v>679</v>
      </c>
      <c r="M314" s="179">
        <v>45987</v>
      </c>
      <c r="N314" s="179">
        <v>45989</v>
      </c>
      <c r="O314" s="565">
        <v>679</v>
      </c>
      <c r="P314" s="565">
        <f t="shared" si="13"/>
        <v>0</v>
      </c>
      <c r="Q314" s="565"/>
      <c r="R314" s="565"/>
      <c r="S314" s="565"/>
      <c r="T314" s="565"/>
      <c r="U314" s="565"/>
      <c r="V314" s="565"/>
      <c r="W314" s="565"/>
      <c r="X314" s="565"/>
      <c r="Y314" t="str">
        <f t="shared" ca="1" si="14"/>
        <v>PAGO</v>
      </c>
      <c r="AA314" t="s">
        <v>399</v>
      </c>
    </row>
    <row r="315" spans="1:27" x14ac:dyDescent="0.3">
      <c r="A315" t="s">
        <v>222</v>
      </c>
      <c r="B315" s="562">
        <v>2025</v>
      </c>
      <c r="C315" t="s">
        <v>248</v>
      </c>
      <c r="D315">
        <v>388</v>
      </c>
      <c r="E315">
        <v>349</v>
      </c>
      <c r="F315" s="179">
        <v>45946</v>
      </c>
      <c r="G315" t="s">
        <v>263</v>
      </c>
      <c r="I315" t="s">
        <v>273</v>
      </c>
      <c r="J315" s="583">
        <v>1077.5999999999999</v>
      </c>
      <c r="K315" s="583">
        <v>0</v>
      </c>
      <c r="L315" s="565">
        <f t="shared" si="12"/>
        <v>1077.5999999999999</v>
      </c>
      <c r="M315" s="179">
        <v>45945</v>
      </c>
      <c r="N315" s="179">
        <v>45945</v>
      </c>
      <c r="O315" s="565">
        <v>1077.5999999999999</v>
      </c>
      <c r="P315" s="565">
        <f t="shared" si="13"/>
        <v>0</v>
      </c>
      <c r="Q315" s="565"/>
      <c r="R315" s="565"/>
      <c r="S315" s="565"/>
      <c r="T315" s="565"/>
      <c r="U315" s="565"/>
      <c r="V315" s="565"/>
      <c r="W315" s="565"/>
      <c r="X315" s="565"/>
      <c r="Y315" t="str">
        <f t="shared" ca="1" si="14"/>
        <v>PAGO</v>
      </c>
      <c r="AA315" t="s">
        <v>399</v>
      </c>
    </row>
    <row r="316" spans="1:27" x14ac:dyDescent="0.3">
      <c r="A316" t="s">
        <v>222</v>
      </c>
      <c r="B316" s="562">
        <v>2025</v>
      </c>
      <c r="C316" t="s">
        <v>248</v>
      </c>
      <c r="D316">
        <v>20244</v>
      </c>
      <c r="E316">
        <v>2515</v>
      </c>
      <c r="F316" s="179">
        <v>45950</v>
      </c>
      <c r="G316" t="s">
        <v>236</v>
      </c>
      <c r="I316" t="s">
        <v>270</v>
      </c>
      <c r="J316" s="583">
        <v>0</v>
      </c>
      <c r="K316" s="583">
        <v>908.07</v>
      </c>
      <c r="L316" s="565">
        <f t="shared" si="12"/>
        <v>908.07</v>
      </c>
      <c r="M316" s="179">
        <v>45978</v>
      </c>
      <c r="N316" s="179">
        <v>45978</v>
      </c>
      <c r="O316" s="565">
        <v>907.34</v>
      </c>
      <c r="P316" s="565">
        <f t="shared" si="13"/>
        <v>0.73000000000001819</v>
      </c>
      <c r="Q316" s="565"/>
      <c r="R316" s="565"/>
      <c r="S316" s="565"/>
      <c r="T316" s="565"/>
      <c r="U316" s="565"/>
      <c r="V316" s="565"/>
      <c r="W316" s="565"/>
      <c r="X316" s="565"/>
      <c r="Y316" t="str">
        <f t="shared" ca="1" si="14"/>
        <v>VENCIDO</v>
      </c>
      <c r="AA316" t="s">
        <v>399</v>
      </c>
    </row>
    <row r="317" spans="1:27" x14ac:dyDescent="0.3">
      <c r="A317" t="s">
        <v>222</v>
      </c>
      <c r="B317" s="562">
        <v>2025</v>
      </c>
      <c r="C317" t="s">
        <v>248</v>
      </c>
      <c r="D317">
        <v>20244</v>
      </c>
      <c r="E317">
        <v>2515</v>
      </c>
      <c r="F317" s="179">
        <v>45950</v>
      </c>
      <c r="G317" t="s">
        <v>236</v>
      </c>
      <c r="I317" t="s">
        <v>270</v>
      </c>
      <c r="J317" s="583">
        <v>0</v>
      </c>
      <c r="K317" s="583">
        <v>907</v>
      </c>
      <c r="L317" s="565">
        <f t="shared" si="12"/>
        <v>907</v>
      </c>
      <c r="M317" s="179">
        <v>45985</v>
      </c>
      <c r="N317" s="179">
        <v>45989</v>
      </c>
      <c r="O317" s="565">
        <v>907</v>
      </c>
      <c r="P317" s="565">
        <f t="shared" si="13"/>
        <v>0</v>
      </c>
      <c r="Q317" s="565"/>
      <c r="R317" s="565"/>
      <c r="S317" s="565"/>
      <c r="T317" s="565"/>
      <c r="U317" s="565"/>
      <c r="V317" s="565"/>
      <c r="W317" s="565"/>
      <c r="X317" s="565"/>
      <c r="Y317" t="str">
        <f t="shared" ca="1" si="14"/>
        <v>PAGO</v>
      </c>
      <c r="AA317" t="s">
        <v>399</v>
      </c>
    </row>
    <row r="318" spans="1:27" x14ac:dyDescent="0.3">
      <c r="A318" t="s">
        <v>222</v>
      </c>
      <c r="B318" s="562">
        <v>2025</v>
      </c>
      <c r="C318" t="s">
        <v>248</v>
      </c>
      <c r="D318">
        <v>20244</v>
      </c>
      <c r="E318">
        <v>2515</v>
      </c>
      <c r="F318" s="179">
        <v>45950</v>
      </c>
      <c r="G318" t="s">
        <v>236</v>
      </c>
      <c r="I318" t="s">
        <v>270</v>
      </c>
      <c r="J318" s="583">
        <v>0</v>
      </c>
      <c r="K318" s="583">
        <v>907</v>
      </c>
      <c r="L318" s="565">
        <f t="shared" si="12"/>
        <v>907</v>
      </c>
      <c r="M318" s="179">
        <v>45992</v>
      </c>
      <c r="N318" s="179">
        <v>45996</v>
      </c>
      <c r="O318" s="565">
        <v>907</v>
      </c>
      <c r="P318" s="565">
        <f t="shared" si="13"/>
        <v>0</v>
      </c>
      <c r="Q318" s="565"/>
      <c r="R318" s="565"/>
      <c r="S318" s="565"/>
      <c r="T318" s="565"/>
      <c r="U318" s="565"/>
      <c r="V318" s="565"/>
      <c r="W318" s="565"/>
      <c r="X318" s="565"/>
      <c r="Y318" t="str">
        <f t="shared" ca="1" si="14"/>
        <v>PAGO</v>
      </c>
      <c r="AA318" t="s">
        <v>399</v>
      </c>
    </row>
    <row r="319" spans="1:27" x14ac:dyDescent="0.3">
      <c r="A319" t="s">
        <v>222</v>
      </c>
      <c r="B319" s="562">
        <v>2025</v>
      </c>
      <c r="C319" t="s">
        <v>248</v>
      </c>
      <c r="D319">
        <v>20245</v>
      </c>
      <c r="E319">
        <v>2516</v>
      </c>
      <c r="F319" s="179">
        <v>45950</v>
      </c>
      <c r="G319" t="s">
        <v>236</v>
      </c>
      <c r="I319" t="s">
        <v>270</v>
      </c>
      <c r="J319" s="583">
        <v>0</v>
      </c>
      <c r="K319" s="583">
        <v>591.30999999999995</v>
      </c>
      <c r="L319" s="565">
        <f t="shared" si="12"/>
        <v>591.30999999999995</v>
      </c>
      <c r="M319" s="179">
        <v>45978</v>
      </c>
      <c r="N319" s="179">
        <v>45978</v>
      </c>
      <c r="O319" s="565">
        <v>591.1</v>
      </c>
      <c r="P319" s="565">
        <f t="shared" si="13"/>
        <v>0.20999999999992269</v>
      </c>
      <c r="Q319" s="565"/>
      <c r="R319" s="565"/>
      <c r="S319" s="565"/>
      <c r="T319" s="565"/>
      <c r="U319" s="565"/>
      <c r="V319" s="565"/>
      <c r="W319" s="565"/>
      <c r="X319" s="565"/>
      <c r="Y319" t="str">
        <f t="shared" ca="1" si="14"/>
        <v>VENCIDO</v>
      </c>
      <c r="AA319" t="s">
        <v>399</v>
      </c>
    </row>
    <row r="320" spans="1:27" x14ac:dyDescent="0.3">
      <c r="A320" t="s">
        <v>222</v>
      </c>
      <c r="B320" s="562">
        <v>2025</v>
      </c>
      <c r="C320" t="s">
        <v>248</v>
      </c>
      <c r="D320">
        <v>20245</v>
      </c>
      <c r="E320">
        <v>2516</v>
      </c>
      <c r="F320" s="179">
        <v>45950</v>
      </c>
      <c r="G320" t="s">
        <v>236</v>
      </c>
      <c r="I320" t="s">
        <v>270</v>
      </c>
      <c r="J320" s="583">
        <v>0</v>
      </c>
      <c r="K320" s="583">
        <v>591</v>
      </c>
      <c r="L320" s="565">
        <f t="shared" si="12"/>
        <v>591</v>
      </c>
      <c r="M320" s="179">
        <v>45985</v>
      </c>
      <c r="N320" s="179">
        <v>45989</v>
      </c>
      <c r="O320" s="565">
        <v>591</v>
      </c>
      <c r="P320" s="565">
        <f t="shared" si="13"/>
        <v>0</v>
      </c>
      <c r="Q320" s="565"/>
      <c r="R320" s="565"/>
      <c r="S320" s="565"/>
      <c r="T320" s="565"/>
      <c r="U320" s="565"/>
      <c r="V320" s="565"/>
      <c r="W320" s="565"/>
      <c r="X320" s="565"/>
      <c r="Y320" t="str">
        <f t="shared" ca="1" si="14"/>
        <v>PAGO</v>
      </c>
      <c r="AA320" t="s">
        <v>399</v>
      </c>
    </row>
    <row r="321" spans="1:27" x14ac:dyDescent="0.3">
      <c r="A321" t="s">
        <v>222</v>
      </c>
      <c r="B321" s="562">
        <v>2025</v>
      </c>
      <c r="C321" t="s">
        <v>248</v>
      </c>
      <c r="D321">
        <v>20245</v>
      </c>
      <c r="E321">
        <v>2516</v>
      </c>
      <c r="F321" s="179">
        <v>45950</v>
      </c>
      <c r="G321" t="s">
        <v>236</v>
      </c>
      <c r="I321" t="s">
        <v>270</v>
      </c>
      <c r="J321" s="583">
        <v>0</v>
      </c>
      <c r="K321" s="583">
        <v>591</v>
      </c>
      <c r="L321" s="565">
        <f t="shared" si="12"/>
        <v>591</v>
      </c>
      <c r="M321" s="179">
        <v>45992</v>
      </c>
      <c r="N321" s="179">
        <v>45996</v>
      </c>
      <c r="O321" s="565">
        <v>591</v>
      </c>
      <c r="P321" s="565">
        <f t="shared" si="13"/>
        <v>0</v>
      </c>
      <c r="Q321" s="565"/>
      <c r="R321" s="565"/>
      <c r="S321" s="565"/>
      <c r="T321" s="565"/>
      <c r="U321" s="565"/>
      <c r="V321" s="565"/>
      <c r="W321" s="565"/>
      <c r="X321" s="565"/>
      <c r="Y321" t="str">
        <f t="shared" ca="1" si="14"/>
        <v>PAGO</v>
      </c>
      <c r="AA321" t="s">
        <v>399</v>
      </c>
    </row>
    <row r="322" spans="1:27" x14ac:dyDescent="0.3">
      <c r="A322" t="s">
        <v>222</v>
      </c>
      <c r="B322" s="562">
        <v>2025</v>
      </c>
      <c r="C322" t="s">
        <v>248</v>
      </c>
      <c r="D322">
        <v>20301</v>
      </c>
      <c r="E322">
        <v>2392</v>
      </c>
      <c r="F322" s="179">
        <v>45953</v>
      </c>
      <c r="G322" t="s">
        <v>237</v>
      </c>
      <c r="I322" t="s">
        <v>270</v>
      </c>
      <c r="J322" s="583">
        <v>0</v>
      </c>
      <c r="K322" s="583">
        <v>1336.68</v>
      </c>
      <c r="L322" s="565">
        <f t="shared" si="12"/>
        <v>1336.68</v>
      </c>
      <c r="M322" s="179">
        <v>45988</v>
      </c>
      <c r="N322" s="179">
        <v>45994</v>
      </c>
      <c r="O322" s="565">
        <v>1336.68</v>
      </c>
      <c r="P322" s="565">
        <f t="shared" si="13"/>
        <v>0</v>
      </c>
      <c r="Q322" s="565"/>
      <c r="R322" s="565"/>
      <c r="S322" s="565"/>
      <c r="T322" s="565"/>
      <c r="U322" s="565"/>
      <c r="V322" s="565"/>
      <c r="W322" s="565"/>
      <c r="X322" s="565"/>
      <c r="Y322" t="str">
        <f t="shared" ca="1" si="14"/>
        <v>PAGO</v>
      </c>
      <c r="AA322" t="s">
        <v>399</v>
      </c>
    </row>
    <row r="323" spans="1:27" x14ac:dyDescent="0.3">
      <c r="A323" t="s">
        <v>222</v>
      </c>
      <c r="B323" s="562">
        <v>2025</v>
      </c>
      <c r="C323" t="s">
        <v>248</v>
      </c>
      <c r="D323">
        <v>20332</v>
      </c>
      <c r="E323">
        <v>2619</v>
      </c>
      <c r="F323" s="179">
        <v>45952</v>
      </c>
      <c r="G323" t="s">
        <v>264</v>
      </c>
      <c r="I323" t="s">
        <v>271</v>
      </c>
      <c r="J323" s="583">
        <v>3900</v>
      </c>
      <c r="K323" s="583">
        <v>0</v>
      </c>
      <c r="L323" s="565">
        <f t="shared" ref="L323:L386" si="15">J323+K323</f>
        <v>3900</v>
      </c>
      <c r="M323" s="179">
        <v>45952</v>
      </c>
      <c r="N323" s="179">
        <v>45952</v>
      </c>
      <c r="O323" s="565">
        <v>3900</v>
      </c>
      <c r="P323" s="565">
        <f t="shared" ref="P323:P386" si="16">L323-O323</f>
        <v>0</v>
      </c>
      <c r="Q323" s="565"/>
      <c r="R323" s="565"/>
      <c r="S323" s="565"/>
      <c r="T323" s="565"/>
      <c r="U323" s="565"/>
      <c r="V323" s="565"/>
      <c r="W323" s="565"/>
      <c r="X323" s="565"/>
      <c r="Y323" t="str">
        <f t="shared" ref="Y323:Y386" ca="1" si="17">IF(L323=0,"SEM VALOR",IF(P323&lt;=0.01,"PAGO",IF(M323="","SEM VENCIMENTO",IF(M323&lt;TODAY(),"VENCIDO","A VENCER"))))</f>
        <v>PAGO</v>
      </c>
      <c r="AA323" t="s">
        <v>399</v>
      </c>
    </row>
    <row r="324" spans="1:27" x14ac:dyDescent="0.3">
      <c r="A324" t="s">
        <v>222</v>
      </c>
      <c r="B324" s="562">
        <v>2025</v>
      </c>
      <c r="C324" t="s">
        <v>248</v>
      </c>
      <c r="D324">
        <v>20347</v>
      </c>
      <c r="E324">
        <v>2585</v>
      </c>
      <c r="F324" s="179">
        <v>45954</v>
      </c>
      <c r="G324" t="s">
        <v>236</v>
      </c>
      <c r="I324" t="s">
        <v>270</v>
      </c>
      <c r="J324" s="583">
        <v>0</v>
      </c>
      <c r="K324" s="583">
        <v>1324.27</v>
      </c>
      <c r="L324" s="565">
        <f t="shared" si="15"/>
        <v>1324.27</v>
      </c>
      <c r="M324" s="179">
        <v>45982</v>
      </c>
      <c r="N324" s="179">
        <v>45980</v>
      </c>
      <c r="O324" s="565">
        <v>1323.42</v>
      </c>
      <c r="P324" s="565">
        <f t="shared" si="16"/>
        <v>0.84999999999990905</v>
      </c>
      <c r="Q324" s="565"/>
      <c r="R324" s="565"/>
      <c r="S324" s="565"/>
      <c r="T324" s="565"/>
      <c r="U324" s="565"/>
      <c r="V324" s="565"/>
      <c r="W324" s="565"/>
      <c r="X324" s="565"/>
      <c r="Y324" t="str">
        <f t="shared" ca="1" si="17"/>
        <v>VENCIDO</v>
      </c>
      <c r="AA324" t="s">
        <v>399</v>
      </c>
    </row>
    <row r="325" spans="1:27" x14ac:dyDescent="0.3">
      <c r="A325" t="s">
        <v>222</v>
      </c>
      <c r="B325" s="562">
        <v>2025</v>
      </c>
      <c r="C325" t="s">
        <v>248</v>
      </c>
      <c r="D325">
        <v>20347</v>
      </c>
      <c r="E325">
        <v>2585</v>
      </c>
      <c r="F325" s="179">
        <v>45954</v>
      </c>
      <c r="G325" t="s">
        <v>236</v>
      </c>
      <c r="I325" t="s">
        <v>270</v>
      </c>
      <c r="J325" s="583">
        <v>0</v>
      </c>
      <c r="K325" s="583">
        <v>1323</v>
      </c>
      <c r="L325" s="565">
        <f t="shared" si="15"/>
        <v>1323</v>
      </c>
      <c r="M325" s="179">
        <v>45989</v>
      </c>
      <c r="N325" s="179">
        <v>45989</v>
      </c>
      <c r="O325" s="565">
        <v>1323</v>
      </c>
      <c r="P325" s="565">
        <f t="shared" si="16"/>
        <v>0</v>
      </c>
      <c r="Q325" s="565"/>
      <c r="R325" s="565"/>
      <c r="S325" s="565"/>
      <c r="T325" s="565"/>
      <c r="U325" s="565"/>
      <c r="V325" s="565"/>
      <c r="W325" s="565"/>
      <c r="X325" s="565"/>
      <c r="Y325" t="str">
        <f t="shared" ca="1" si="17"/>
        <v>PAGO</v>
      </c>
      <c r="AA325" t="s">
        <v>399</v>
      </c>
    </row>
    <row r="326" spans="1:27" x14ac:dyDescent="0.3">
      <c r="A326" t="s">
        <v>222</v>
      </c>
      <c r="B326" s="562">
        <v>2025</v>
      </c>
      <c r="C326" t="s">
        <v>248</v>
      </c>
      <c r="D326">
        <v>20347</v>
      </c>
      <c r="E326">
        <v>2585</v>
      </c>
      <c r="F326" s="179">
        <v>45954</v>
      </c>
      <c r="G326" t="s">
        <v>236</v>
      </c>
      <c r="I326" t="s">
        <v>270</v>
      </c>
      <c r="J326" s="583">
        <v>0</v>
      </c>
      <c r="K326" s="583">
        <v>1323</v>
      </c>
      <c r="L326" s="565">
        <f t="shared" si="15"/>
        <v>1323</v>
      </c>
      <c r="M326" s="179">
        <v>45996</v>
      </c>
      <c r="N326" s="179">
        <v>45996</v>
      </c>
      <c r="O326" s="565">
        <v>1323</v>
      </c>
      <c r="P326" s="565">
        <f t="shared" si="16"/>
        <v>0</v>
      </c>
      <c r="Q326" s="565"/>
      <c r="R326" s="565"/>
      <c r="S326" s="565"/>
      <c r="T326" s="565"/>
      <c r="U326" s="565"/>
      <c r="V326" s="565"/>
      <c r="W326" s="565"/>
      <c r="X326" s="565"/>
      <c r="Y326" t="str">
        <f t="shared" ca="1" si="17"/>
        <v>PAGO</v>
      </c>
      <c r="AA326" t="s">
        <v>399</v>
      </c>
    </row>
    <row r="327" spans="1:27" x14ac:dyDescent="0.3">
      <c r="A327" t="s">
        <v>222</v>
      </c>
      <c r="B327" s="562">
        <v>2025</v>
      </c>
      <c r="C327" t="s">
        <v>248</v>
      </c>
      <c r="D327">
        <v>20389</v>
      </c>
      <c r="E327">
        <v>2642</v>
      </c>
      <c r="F327" s="179">
        <v>45958</v>
      </c>
      <c r="G327" t="s">
        <v>236</v>
      </c>
      <c r="I327" t="s">
        <v>270</v>
      </c>
      <c r="J327" s="583">
        <v>0</v>
      </c>
      <c r="K327" s="583">
        <v>453.85</v>
      </c>
      <c r="L327" s="565">
        <f t="shared" si="15"/>
        <v>453.85</v>
      </c>
      <c r="M327" s="179">
        <v>45986</v>
      </c>
      <c r="N327" s="179">
        <v>45989</v>
      </c>
      <c r="O327" s="565">
        <v>451.95</v>
      </c>
      <c r="P327" s="565">
        <f t="shared" si="16"/>
        <v>1.9000000000000341</v>
      </c>
      <c r="Q327" s="565"/>
      <c r="R327" s="565"/>
      <c r="S327" s="565"/>
      <c r="T327" s="565"/>
      <c r="U327" s="565"/>
      <c r="V327" s="565"/>
      <c r="W327" s="565"/>
      <c r="X327" s="565"/>
      <c r="Y327" t="str">
        <f t="shared" ca="1" si="17"/>
        <v>VENCIDO</v>
      </c>
      <c r="AA327" t="s">
        <v>399</v>
      </c>
    </row>
    <row r="328" spans="1:27" x14ac:dyDescent="0.3">
      <c r="A328" t="s">
        <v>222</v>
      </c>
      <c r="B328" s="562">
        <v>2025</v>
      </c>
      <c r="C328" t="s">
        <v>248</v>
      </c>
      <c r="D328">
        <v>20389</v>
      </c>
      <c r="E328">
        <v>2642</v>
      </c>
      <c r="F328" s="179">
        <v>45958</v>
      </c>
      <c r="G328" t="s">
        <v>236</v>
      </c>
      <c r="I328" t="s">
        <v>270</v>
      </c>
      <c r="J328" s="583">
        <v>0</v>
      </c>
      <c r="K328" s="583">
        <v>451</v>
      </c>
      <c r="L328" s="565">
        <f t="shared" si="15"/>
        <v>451</v>
      </c>
      <c r="M328" s="179">
        <v>45993</v>
      </c>
      <c r="N328" s="179">
        <v>45996</v>
      </c>
      <c r="O328" s="565">
        <v>451</v>
      </c>
      <c r="P328" s="565">
        <f t="shared" si="16"/>
        <v>0</v>
      </c>
      <c r="Q328" s="565"/>
      <c r="R328" s="565"/>
      <c r="S328" s="565"/>
      <c r="T328" s="565"/>
      <c r="U328" s="565"/>
      <c r="V328" s="565"/>
      <c r="W328" s="565"/>
      <c r="X328" s="565"/>
      <c r="Y328" t="str">
        <f t="shared" ca="1" si="17"/>
        <v>PAGO</v>
      </c>
      <c r="AA328" t="s">
        <v>399</v>
      </c>
    </row>
    <row r="329" spans="1:27" x14ac:dyDescent="0.3">
      <c r="A329" t="s">
        <v>222</v>
      </c>
      <c r="B329" s="562">
        <v>2025</v>
      </c>
      <c r="C329" t="s">
        <v>248</v>
      </c>
      <c r="D329">
        <v>20389</v>
      </c>
      <c r="E329">
        <v>2642</v>
      </c>
      <c r="F329" s="179">
        <v>45958</v>
      </c>
      <c r="G329" t="s">
        <v>236</v>
      </c>
      <c r="I329" t="s">
        <v>270</v>
      </c>
      <c r="J329" s="583">
        <v>0</v>
      </c>
      <c r="K329" s="583">
        <v>451</v>
      </c>
      <c r="L329" s="565">
        <f t="shared" si="15"/>
        <v>451</v>
      </c>
      <c r="M329" s="179">
        <v>46000</v>
      </c>
      <c r="N329" s="179">
        <v>46003</v>
      </c>
      <c r="O329" s="565">
        <v>451</v>
      </c>
      <c r="P329" s="565">
        <f t="shared" si="16"/>
        <v>0</v>
      </c>
      <c r="Q329" s="565"/>
      <c r="R329" s="565"/>
      <c r="S329" s="565"/>
      <c r="T329" s="565"/>
      <c r="U329" s="565"/>
      <c r="V329" s="565"/>
      <c r="W329" s="565"/>
      <c r="X329" s="565"/>
      <c r="Y329" t="str">
        <f t="shared" ca="1" si="17"/>
        <v>PAGO</v>
      </c>
      <c r="AA329" t="s">
        <v>399</v>
      </c>
    </row>
    <row r="330" spans="1:27" x14ac:dyDescent="0.3">
      <c r="A330" t="s">
        <v>222</v>
      </c>
      <c r="B330" s="562">
        <v>2025</v>
      </c>
      <c r="C330" t="s">
        <v>248</v>
      </c>
      <c r="D330">
        <v>20394</v>
      </c>
      <c r="E330">
        <v>2656</v>
      </c>
      <c r="F330" s="179">
        <v>45954</v>
      </c>
      <c r="G330" t="s">
        <v>254</v>
      </c>
      <c r="I330" t="s">
        <v>271</v>
      </c>
      <c r="J330" s="583">
        <v>3600</v>
      </c>
      <c r="K330" s="583">
        <v>0</v>
      </c>
      <c r="L330" s="565">
        <f t="shared" si="15"/>
        <v>3600</v>
      </c>
      <c r="M330" s="179">
        <v>45955</v>
      </c>
      <c r="N330" s="179">
        <v>45955</v>
      </c>
      <c r="O330" s="565">
        <v>3600</v>
      </c>
      <c r="P330" s="565">
        <f t="shared" si="16"/>
        <v>0</v>
      </c>
      <c r="Q330" s="565"/>
      <c r="R330" s="565"/>
      <c r="S330" s="565"/>
      <c r="T330" s="565"/>
      <c r="U330" s="565"/>
      <c r="V330" s="565"/>
      <c r="W330" s="565"/>
      <c r="X330" s="565"/>
      <c r="Y330" t="str">
        <f t="shared" ca="1" si="17"/>
        <v>PAGO</v>
      </c>
      <c r="AA330" t="s">
        <v>399</v>
      </c>
    </row>
    <row r="331" spans="1:27" x14ac:dyDescent="0.3">
      <c r="A331" t="s">
        <v>222</v>
      </c>
      <c r="B331" s="562">
        <v>2025</v>
      </c>
      <c r="C331" t="s">
        <v>248</v>
      </c>
      <c r="D331">
        <v>20401</v>
      </c>
      <c r="E331">
        <v>2667</v>
      </c>
      <c r="F331" s="179">
        <v>45957</v>
      </c>
      <c r="G331" t="s">
        <v>265</v>
      </c>
      <c r="I331" t="s">
        <v>271</v>
      </c>
      <c r="J331" s="583">
        <v>4087.2</v>
      </c>
      <c r="K331" s="583">
        <v>0</v>
      </c>
      <c r="L331" s="565">
        <f t="shared" si="15"/>
        <v>4087.2</v>
      </c>
      <c r="M331" s="179">
        <v>45958</v>
      </c>
      <c r="N331" s="179">
        <v>45958</v>
      </c>
      <c r="O331" s="565">
        <v>4087.2</v>
      </c>
      <c r="P331" s="565">
        <f t="shared" si="16"/>
        <v>0</v>
      </c>
      <c r="Q331" s="565"/>
      <c r="R331" s="565"/>
      <c r="S331" s="565"/>
      <c r="T331" s="565"/>
      <c r="U331" s="565"/>
      <c r="V331" s="565"/>
      <c r="W331" s="565"/>
      <c r="X331" s="565"/>
      <c r="Y331" t="str">
        <f t="shared" ca="1" si="17"/>
        <v>PAGO</v>
      </c>
      <c r="AA331" t="s">
        <v>399</v>
      </c>
    </row>
    <row r="332" spans="1:27" x14ac:dyDescent="0.3">
      <c r="A332" t="s">
        <v>222</v>
      </c>
      <c r="B332" s="562">
        <v>2025</v>
      </c>
      <c r="C332" t="s">
        <v>248</v>
      </c>
      <c r="D332">
        <v>20421</v>
      </c>
      <c r="E332">
        <v>2724</v>
      </c>
      <c r="F332" s="179">
        <v>45960</v>
      </c>
      <c r="G332" t="s">
        <v>236</v>
      </c>
      <c r="I332" t="s">
        <v>270</v>
      </c>
      <c r="J332" s="583">
        <v>17233.333333333299</v>
      </c>
      <c r="K332" s="583">
        <v>0</v>
      </c>
      <c r="L332" s="565">
        <f t="shared" si="15"/>
        <v>17233.333333333299</v>
      </c>
      <c r="M332" s="179">
        <v>45988</v>
      </c>
      <c r="N332" s="179">
        <v>45989</v>
      </c>
      <c r="O332" s="565">
        <v>17233.330000000002</v>
      </c>
      <c r="P332" s="565">
        <f t="shared" si="16"/>
        <v>3.3333332976326346E-3</v>
      </c>
      <c r="Q332" s="565"/>
      <c r="R332" s="565"/>
      <c r="S332" s="565"/>
      <c r="T332" s="565"/>
      <c r="U332" s="565"/>
      <c r="V332" s="565"/>
      <c r="W332" s="565"/>
      <c r="X332" s="565"/>
      <c r="Y332" t="str">
        <f t="shared" ca="1" si="17"/>
        <v>PAGO</v>
      </c>
      <c r="AA332" t="s">
        <v>399</v>
      </c>
    </row>
    <row r="333" spans="1:27" x14ac:dyDescent="0.3">
      <c r="A333" t="s">
        <v>222</v>
      </c>
      <c r="B333" s="562">
        <v>2025</v>
      </c>
      <c r="C333" t="s">
        <v>248</v>
      </c>
      <c r="D333">
        <v>20421</v>
      </c>
      <c r="E333">
        <v>2724</v>
      </c>
      <c r="F333" s="179">
        <v>45960</v>
      </c>
      <c r="G333" t="s">
        <v>236</v>
      </c>
      <c r="I333" t="s">
        <v>270</v>
      </c>
      <c r="J333" s="583">
        <v>17233.333333333299</v>
      </c>
      <c r="K333" s="583">
        <v>0</v>
      </c>
      <c r="L333" s="565">
        <f t="shared" si="15"/>
        <v>17233.333333333299</v>
      </c>
      <c r="M333" s="179">
        <v>45995</v>
      </c>
      <c r="N333" s="179">
        <v>45996</v>
      </c>
      <c r="O333" s="565">
        <v>17233.330000000002</v>
      </c>
      <c r="P333" s="565">
        <f t="shared" si="16"/>
        <v>3.3333332976326346E-3</v>
      </c>
      <c r="Q333" s="565"/>
      <c r="R333" s="565"/>
      <c r="S333" s="565"/>
      <c r="T333" s="565"/>
      <c r="U333" s="565"/>
      <c r="V333" s="565"/>
      <c r="W333" s="565"/>
      <c r="X333" s="565"/>
      <c r="Y333" t="str">
        <f t="shared" ca="1" si="17"/>
        <v>PAGO</v>
      </c>
      <c r="AA333" t="s">
        <v>399</v>
      </c>
    </row>
    <row r="334" spans="1:27" x14ac:dyDescent="0.3">
      <c r="A334" t="s">
        <v>222</v>
      </c>
      <c r="B334" s="562">
        <v>2025</v>
      </c>
      <c r="C334" t="s">
        <v>248</v>
      </c>
      <c r="D334">
        <v>20421</v>
      </c>
      <c r="E334">
        <v>2724</v>
      </c>
      <c r="F334" s="179">
        <v>45960</v>
      </c>
      <c r="G334" t="s">
        <v>236</v>
      </c>
      <c r="I334" t="s">
        <v>270</v>
      </c>
      <c r="J334" s="583">
        <v>17233.333333333299</v>
      </c>
      <c r="K334" s="583">
        <v>0</v>
      </c>
      <c r="L334" s="565">
        <f t="shared" si="15"/>
        <v>17233.333333333299</v>
      </c>
      <c r="M334" s="179">
        <v>46002</v>
      </c>
      <c r="N334" s="179">
        <v>46003</v>
      </c>
      <c r="O334" s="565">
        <v>17233.333333333299</v>
      </c>
      <c r="P334" s="565">
        <f t="shared" si="16"/>
        <v>0</v>
      </c>
      <c r="Q334" s="565"/>
      <c r="R334" s="565"/>
      <c r="S334" s="565"/>
      <c r="T334" s="565"/>
      <c r="U334" s="565"/>
      <c r="V334" s="565"/>
      <c r="W334" s="565"/>
      <c r="X334" s="565"/>
      <c r="Y334" t="str">
        <f t="shared" ca="1" si="17"/>
        <v>PAGO</v>
      </c>
      <c r="AA334" t="s">
        <v>399</v>
      </c>
    </row>
    <row r="335" spans="1:27" x14ac:dyDescent="0.3">
      <c r="A335" t="s">
        <v>222</v>
      </c>
      <c r="B335" s="562">
        <v>2025</v>
      </c>
      <c r="C335" t="s">
        <v>248</v>
      </c>
      <c r="D335">
        <v>20451</v>
      </c>
      <c r="E335">
        <v>2699</v>
      </c>
      <c r="F335" s="179">
        <v>45961</v>
      </c>
      <c r="G335" t="s">
        <v>236</v>
      </c>
      <c r="I335" t="s">
        <v>270</v>
      </c>
      <c r="J335" s="583">
        <v>0</v>
      </c>
      <c r="K335" s="583">
        <v>3173.53</v>
      </c>
      <c r="L335" s="565">
        <f t="shared" si="15"/>
        <v>3173.53</v>
      </c>
      <c r="M335" s="179">
        <v>45989</v>
      </c>
      <c r="N335" s="179">
        <v>45989</v>
      </c>
      <c r="O335" s="565">
        <v>3172.5</v>
      </c>
      <c r="P335" s="565">
        <f t="shared" si="16"/>
        <v>1.0300000000002001</v>
      </c>
      <c r="Q335" s="565"/>
      <c r="R335" s="565"/>
      <c r="S335" s="565"/>
      <c r="T335" s="565"/>
      <c r="U335" s="565"/>
      <c r="V335" s="565"/>
      <c r="W335" s="565"/>
      <c r="X335" s="565"/>
      <c r="Y335" t="str">
        <f t="shared" ca="1" si="17"/>
        <v>VENCIDO</v>
      </c>
      <c r="AA335" t="s">
        <v>399</v>
      </c>
    </row>
    <row r="336" spans="1:27" x14ac:dyDescent="0.3">
      <c r="A336" t="s">
        <v>222</v>
      </c>
      <c r="B336" s="562">
        <v>2025</v>
      </c>
      <c r="C336" t="s">
        <v>248</v>
      </c>
      <c r="D336">
        <v>20451</v>
      </c>
      <c r="E336">
        <v>2699</v>
      </c>
      <c r="F336" s="179">
        <v>45961</v>
      </c>
      <c r="G336" t="s">
        <v>236</v>
      </c>
      <c r="I336" t="s">
        <v>270</v>
      </c>
      <c r="J336" s="583">
        <v>0</v>
      </c>
      <c r="K336" s="583">
        <v>3172</v>
      </c>
      <c r="L336" s="565">
        <f t="shared" si="15"/>
        <v>3172</v>
      </c>
      <c r="M336" s="179">
        <v>45996</v>
      </c>
      <c r="N336" s="179">
        <v>45996</v>
      </c>
      <c r="O336" s="565">
        <v>3172</v>
      </c>
      <c r="P336" s="565">
        <f t="shared" si="16"/>
        <v>0</v>
      </c>
      <c r="Q336" s="565"/>
      <c r="R336" s="565"/>
      <c r="S336" s="565"/>
      <c r="T336" s="565"/>
      <c r="U336" s="565"/>
      <c r="V336" s="565"/>
      <c r="W336" s="565"/>
      <c r="X336" s="565"/>
      <c r="Y336" t="str">
        <f t="shared" ca="1" si="17"/>
        <v>PAGO</v>
      </c>
      <c r="AA336" t="s">
        <v>399</v>
      </c>
    </row>
    <row r="337" spans="1:27" x14ac:dyDescent="0.3">
      <c r="A337" t="s">
        <v>222</v>
      </c>
      <c r="B337" s="562">
        <v>2025</v>
      </c>
      <c r="C337" t="s">
        <v>248</v>
      </c>
      <c r="D337">
        <v>20451</v>
      </c>
      <c r="E337">
        <v>2699</v>
      </c>
      <c r="F337" s="179">
        <v>45961</v>
      </c>
      <c r="G337" t="s">
        <v>236</v>
      </c>
      <c r="I337" t="s">
        <v>270</v>
      </c>
      <c r="J337" s="583">
        <v>0</v>
      </c>
      <c r="K337" s="583">
        <v>3172</v>
      </c>
      <c r="L337" s="565">
        <f t="shared" si="15"/>
        <v>3172</v>
      </c>
      <c r="M337" s="179">
        <v>46003</v>
      </c>
      <c r="N337" s="179">
        <v>46003</v>
      </c>
      <c r="O337" s="565">
        <v>3172</v>
      </c>
      <c r="P337" s="565">
        <f t="shared" si="16"/>
        <v>0</v>
      </c>
      <c r="Q337" s="565"/>
      <c r="R337" s="565"/>
      <c r="S337" s="565"/>
      <c r="T337" s="565"/>
      <c r="U337" s="565"/>
      <c r="V337" s="565"/>
      <c r="W337" s="565"/>
      <c r="X337" s="565"/>
      <c r="Y337" t="str">
        <f t="shared" ca="1" si="17"/>
        <v>PAGO</v>
      </c>
      <c r="AA337" t="s">
        <v>399</v>
      </c>
    </row>
    <row r="338" spans="1:27" x14ac:dyDescent="0.3">
      <c r="A338" t="s">
        <v>212</v>
      </c>
      <c r="B338" s="562">
        <v>2025</v>
      </c>
      <c r="C338" t="s">
        <v>249</v>
      </c>
      <c r="D338">
        <v>448</v>
      </c>
      <c r="E338">
        <v>408</v>
      </c>
      <c r="F338" s="179">
        <v>45971</v>
      </c>
      <c r="G338" t="s">
        <v>253</v>
      </c>
      <c r="I338" t="s">
        <v>271</v>
      </c>
      <c r="J338" s="583">
        <v>3000</v>
      </c>
      <c r="K338" s="583">
        <v>0</v>
      </c>
      <c r="L338" s="565">
        <f t="shared" si="15"/>
        <v>3000</v>
      </c>
      <c r="M338" s="179">
        <v>45971</v>
      </c>
      <c r="N338" s="179">
        <v>45967</v>
      </c>
      <c r="O338" s="565">
        <v>3000</v>
      </c>
      <c r="P338" s="565">
        <f t="shared" si="16"/>
        <v>0</v>
      </c>
      <c r="Q338" s="565"/>
      <c r="R338" s="565"/>
      <c r="S338" s="565"/>
      <c r="T338" s="565"/>
      <c r="U338" s="565"/>
      <c r="V338" s="565"/>
      <c r="W338" s="565"/>
      <c r="X338" s="565"/>
      <c r="Y338" t="str">
        <f t="shared" ca="1" si="17"/>
        <v>PAGO</v>
      </c>
      <c r="AA338" t="s">
        <v>400</v>
      </c>
    </row>
    <row r="339" spans="1:27" x14ac:dyDescent="0.3">
      <c r="A339" t="s">
        <v>212</v>
      </c>
      <c r="B339" s="562">
        <v>2025</v>
      </c>
      <c r="C339" t="s">
        <v>249</v>
      </c>
      <c r="D339">
        <v>458</v>
      </c>
      <c r="E339">
        <v>409</v>
      </c>
      <c r="F339" s="179">
        <v>45974</v>
      </c>
      <c r="G339" t="s">
        <v>254</v>
      </c>
      <c r="I339" t="s">
        <v>271</v>
      </c>
      <c r="J339" s="583">
        <v>4500</v>
      </c>
      <c r="K339" s="583">
        <v>0</v>
      </c>
      <c r="L339" s="565">
        <f t="shared" si="15"/>
        <v>4500</v>
      </c>
      <c r="M339" s="179">
        <v>45974</v>
      </c>
      <c r="N339" s="179">
        <v>45973</v>
      </c>
      <c r="O339" s="565">
        <v>4500</v>
      </c>
      <c r="P339" s="565">
        <f t="shared" si="16"/>
        <v>0</v>
      </c>
      <c r="Q339" s="565"/>
      <c r="R339" s="565"/>
      <c r="S339" s="565"/>
      <c r="T339" s="565"/>
      <c r="U339" s="565"/>
      <c r="V339" s="565"/>
      <c r="W339" s="565"/>
      <c r="X339" s="565"/>
      <c r="Y339" t="str">
        <f t="shared" ca="1" si="17"/>
        <v>PAGO</v>
      </c>
      <c r="AA339" t="s">
        <v>400</v>
      </c>
    </row>
    <row r="340" spans="1:27" x14ac:dyDescent="0.3">
      <c r="A340" t="s">
        <v>212</v>
      </c>
      <c r="B340" s="562">
        <v>2025</v>
      </c>
      <c r="C340" t="s">
        <v>248</v>
      </c>
      <c r="D340">
        <v>20590</v>
      </c>
      <c r="E340">
        <v>2783</v>
      </c>
      <c r="F340" s="179">
        <v>45971</v>
      </c>
      <c r="G340" t="s">
        <v>236</v>
      </c>
      <c r="I340" t="s">
        <v>270</v>
      </c>
      <c r="J340" s="583">
        <v>0</v>
      </c>
      <c r="K340" s="583">
        <v>522.59</v>
      </c>
      <c r="L340" s="565">
        <f t="shared" si="15"/>
        <v>522.59</v>
      </c>
      <c r="M340" s="179">
        <v>45999</v>
      </c>
      <c r="N340" s="179">
        <v>46003</v>
      </c>
      <c r="O340" s="565">
        <v>521.52</v>
      </c>
      <c r="P340" s="565">
        <f t="shared" si="16"/>
        <v>1.07000000000005</v>
      </c>
      <c r="Q340" s="565"/>
      <c r="R340" s="565"/>
      <c r="S340" s="565"/>
      <c r="T340" s="565"/>
      <c r="U340" s="565"/>
      <c r="V340" s="565"/>
      <c r="W340" s="565"/>
      <c r="X340" s="565"/>
      <c r="Y340" t="str">
        <f t="shared" ca="1" si="17"/>
        <v>VENCIDO</v>
      </c>
      <c r="AA340" t="s">
        <v>400</v>
      </c>
    </row>
    <row r="341" spans="1:27" x14ac:dyDescent="0.3">
      <c r="A341" t="s">
        <v>212</v>
      </c>
      <c r="B341" s="562">
        <v>2025</v>
      </c>
      <c r="C341" t="s">
        <v>248</v>
      </c>
      <c r="D341">
        <v>20590</v>
      </c>
      <c r="E341">
        <v>2783</v>
      </c>
      <c r="F341" s="179">
        <v>45971</v>
      </c>
      <c r="G341" t="s">
        <v>236</v>
      </c>
      <c r="I341" t="s">
        <v>270</v>
      </c>
      <c r="J341" s="583">
        <v>0</v>
      </c>
      <c r="K341" s="583">
        <v>521</v>
      </c>
      <c r="L341" s="565">
        <f t="shared" si="15"/>
        <v>521</v>
      </c>
      <c r="M341" s="179">
        <v>46006</v>
      </c>
      <c r="N341" s="179">
        <v>46010</v>
      </c>
      <c r="O341" s="565">
        <v>521</v>
      </c>
      <c r="P341" s="565">
        <f t="shared" si="16"/>
        <v>0</v>
      </c>
      <c r="Q341" s="565"/>
      <c r="R341" s="565"/>
      <c r="S341" s="565"/>
      <c r="T341" s="565"/>
      <c r="U341" s="565"/>
      <c r="V341" s="565"/>
      <c r="W341" s="565"/>
      <c r="X341" s="565"/>
      <c r="Y341" t="str">
        <f t="shared" ca="1" si="17"/>
        <v>PAGO</v>
      </c>
      <c r="AA341" t="s">
        <v>400</v>
      </c>
    </row>
    <row r="342" spans="1:27" x14ac:dyDescent="0.3">
      <c r="A342" t="s">
        <v>212</v>
      </c>
      <c r="B342" s="562">
        <v>2025</v>
      </c>
      <c r="C342" t="s">
        <v>248</v>
      </c>
      <c r="D342">
        <v>20590</v>
      </c>
      <c r="E342">
        <v>2783</v>
      </c>
      <c r="F342" s="179">
        <v>45971</v>
      </c>
      <c r="G342" t="s">
        <v>236</v>
      </c>
      <c r="I342" t="s">
        <v>270</v>
      </c>
      <c r="J342" s="583">
        <v>0</v>
      </c>
      <c r="K342" s="583">
        <v>521</v>
      </c>
      <c r="L342" s="565">
        <f t="shared" si="15"/>
        <v>521</v>
      </c>
      <c r="M342" s="179">
        <v>46013</v>
      </c>
      <c r="N342" s="179">
        <v>46017</v>
      </c>
      <c r="O342" s="565">
        <v>521</v>
      </c>
      <c r="P342" s="565">
        <f t="shared" si="16"/>
        <v>0</v>
      </c>
      <c r="Q342" s="565"/>
      <c r="R342" s="565"/>
      <c r="S342" s="565"/>
      <c r="T342" s="565"/>
      <c r="U342" s="565"/>
      <c r="V342" s="565"/>
      <c r="W342" s="565"/>
      <c r="X342" s="565"/>
      <c r="Y342" t="str">
        <f t="shared" ca="1" si="17"/>
        <v>PAGO</v>
      </c>
      <c r="AA342" t="s">
        <v>400</v>
      </c>
    </row>
    <row r="343" spans="1:27" x14ac:dyDescent="0.3">
      <c r="A343" t="s">
        <v>212</v>
      </c>
      <c r="B343" s="562">
        <v>2025</v>
      </c>
      <c r="C343" t="s">
        <v>248</v>
      </c>
      <c r="D343">
        <v>20591</v>
      </c>
      <c r="E343">
        <v>2801</v>
      </c>
      <c r="F343" s="179">
        <v>45971</v>
      </c>
      <c r="G343" t="s">
        <v>236</v>
      </c>
      <c r="I343" t="s">
        <v>270</v>
      </c>
      <c r="J343" s="583">
        <v>0</v>
      </c>
      <c r="K343" s="583">
        <v>364.48</v>
      </c>
      <c r="L343" s="565">
        <f t="shared" si="15"/>
        <v>364.48</v>
      </c>
      <c r="M343" s="179">
        <v>45999</v>
      </c>
      <c r="N343" s="179">
        <v>46003</v>
      </c>
      <c r="O343" s="565">
        <v>362.82</v>
      </c>
      <c r="P343" s="565">
        <f t="shared" si="16"/>
        <v>1.660000000000025</v>
      </c>
      <c r="Q343" s="565"/>
      <c r="R343" s="565"/>
      <c r="S343" s="565"/>
      <c r="T343" s="565"/>
      <c r="U343" s="565"/>
      <c r="V343" s="565"/>
      <c r="W343" s="565"/>
      <c r="X343" s="565"/>
      <c r="Y343" t="str">
        <f t="shared" ca="1" si="17"/>
        <v>VENCIDO</v>
      </c>
      <c r="AA343" t="s">
        <v>400</v>
      </c>
    </row>
    <row r="344" spans="1:27" x14ac:dyDescent="0.3">
      <c r="A344" t="s">
        <v>212</v>
      </c>
      <c r="B344" s="562">
        <v>2025</v>
      </c>
      <c r="C344" t="s">
        <v>248</v>
      </c>
      <c r="D344">
        <v>20591</v>
      </c>
      <c r="E344">
        <v>2801</v>
      </c>
      <c r="F344" s="179">
        <v>45971</v>
      </c>
      <c r="G344" t="s">
        <v>236</v>
      </c>
      <c r="I344" t="s">
        <v>270</v>
      </c>
      <c r="J344" s="583">
        <v>0</v>
      </c>
      <c r="K344" s="583">
        <v>362</v>
      </c>
      <c r="L344" s="565">
        <f t="shared" si="15"/>
        <v>362</v>
      </c>
      <c r="M344" s="179">
        <v>46006</v>
      </c>
      <c r="N344" s="179">
        <v>46010</v>
      </c>
      <c r="O344" s="565">
        <v>362</v>
      </c>
      <c r="P344" s="565">
        <f t="shared" si="16"/>
        <v>0</v>
      </c>
      <c r="Q344" s="565"/>
      <c r="R344" s="565"/>
      <c r="S344" s="565"/>
      <c r="T344" s="565"/>
      <c r="U344" s="565"/>
      <c r="V344" s="565"/>
      <c r="W344" s="565"/>
      <c r="X344" s="565"/>
      <c r="Y344" t="str">
        <f t="shared" ca="1" si="17"/>
        <v>PAGO</v>
      </c>
      <c r="AA344" t="s">
        <v>400</v>
      </c>
    </row>
    <row r="345" spans="1:27" x14ac:dyDescent="0.3">
      <c r="A345" t="s">
        <v>212</v>
      </c>
      <c r="B345" s="562">
        <v>2025</v>
      </c>
      <c r="C345" t="s">
        <v>248</v>
      </c>
      <c r="D345">
        <v>20591</v>
      </c>
      <c r="E345">
        <v>2801</v>
      </c>
      <c r="F345" s="179">
        <v>45971</v>
      </c>
      <c r="G345" t="s">
        <v>236</v>
      </c>
      <c r="I345" t="s">
        <v>270</v>
      </c>
      <c r="J345" s="583">
        <v>0</v>
      </c>
      <c r="K345" s="583">
        <v>362</v>
      </c>
      <c r="L345" s="565">
        <f t="shared" si="15"/>
        <v>362</v>
      </c>
      <c r="M345" s="179">
        <v>46013</v>
      </c>
      <c r="N345" s="179">
        <v>45997</v>
      </c>
      <c r="O345" s="565">
        <v>362</v>
      </c>
      <c r="P345" s="565">
        <f t="shared" si="16"/>
        <v>0</v>
      </c>
      <c r="Q345" s="565"/>
      <c r="R345" s="565"/>
      <c r="S345" s="565"/>
      <c r="T345" s="565"/>
      <c r="U345" s="565"/>
      <c r="V345" s="565"/>
      <c r="W345" s="565"/>
      <c r="X345" s="565"/>
      <c r="Y345" t="str">
        <f t="shared" ca="1" si="17"/>
        <v>PAGO</v>
      </c>
      <c r="AA345" t="s">
        <v>400</v>
      </c>
    </row>
    <row r="346" spans="1:27" x14ac:dyDescent="0.3">
      <c r="A346" t="s">
        <v>212</v>
      </c>
      <c r="B346" s="562">
        <v>2025</v>
      </c>
      <c r="C346" t="s">
        <v>248</v>
      </c>
      <c r="D346">
        <v>20644</v>
      </c>
      <c r="E346">
        <v>2838</v>
      </c>
      <c r="F346" s="179">
        <v>45974</v>
      </c>
      <c r="G346" t="s">
        <v>236</v>
      </c>
      <c r="I346" t="s">
        <v>270</v>
      </c>
      <c r="J346" s="583">
        <v>0</v>
      </c>
      <c r="K346" s="583">
        <v>490.26</v>
      </c>
      <c r="L346" s="565">
        <f t="shared" si="15"/>
        <v>490.26</v>
      </c>
      <c r="M346" s="179">
        <v>46002</v>
      </c>
      <c r="N346" s="179">
        <v>46003</v>
      </c>
      <c r="O346" s="565">
        <v>488.75</v>
      </c>
      <c r="P346" s="565">
        <f t="shared" si="16"/>
        <v>1.5099999999999909</v>
      </c>
      <c r="Q346" s="565"/>
      <c r="R346" s="565"/>
      <c r="S346" s="565"/>
      <c r="T346" s="565"/>
      <c r="U346" s="565"/>
      <c r="V346" s="565"/>
      <c r="W346" s="565"/>
      <c r="X346" s="565"/>
      <c r="Y346" t="str">
        <f t="shared" ca="1" si="17"/>
        <v>VENCIDO</v>
      </c>
      <c r="AA346" t="s">
        <v>400</v>
      </c>
    </row>
    <row r="347" spans="1:27" x14ac:dyDescent="0.3">
      <c r="A347" t="s">
        <v>212</v>
      </c>
      <c r="B347" s="562">
        <v>2025</v>
      </c>
      <c r="C347" t="s">
        <v>248</v>
      </c>
      <c r="D347">
        <v>20644</v>
      </c>
      <c r="E347">
        <v>2838</v>
      </c>
      <c r="F347" s="179">
        <v>45974</v>
      </c>
      <c r="G347" t="s">
        <v>236</v>
      </c>
      <c r="I347" t="s">
        <v>270</v>
      </c>
      <c r="J347" s="583">
        <v>0</v>
      </c>
      <c r="K347" s="583">
        <v>488</v>
      </c>
      <c r="L347" s="565">
        <f t="shared" si="15"/>
        <v>488</v>
      </c>
      <c r="M347" s="179">
        <v>46009</v>
      </c>
      <c r="N347" s="179">
        <v>46010</v>
      </c>
      <c r="O347" s="565">
        <v>488</v>
      </c>
      <c r="P347" s="565">
        <f t="shared" si="16"/>
        <v>0</v>
      </c>
      <c r="Q347" s="565"/>
      <c r="R347" s="565"/>
      <c r="S347" s="565"/>
      <c r="T347" s="565"/>
      <c r="U347" s="565"/>
      <c r="V347" s="565"/>
      <c r="W347" s="565"/>
      <c r="X347" s="565"/>
      <c r="Y347" t="str">
        <f t="shared" ca="1" si="17"/>
        <v>PAGO</v>
      </c>
      <c r="AA347" t="s">
        <v>400</v>
      </c>
    </row>
    <row r="348" spans="1:27" x14ac:dyDescent="0.3">
      <c r="A348" t="s">
        <v>212</v>
      </c>
      <c r="B348" s="562">
        <v>2025</v>
      </c>
      <c r="C348" t="s">
        <v>248</v>
      </c>
      <c r="D348">
        <v>20644</v>
      </c>
      <c r="E348">
        <v>2838</v>
      </c>
      <c r="F348" s="179">
        <v>45974</v>
      </c>
      <c r="G348" t="s">
        <v>236</v>
      </c>
      <c r="I348" t="s">
        <v>270</v>
      </c>
      <c r="J348" s="583">
        <v>0</v>
      </c>
      <c r="K348" s="583">
        <v>488</v>
      </c>
      <c r="L348" s="565">
        <f t="shared" si="15"/>
        <v>488</v>
      </c>
      <c r="M348" s="179">
        <v>46016</v>
      </c>
      <c r="N348" s="179">
        <v>46017</v>
      </c>
      <c r="O348" s="565">
        <v>488</v>
      </c>
      <c r="P348" s="565">
        <f t="shared" si="16"/>
        <v>0</v>
      </c>
      <c r="Q348" s="565"/>
      <c r="R348" s="565"/>
      <c r="S348" s="565"/>
      <c r="T348" s="565"/>
      <c r="U348" s="565"/>
      <c r="V348" s="565"/>
      <c r="W348" s="565"/>
      <c r="X348" s="565"/>
      <c r="Y348" t="str">
        <f t="shared" ca="1" si="17"/>
        <v>PAGO</v>
      </c>
      <c r="AA348" t="s">
        <v>400</v>
      </c>
    </row>
    <row r="349" spans="1:27" x14ac:dyDescent="0.3">
      <c r="A349" t="s">
        <v>212</v>
      </c>
      <c r="B349" s="562">
        <v>2025</v>
      </c>
      <c r="C349" t="s">
        <v>248</v>
      </c>
      <c r="D349">
        <v>20656</v>
      </c>
      <c r="E349">
        <v>2888</v>
      </c>
      <c r="F349" s="179">
        <v>45974</v>
      </c>
      <c r="G349" t="s">
        <v>255</v>
      </c>
      <c r="I349" t="s">
        <v>272</v>
      </c>
      <c r="J349" s="583">
        <v>1036</v>
      </c>
      <c r="K349" s="583">
        <v>0</v>
      </c>
      <c r="L349" s="565">
        <f t="shared" si="15"/>
        <v>1036</v>
      </c>
      <c r="M349" s="179">
        <v>45988</v>
      </c>
      <c r="N349" s="179">
        <v>45988</v>
      </c>
      <c r="O349" s="565">
        <v>1036</v>
      </c>
      <c r="P349" s="565">
        <f t="shared" si="16"/>
        <v>0</v>
      </c>
      <c r="Q349" s="565"/>
      <c r="R349" s="565"/>
      <c r="S349" s="565"/>
      <c r="T349" s="565"/>
      <c r="U349" s="565"/>
      <c r="V349" s="565"/>
      <c r="W349" s="565"/>
      <c r="X349" s="565"/>
      <c r="Y349" t="str">
        <f t="shared" ca="1" si="17"/>
        <v>PAGO</v>
      </c>
      <c r="AA349" t="s">
        <v>400</v>
      </c>
    </row>
    <row r="350" spans="1:27" x14ac:dyDescent="0.3">
      <c r="A350" t="s">
        <v>212</v>
      </c>
      <c r="B350" s="562">
        <v>2025</v>
      </c>
      <c r="C350" t="s">
        <v>249</v>
      </c>
      <c r="D350">
        <v>20671</v>
      </c>
      <c r="E350">
        <v>2898</v>
      </c>
      <c r="F350" s="179">
        <v>45975</v>
      </c>
      <c r="G350" t="s">
        <v>236</v>
      </c>
      <c r="I350" t="s">
        <v>275</v>
      </c>
      <c r="J350" s="583">
        <v>8950.9933333333302</v>
      </c>
      <c r="K350" s="583">
        <v>0</v>
      </c>
      <c r="L350" s="565">
        <f t="shared" si="15"/>
        <v>8950.9933333333302</v>
      </c>
      <c r="M350" s="179">
        <v>46003</v>
      </c>
      <c r="N350" s="179">
        <v>46010</v>
      </c>
      <c r="O350" s="565">
        <v>8950.99</v>
      </c>
      <c r="P350" s="565">
        <f t="shared" si="16"/>
        <v>3.3333333303744439E-3</v>
      </c>
      <c r="Q350" s="565"/>
      <c r="R350" s="565"/>
      <c r="S350" s="565"/>
      <c r="T350" s="565"/>
      <c r="U350" s="565"/>
      <c r="V350" s="565"/>
      <c r="W350" s="565"/>
      <c r="X350" s="565"/>
      <c r="Y350" t="str">
        <f t="shared" ca="1" si="17"/>
        <v>PAGO</v>
      </c>
      <c r="AA350" t="s">
        <v>400</v>
      </c>
    </row>
    <row r="351" spans="1:27" x14ac:dyDescent="0.3">
      <c r="A351" t="s">
        <v>212</v>
      </c>
      <c r="B351" s="562">
        <v>2025</v>
      </c>
      <c r="C351" t="s">
        <v>249</v>
      </c>
      <c r="D351">
        <v>20671</v>
      </c>
      <c r="E351">
        <v>2898</v>
      </c>
      <c r="F351" s="179">
        <v>45975</v>
      </c>
      <c r="G351" t="s">
        <v>236</v>
      </c>
      <c r="I351" t="s">
        <v>275</v>
      </c>
      <c r="J351" s="583">
        <v>8950.9933333333302</v>
      </c>
      <c r="K351" s="583">
        <v>0</v>
      </c>
      <c r="L351" s="565">
        <f t="shared" si="15"/>
        <v>8950.9933333333302</v>
      </c>
      <c r="M351" s="179">
        <v>46010</v>
      </c>
      <c r="N351" s="179">
        <v>46017</v>
      </c>
      <c r="O351" s="565">
        <v>8950.99</v>
      </c>
      <c r="P351" s="565">
        <f t="shared" si="16"/>
        <v>3.3333333303744439E-3</v>
      </c>
      <c r="Q351" s="565"/>
      <c r="R351" s="565"/>
      <c r="S351" s="565"/>
      <c r="T351" s="565"/>
      <c r="U351" s="565"/>
      <c r="V351" s="565"/>
      <c r="W351" s="565"/>
      <c r="X351" s="565"/>
      <c r="Y351" t="str">
        <f t="shared" ca="1" si="17"/>
        <v>PAGO</v>
      </c>
      <c r="AA351" t="s">
        <v>400</v>
      </c>
    </row>
    <row r="352" spans="1:27" x14ac:dyDescent="0.3">
      <c r="A352" t="s">
        <v>212</v>
      </c>
      <c r="B352" s="562">
        <v>2025</v>
      </c>
      <c r="C352" t="s">
        <v>249</v>
      </c>
      <c r="D352">
        <v>20671</v>
      </c>
      <c r="E352">
        <v>2898</v>
      </c>
      <c r="F352" s="179">
        <v>45975</v>
      </c>
      <c r="G352" t="s">
        <v>236</v>
      </c>
      <c r="I352" t="s">
        <v>275</v>
      </c>
      <c r="J352" s="583">
        <v>8950.9933333333302</v>
      </c>
      <c r="K352" s="583">
        <v>0</v>
      </c>
      <c r="L352" s="565">
        <f t="shared" si="15"/>
        <v>8950.9933333333302</v>
      </c>
      <c r="M352" s="179">
        <v>46017</v>
      </c>
      <c r="N352" s="179">
        <v>46041</v>
      </c>
      <c r="O352" s="565">
        <v>8950.9933333333302</v>
      </c>
      <c r="P352" s="565">
        <f t="shared" si="16"/>
        <v>0</v>
      </c>
      <c r="Q352" s="565"/>
      <c r="R352" s="565"/>
      <c r="S352" s="565"/>
      <c r="T352" s="565"/>
      <c r="U352" s="565"/>
      <c r="V352" s="565"/>
      <c r="W352" s="565"/>
      <c r="X352" s="565"/>
      <c r="Y352" t="str">
        <f t="shared" ca="1" si="17"/>
        <v>PAGO</v>
      </c>
      <c r="AA352" t="s">
        <v>400</v>
      </c>
    </row>
    <row r="353" spans="1:27" x14ac:dyDescent="0.3">
      <c r="A353" t="s">
        <v>212</v>
      </c>
      <c r="B353" s="562">
        <v>2025</v>
      </c>
      <c r="C353" t="s">
        <v>249</v>
      </c>
      <c r="D353">
        <v>20678</v>
      </c>
      <c r="E353">
        <v>2850</v>
      </c>
      <c r="F353" s="179">
        <v>45975</v>
      </c>
      <c r="G353" t="s">
        <v>236</v>
      </c>
      <c r="I353" t="s">
        <v>275</v>
      </c>
      <c r="J353" s="583">
        <v>22870.6</v>
      </c>
      <c r="K353" s="583">
        <v>0</v>
      </c>
      <c r="L353" s="565">
        <f t="shared" si="15"/>
        <v>22870.6</v>
      </c>
      <c r="M353" s="179">
        <v>46003</v>
      </c>
      <c r="N353" s="179">
        <v>46010</v>
      </c>
      <c r="O353" s="565">
        <v>22870.6</v>
      </c>
      <c r="P353" s="565">
        <f t="shared" si="16"/>
        <v>0</v>
      </c>
      <c r="Q353" s="565"/>
      <c r="R353" s="565"/>
      <c r="S353" s="565"/>
      <c r="T353" s="565"/>
      <c r="U353" s="565"/>
      <c r="V353" s="565"/>
      <c r="W353" s="565"/>
      <c r="X353" s="565"/>
      <c r="Y353" t="str">
        <f t="shared" ca="1" si="17"/>
        <v>PAGO</v>
      </c>
      <c r="AA353" t="s">
        <v>400</v>
      </c>
    </row>
    <row r="354" spans="1:27" x14ac:dyDescent="0.3">
      <c r="A354" t="s">
        <v>212</v>
      </c>
      <c r="B354" s="562">
        <v>2025</v>
      </c>
      <c r="C354" t="s">
        <v>249</v>
      </c>
      <c r="D354">
        <v>20678</v>
      </c>
      <c r="E354">
        <v>2850</v>
      </c>
      <c r="F354" s="179">
        <v>45975</v>
      </c>
      <c r="G354" t="s">
        <v>236</v>
      </c>
      <c r="I354" t="s">
        <v>275</v>
      </c>
      <c r="J354" s="583">
        <v>22870.6</v>
      </c>
      <c r="K354" s="583">
        <v>0</v>
      </c>
      <c r="L354" s="565">
        <f t="shared" si="15"/>
        <v>22870.6</v>
      </c>
      <c r="M354" s="179">
        <v>46010</v>
      </c>
      <c r="N354" s="179">
        <v>46017</v>
      </c>
      <c r="O354" s="565">
        <v>22870.6</v>
      </c>
      <c r="P354" s="565">
        <f t="shared" si="16"/>
        <v>0</v>
      </c>
      <c r="Q354" s="565"/>
      <c r="R354" s="565"/>
      <c r="S354" s="565"/>
      <c r="T354" s="565"/>
      <c r="U354" s="565"/>
      <c r="V354" s="565"/>
      <c r="W354" s="565"/>
      <c r="X354" s="565"/>
      <c r="Y354" t="str">
        <f t="shared" ca="1" si="17"/>
        <v>PAGO</v>
      </c>
      <c r="AA354" t="s">
        <v>400</v>
      </c>
    </row>
    <row r="355" spans="1:27" x14ac:dyDescent="0.3">
      <c r="A355" t="s">
        <v>212</v>
      </c>
      <c r="B355" s="562">
        <v>2025</v>
      </c>
      <c r="C355" t="s">
        <v>249</v>
      </c>
      <c r="D355">
        <v>20678</v>
      </c>
      <c r="E355">
        <v>2850</v>
      </c>
      <c r="F355" s="179">
        <v>45975</v>
      </c>
      <c r="G355" t="s">
        <v>236</v>
      </c>
      <c r="I355" t="s">
        <v>275</v>
      </c>
      <c r="J355" s="583">
        <v>22870.6</v>
      </c>
      <c r="K355" s="583">
        <v>0</v>
      </c>
      <c r="L355" s="565">
        <f t="shared" si="15"/>
        <v>22870.6</v>
      </c>
      <c r="M355" s="179">
        <v>46017</v>
      </c>
      <c r="N355" s="179">
        <v>46035</v>
      </c>
      <c r="O355" s="565">
        <v>22870.6</v>
      </c>
      <c r="P355" s="565">
        <f t="shared" si="16"/>
        <v>0</v>
      </c>
      <c r="Q355" s="565"/>
      <c r="R355" s="565"/>
      <c r="S355" s="565"/>
      <c r="T355" s="565"/>
      <c r="U355" s="565"/>
      <c r="V355" s="565"/>
      <c r="W355" s="565"/>
      <c r="X355" s="565"/>
      <c r="Y355" t="str">
        <f t="shared" ca="1" si="17"/>
        <v>PAGO</v>
      </c>
      <c r="AA355" t="s">
        <v>400</v>
      </c>
    </row>
    <row r="356" spans="1:27" x14ac:dyDescent="0.3">
      <c r="A356" t="s">
        <v>212</v>
      </c>
      <c r="B356" s="562">
        <v>2025</v>
      </c>
      <c r="C356" t="s">
        <v>249</v>
      </c>
      <c r="D356">
        <v>20679</v>
      </c>
      <c r="E356">
        <v>2906</v>
      </c>
      <c r="F356" s="179">
        <v>45975</v>
      </c>
      <c r="G356" t="s">
        <v>236</v>
      </c>
      <c r="I356" t="s">
        <v>275</v>
      </c>
      <c r="J356" s="583">
        <v>8411.59</v>
      </c>
      <c r="K356" s="583">
        <v>0</v>
      </c>
      <c r="L356" s="565">
        <f t="shared" si="15"/>
        <v>8411.59</v>
      </c>
      <c r="M356" s="179">
        <v>46003</v>
      </c>
      <c r="N356" s="179">
        <v>46010</v>
      </c>
      <c r="O356" s="565">
        <v>8411.59</v>
      </c>
      <c r="P356" s="565">
        <f t="shared" si="16"/>
        <v>0</v>
      </c>
      <c r="Q356" s="565"/>
      <c r="R356" s="565"/>
      <c r="S356" s="565"/>
      <c r="T356" s="565"/>
      <c r="U356" s="565"/>
      <c r="V356" s="565"/>
      <c r="W356" s="565"/>
      <c r="X356" s="565"/>
      <c r="Y356" t="str">
        <f t="shared" ca="1" si="17"/>
        <v>PAGO</v>
      </c>
      <c r="AA356" t="s">
        <v>400</v>
      </c>
    </row>
    <row r="357" spans="1:27" x14ac:dyDescent="0.3">
      <c r="A357" t="s">
        <v>212</v>
      </c>
      <c r="B357" s="562">
        <v>2025</v>
      </c>
      <c r="C357" t="s">
        <v>249</v>
      </c>
      <c r="D357">
        <v>20679</v>
      </c>
      <c r="E357">
        <v>2906</v>
      </c>
      <c r="F357" s="179">
        <v>45975</v>
      </c>
      <c r="G357" t="s">
        <v>236</v>
      </c>
      <c r="I357" t="s">
        <v>275</v>
      </c>
      <c r="J357" s="583">
        <v>8411.59</v>
      </c>
      <c r="K357" s="583">
        <v>0</v>
      </c>
      <c r="L357" s="565">
        <f t="shared" si="15"/>
        <v>8411.59</v>
      </c>
      <c r="M357" s="179">
        <v>46010</v>
      </c>
      <c r="N357" s="179">
        <v>46017</v>
      </c>
      <c r="O357" s="565">
        <v>8411.59</v>
      </c>
      <c r="P357" s="565">
        <f t="shared" si="16"/>
        <v>0</v>
      </c>
      <c r="Q357" s="565"/>
      <c r="R357" s="565"/>
      <c r="S357" s="565"/>
      <c r="T357" s="565"/>
      <c r="U357" s="565"/>
      <c r="V357" s="565"/>
      <c r="W357" s="565"/>
      <c r="X357" s="565"/>
      <c r="Y357" t="str">
        <f t="shared" ca="1" si="17"/>
        <v>PAGO</v>
      </c>
      <c r="AA357" t="s">
        <v>400</v>
      </c>
    </row>
    <row r="358" spans="1:27" x14ac:dyDescent="0.3">
      <c r="A358" t="s">
        <v>212</v>
      </c>
      <c r="B358" s="562">
        <v>2025</v>
      </c>
      <c r="C358" t="s">
        <v>249</v>
      </c>
      <c r="D358">
        <v>20679</v>
      </c>
      <c r="E358">
        <v>2906</v>
      </c>
      <c r="F358" s="179">
        <v>45975</v>
      </c>
      <c r="G358" t="s">
        <v>236</v>
      </c>
      <c r="I358" t="s">
        <v>275</v>
      </c>
      <c r="J358" s="583">
        <v>8411.59</v>
      </c>
      <c r="K358" s="583">
        <v>0</v>
      </c>
      <c r="L358" s="565">
        <f t="shared" si="15"/>
        <v>8411.59</v>
      </c>
      <c r="M358" s="179">
        <v>46017</v>
      </c>
      <c r="N358" s="179">
        <v>46041</v>
      </c>
      <c r="O358" s="565">
        <v>8411.59</v>
      </c>
      <c r="P358" s="565">
        <f t="shared" si="16"/>
        <v>0</v>
      </c>
      <c r="Q358" s="565"/>
      <c r="R358" s="565"/>
      <c r="S358" s="565"/>
      <c r="T358" s="565"/>
      <c r="U358" s="565"/>
      <c r="V358" s="565"/>
      <c r="W358" s="565"/>
      <c r="X358" s="565"/>
      <c r="Y358" t="str">
        <f t="shared" ca="1" si="17"/>
        <v>PAGO</v>
      </c>
      <c r="AA358" t="s">
        <v>400</v>
      </c>
    </row>
    <row r="359" spans="1:27" x14ac:dyDescent="0.3">
      <c r="A359" t="s">
        <v>212</v>
      </c>
      <c r="B359" s="562">
        <v>2025</v>
      </c>
      <c r="C359" t="s">
        <v>248</v>
      </c>
      <c r="D359">
        <v>20707</v>
      </c>
      <c r="E359">
        <v>2880</v>
      </c>
      <c r="F359" s="179">
        <v>45979</v>
      </c>
      <c r="G359" t="s">
        <v>236</v>
      </c>
      <c r="I359" t="s">
        <v>270</v>
      </c>
      <c r="J359" s="583">
        <v>0</v>
      </c>
      <c r="K359" s="583">
        <v>332.93</v>
      </c>
      <c r="L359" s="565">
        <f t="shared" si="15"/>
        <v>332.93</v>
      </c>
      <c r="M359" s="179">
        <v>46007</v>
      </c>
      <c r="N359" s="179">
        <v>46010</v>
      </c>
      <c r="O359" s="565">
        <v>332.92</v>
      </c>
      <c r="P359" s="565">
        <f t="shared" si="16"/>
        <v>9.9999999999909051E-3</v>
      </c>
      <c r="Q359" s="565"/>
      <c r="R359" s="565"/>
      <c r="S359" s="565"/>
      <c r="T359" s="565"/>
      <c r="U359" s="565"/>
      <c r="V359" s="565"/>
      <c r="W359" s="565"/>
      <c r="X359" s="565"/>
      <c r="Y359" t="str">
        <f t="shared" ca="1" si="17"/>
        <v>PAGO</v>
      </c>
      <c r="AA359" t="s">
        <v>400</v>
      </c>
    </row>
    <row r="360" spans="1:27" x14ac:dyDescent="0.3">
      <c r="A360" t="s">
        <v>212</v>
      </c>
      <c r="B360" s="562">
        <v>2025</v>
      </c>
      <c r="C360" t="s">
        <v>248</v>
      </c>
      <c r="D360">
        <v>20707</v>
      </c>
      <c r="E360">
        <v>2880</v>
      </c>
      <c r="F360" s="179">
        <v>45979</v>
      </c>
      <c r="G360" t="s">
        <v>236</v>
      </c>
      <c r="I360" t="s">
        <v>270</v>
      </c>
      <c r="J360" s="583">
        <v>0</v>
      </c>
      <c r="K360" s="583">
        <v>332.92</v>
      </c>
      <c r="L360" s="565">
        <f t="shared" si="15"/>
        <v>332.92</v>
      </c>
      <c r="M360" s="179">
        <v>46014</v>
      </c>
      <c r="N360" s="179">
        <v>46017</v>
      </c>
      <c r="O360" s="565">
        <v>332.92</v>
      </c>
      <c r="P360" s="565">
        <f t="shared" si="16"/>
        <v>0</v>
      </c>
      <c r="Q360" s="565"/>
      <c r="R360" s="565"/>
      <c r="S360" s="565"/>
      <c r="T360" s="565"/>
      <c r="U360" s="565"/>
      <c r="V360" s="565"/>
      <c r="W360" s="565"/>
      <c r="X360" s="565"/>
      <c r="Y360" t="str">
        <f t="shared" ca="1" si="17"/>
        <v>PAGO</v>
      </c>
      <c r="AA360" t="s">
        <v>400</v>
      </c>
    </row>
    <row r="361" spans="1:27" x14ac:dyDescent="0.3">
      <c r="A361" t="s">
        <v>212</v>
      </c>
      <c r="B361" s="562">
        <v>2025</v>
      </c>
      <c r="C361" t="s">
        <v>248</v>
      </c>
      <c r="D361">
        <v>20728</v>
      </c>
      <c r="E361">
        <v>2924</v>
      </c>
      <c r="F361" s="179">
        <v>45981</v>
      </c>
      <c r="G361" t="s">
        <v>236</v>
      </c>
      <c r="I361" t="s">
        <v>270</v>
      </c>
      <c r="J361" s="583">
        <v>0</v>
      </c>
      <c r="K361" s="583">
        <v>408.83</v>
      </c>
      <c r="L361" s="565">
        <f t="shared" si="15"/>
        <v>408.83</v>
      </c>
      <c r="M361" s="179">
        <v>46009</v>
      </c>
      <c r="N361" s="179">
        <v>46055</v>
      </c>
      <c r="O361" s="565">
        <v>408.82</v>
      </c>
      <c r="P361" s="565">
        <f t="shared" si="16"/>
        <v>9.9999999999909051E-3</v>
      </c>
      <c r="Q361" s="565"/>
      <c r="R361" s="565"/>
      <c r="S361" s="565"/>
      <c r="T361" s="565"/>
      <c r="U361" s="565"/>
      <c r="V361" s="565"/>
      <c r="W361" s="565"/>
      <c r="X361" s="565"/>
      <c r="Y361" t="str">
        <f t="shared" ca="1" si="17"/>
        <v>PAGO</v>
      </c>
      <c r="AA361" t="s">
        <v>400</v>
      </c>
    </row>
    <row r="362" spans="1:27" x14ac:dyDescent="0.3">
      <c r="A362" t="s">
        <v>212</v>
      </c>
      <c r="B362" s="562">
        <v>2025</v>
      </c>
      <c r="C362" t="s">
        <v>248</v>
      </c>
      <c r="D362">
        <v>20768</v>
      </c>
      <c r="E362">
        <v>2924</v>
      </c>
      <c r="F362" s="179">
        <v>45985</v>
      </c>
      <c r="G362" t="s">
        <v>236</v>
      </c>
      <c r="I362" t="s">
        <v>270</v>
      </c>
      <c r="J362" s="583">
        <v>0</v>
      </c>
      <c r="K362" s="583">
        <v>411.42</v>
      </c>
      <c r="L362" s="565">
        <f t="shared" si="15"/>
        <v>411.42</v>
      </c>
      <c r="M362" s="179">
        <v>46013</v>
      </c>
      <c r="N362" s="179">
        <v>46007</v>
      </c>
      <c r="O362" s="565">
        <v>411.41</v>
      </c>
      <c r="P362" s="565">
        <f t="shared" si="16"/>
        <v>9.9999999999909051E-3</v>
      </c>
      <c r="Q362" s="565"/>
      <c r="R362" s="565"/>
      <c r="S362" s="565"/>
      <c r="T362" s="565"/>
      <c r="U362" s="565"/>
      <c r="V362" s="565"/>
      <c r="W362" s="565"/>
      <c r="X362" s="565"/>
      <c r="Y362" t="str">
        <f t="shared" ca="1" si="17"/>
        <v>PAGO</v>
      </c>
      <c r="AA362" t="s">
        <v>400</v>
      </c>
    </row>
    <row r="363" spans="1:27" x14ac:dyDescent="0.3">
      <c r="A363" t="s">
        <v>212</v>
      </c>
      <c r="B363" s="562">
        <v>2025</v>
      </c>
      <c r="C363" t="s">
        <v>248</v>
      </c>
      <c r="D363">
        <v>20768</v>
      </c>
      <c r="E363">
        <v>2924</v>
      </c>
      <c r="F363" s="179">
        <v>45985</v>
      </c>
      <c r="G363" t="s">
        <v>236</v>
      </c>
      <c r="I363" t="s">
        <v>270</v>
      </c>
      <c r="J363" s="583">
        <v>0</v>
      </c>
      <c r="K363" s="583">
        <v>411.41</v>
      </c>
      <c r="L363" s="565">
        <f t="shared" si="15"/>
        <v>411.41</v>
      </c>
      <c r="M363" s="179">
        <v>46020</v>
      </c>
      <c r="N363" s="179">
        <v>46043</v>
      </c>
      <c r="O363" s="565">
        <v>411.41</v>
      </c>
      <c r="P363" s="565">
        <f t="shared" si="16"/>
        <v>0</v>
      </c>
      <c r="Q363" s="565"/>
      <c r="R363" s="565"/>
      <c r="S363" s="565"/>
      <c r="T363" s="565"/>
      <c r="U363" s="565"/>
      <c r="V363" s="565"/>
      <c r="W363" s="565"/>
      <c r="X363" s="565"/>
      <c r="Y363" t="str">
        <f t="shared" ca="1" si="17"/>
        <v>PAGO</v>
      </c>
      <c r="AA363" t="s">
        <v>400</v>
      </c>
    </row>
    <row r="364" spans="1:27" x14ac:dyDescent="0.3">
      <c r="A364" t="s">
        <v>212</v>
      </c>
      <c r="B364" s="562">
        <v>2025</v>
      </c>
      <c r="C364" t="s">
        <v>248</v>
      </c>
      <c r="D364">
        <v>20789</v>
      </c>
      <c r="E364">
        <v>2940</v>
      </c>
      <c r="F364" s="179">
        <v>45986</v>
      </c>
      <c r="G364" t="s">
        <v>236</v>
      </c>
      <c r="I364" t="s">
        <v>270</v>
      </c>
      <c r="J364" s="583">
        <v>0</v>
      </c>
      <c r="K364" s="583">
        <v>339.83</v>
      </c>
      <c r="L364" s="565">
        <f t="shared" si="15"/>
        <v>339.83</v>
      </c>
      <c r="M364" s="179">
        <v>46014</v>
      </c>
      <c r="N364" s="179">
        <v>46017</v>
      </c>
      <c r="O364" s="565">
        <v>339.82</v>
      </c>
      <c r="P364" s="565">
        <f t="shared" si="16"/>
        <v>9.9999999999909051E-3</v>
      </c>
      <c r="Q364" s="565"/>
      <c r="R364" s="565"/>
      <c r="S364" s="565"/>
      <c r="T364" s="565"/>
      <c r="U364" s="565"/>
      <c r="V364" s="565"/>
      <c r="W364" s="565"/>
      <c r="X364" s="565"/>
      <c r="Y364" t="str">
        <f t="shared" ca="1" si="17"/>
        <v>PAGO</v>
      </c>
      <c r="AA364" t="s">
        <v>400</v>
      </c>
    </row>
    <row r="365" spans="1:27" x14ac:dyDescent="0.3">
      <c r="A365" t="s">
        <v>212</v>
      </c>
      <c r="B365" s="562">
        <v>2025</v>
      </c>
      <c r="C365" t="s">
        <v>248</v>
      </c>
      <c r="D365">
        <v>20789</v>
      </c>
      <c r="E365">
        <v>2940</v>
      </c>
      <c r="F365" s="179">
        <v>45986</v>
      </c>
      <c r="G365" t="s">
        <v>236</v>
      </c>
      <c r="I365" t="s">
        <v>270</v>
      </c>
      <c r="J365" s="583">
        <v>0</v>
      </c>
      <c r="K365" s="583">
        <v>339.82</v>
      </c>
      <c r="L365" s="565">
        <f t="shared" si="15"/>
        <v>339.82</v>
      </c>
      <c r="M365" s="179">
        <v>46021</v>
      </c>
      <c r="N365" s="179">
        <v>46043</v>
      </c>
      <c r="O365" s="565">
        <v>339.82</v>
      </c>
      <c r="P365" s="565">
        <f t="shared" si="16"/>
        <v>0</v>
      </c>
      <c r="Q365" s="565"/>
      <c r="R365" s="565"/>
      <c r="S365" s="565"/>
      <c r="T365" s="565"/>
      <c r="U365" s="565"/>
      <c r="V365" s="565"/>
      <c r="W365" s="565"/>
      <c r="X365" s="565"/>
      <c r="Y365" t="str">
        <f t="shared" ca="1" si="17"/>
        <v>PAGO</v>
      </c>
      <c r="AA365" t="s">
        <v>400</v>
      </c>
    </row>
    <row r="366" spans="1:27" x14ac:dyDescent="0.3">
      <c r="A366" t="s">
        <v>212</v>
      </c>
      <c r="B366" s="562">
        <v>2025</v>
      </c>
      <c r="C366" t="s">
        <v>248</v>
      </c>
      <c r="D366">
        <v>20792</v>
      </c>
      <c r="E366">
        <v>2940</v>
      </c>
      <c r="F366" s="179">
        <v>45987</v>
      </c>
      <c r="G366" t="s">
        <v>236</v>
      </c>
      <c r="I366" t="s">
        <v>270</v>
      </c>
      <c r="J366" s="583">
        <v>0</v>
      </c>
      <c r="K366" s="583">
        <v>526.13</v>
      </c>
      <c r="L366" s="565">
        <f t="shared" si="15"/>
        <v>526.13</v>
      </c>
      <c r="M366" s="179">
        <v>46015</v>
      </c>
      <c r="N366" s="179">
        <v>46017</v>
      </c>
      <c r="O366" s="565">
        <v>526.12</v>
      </c>
      <c r="P366" s="565">
        <f t="shared" si="16"/>
        <v>9.9999999999909051E-3</v>
      </c>
      <c r="Q366" s="565"/>
      <c r="R366" s="565"/>
      <c r="S366" s="565"/>
      <c r="T366" s="565"/>
      <c r="U366" s="565"/>
      <c r="V366" s="565"/>
      <c r="W366" s="565"/>
      <c r="X366" s="565"/>
      <c r="Y366" t="str">
        <f t="shared" ca="1" si="17"/>
        <v>PAGO</v>
      </c>
      <c r="AA366" t="s">
        <v>400</v>
      </c>
    </row>
    <row r="367" spans="1:27" x14ac:dyDescent="0.3">
      <c r="A367" t="s">
        <v>212</v>
      </c>
      <c r="B367" s="562">
        <v>2025</v>
      </c>
      <c r="C367" t="s">
        <v>248</v>
      </c>
      <c r="D367">
        <v>20797</v>
      </c>
      <c r="E367">
        <v>2963</v>
      </c>
      <c r="F367" s="179">
        <v>45987</v>
      </c>
      <c r="G367" t="s">
        <v>236</v>
      </c>
      <c r="I367" t="s">
        <v>270</v>
      </c>
      <c r="J367" s="583">
        <v>0</v>
      </c>
      <c r="K367" s="583">
        <v>270.83</v>
      </c>
      <c r="L367" s="565">
        <f t="shared" si="15"/>
        <v>270.83</v>
      </c>
      <c r="M367" s="179">
        <v>46015</v>
      </c>
      <c r="N367" s="179">
        <v>46017</v>
      </c>
      <c r="O367" s="565">
        <v>270.82</v>
      </c>
      <c r="P367" s="565">
        <f t="shared" si="16"/>
        <v>9.9999999999909051E-3</v>
      </c>
      <c r="Q367" s="565"/>
      <c r="R367" s="565"/>
      <c r="S367" s="565"/>
      <c r="T367" s="565"/>
      <c r="U367" s="565"/>
      <c r="V367" s="565"/>
      <c r="W367" s="565"/>
      <c r="X367" s="565"/>
      <c r="Y367" t="str">
        <f t="shared" ca="1" si="17"/>
        <v>PAGO</v>
      </c>
      <c r="AA367" t="s">
        <v>400</v>
      </c>
    </row>
    <row r="368" spans="1:27" x14ac:dyDescent="0.3">
      <c r="A368" t="s">
        <v>212</v>
      </c>
      <c r="B368" s="562">
        <v>2025</v>
      </c>
      <c r="C368" t="s">
        <v>249</v>
      </c>
      <c r="D368">
        <v>20809</v>
      </c>
      <c r="E368">
        <v>2965</v>
      </c>
      <c r="F368" s="179">
        <v>45988</v>
      </c>
      <c r="G368" t="s">
        <v>236</v>
      </c>
      <c r="I368" t="s">
        <v>275</v>
      </c>
      <c r="J368" s="583">
        <v>17519.133333333299</v>
      </c>
      <c r="K368" s="583">
        <v>0</v>
      </c>
      <c r="L368" s="565">
        <f t="shared" si="15"/>
        <v>17519.133333333299</v>
      </c>
      <c r="M368" s="179">
        <v>46016</v>
      </c>
      <c r="N368" s="179">
        <v>46036</v>
      </c>
      <c r="O368" s="565">
        <v>17519.13</v>
      </c>
      <c r="P368" s="565">
        <f t="shared" si="16"/>
        <v>3.3333332976326346E-3</v>
      </c>
      <c r="Q368" s="565"/>
      <c r="R368" s="565"/>
      <c r="S368" s="565"/>
      <c r="T368" s="565"/>
      <c r="U368" s="565"/>
      <c r="V368" s="565"/>
      <c r="W368" s="565"/>
      <c r="X368" s="565"/>
      <c r="Y368" t="str">
        <f t="shared" ca="1" si="17"/>
        <v>PAGO</v>
      </c>
      <c r="AA368" t="s">
        <v>400</v>
      </c>
    </row>
    <row r="369" spans="1:27" x14ac:dyDescent="0.3">
      <c r="A369" t="s">
        <v>212</v>
      </c>
      <c r="B369" s="562">
        <v>2025</v>
      </c>
      <c r="C369" t="s">
        <v>249</v>
      </c>
      <c r="D369">
        <v>20809</v>
      </c>
      <c r="E369">
        <v>2965</v>
      </c>
      <c r="F369" s="179">
        <v>45988</v>
      </c>
      <c r="G369" t="s">
        <v>236</v>
      </c>
      <c r="I369" t="s">
        <v>275</v>
      </c>
      <c r="J369" s="583">
        <v>17519.133333333299</v>
      </c>
      <c r="K369" s="583">
        <v>0</v>
      </c>
      <c r="L369" s="565">
        <f t="shared" si="15"/>
        <v>17519.133333333299</v>
      </c>
      <c r="M369" s="179">
        <v>45658</v>
      </c>
      <c r="N369" s="179">
        <v>46043</v>
      </c>
      <c r="O369" s="565">
        <v>17519.13</v>
      </c>
      <c r="P369" s="565">
        <f t="shared" si="16"/>
        <v>3.3333332976326346E-3</v>
      </c>
      <c r="Q369" s="565"/>
      <c r="R369" s="565"/>
      <c r="S369" s="565"/>
      <c r="T369" s="565"/>
      <c r="U369" s="565"/>
      <c r="V369" s="565"/>
      <c r="W369" s="565"/>
      <c r="X369" s="565"/>
      <c r="Y369" t="str">
        <f t="shared" ca="1" si="17"/>
        <v>PAGO</v>
      </c>
      <c r="AA369" t="s">
        <v>400</v>
      </c>
    </row>
    <row r="370" spans="1:27" x14ac:dyDescent="0.3">
      <c r="A370" t="s">
        <v>212</v>
      </c>
      <c r="B370" s="562">
        <v>2025</v>
      </c>
      <c r="C370" t="s">
        <v>249</v>
      </c>
      <c r="D370">
        <v>20809</v>
      </c>
      <c r="E370">
        <v>2965</v>
      </c>
      <c r="F370" s="179">
        <v>45988</v>
      </c>
      <c r="G370" t="s">
        <v>236</v>
      </c>
      <c r="I370" t="s">
        <v>275</v>
      </c>
      <c r="J370" s="583">
        <v>17519.133333333299</v>
      </c>
      <c r="K370" s="583">
        <v>0</v>
      </c>
      <c r="L370" s="565">
        <f t="shared" si="15"/>
        <v>17519.133333333299</v>
      </c>
      <c r="M370" s="179">
        <v>45665</v>
      </c>
      <c r="N370" s="179">
        <v>46050</v>
      </c>
      <c r="O370" s="565">
        <v>17519.13</v>
      </c>
      <c r="P370" s="565">
        <f t="shared" si="16"/>
        <v>3.3333332976326346E-3</v>
      </c>
      <c r="Q370" s="565"/>
      <c r="R370" s="565"/>
      <c r="S370" s="565"/>
      <c r="T370" s="565"/>
      <c r="U370" s="565"/>
      <c r="V370" s="565"/>
      <c r="W370" s="565"/>
      <c r="X370" s="565"/>
      <c r="Y370" t="str">
        <f t="shared" ca="1" si="17"/>
        <v>PAGO</v>
      </c>
      <c r="AA370" t="s">
        <v>400</v>
      </c>
    </row>
    <row r="371" spans="1:27" x14ac:dyDescent="0.3">
      <c r="A371" t="s">
        <v>212</v>
      </c>
      <c r="B371" s="562">
        <v>2025</v>
      </c>
      <c r="C371" t="s">
        <v>249</v>
      </c>
      <c r="D371">
        <v>498</v>
      </c>
      <c r="E371">
        <v>452</v>
      </c>
      <c r="F371" s="179">
        <v>45988</v>
      </c>
      <c r="G371" t="s">
        <v>262</v>
      </c>
      <c r="I371" t="s">
        <v>272</v>
      </c>
      <c r="J371" s="583">
        <v>11156.25</v>
      </c>
      <c r="K371" s="583">
        <v>0</v>
      </c>
      <c r="L371" s="565">
        <f t="shared" si="15"/>
        <v>11156.25</v>
      </c>
      <c r="M371" s="179">
        <v>46066</v>
      </c>
      <c r="N371" s="179">
        <v>46066</v>
      </c>
      <c r="O371" s="565">
        <v>11156.25</v>
      </c>
      <c r="P371" s="565">
        <f t="shared" si="16"/>
        <v>0</v>
      </c>
      <c r="Q371" s="565"/>
      <c r="R371" s="565"/>
      <c r="S371" s="565"/>
      <c r="T371" s="565"/>
      <c r="U371" s="565"/>
      <c r="V371" s="565"/>
      <c r="W371" s="565"/>
      <c r="X371" s="565"/>
      <c r="Y371" t="str">
        <f t="shared" ca="1" si="17"/>
        <v>PAGO</v>
      </c>
      <c r="AA371" t="s">
        <v>400</v>
      </c>
    </row>
    <row r="372" spans="1:27" x14ac:dyDescent="0.3">
      <c r="A372" t="s">
        <v>212</v>
      </c>
      <c r="B372" s="562">
        <v>2025</v>
      </c>
      <c r="C372" t="s">
        <v>249</v>
      </c>
      <c r="D372">
        <v>498</v>
      </c>
      <c r="E372">
        <v>452</v>
      </c>
      <c r="F372" s="179">
        <v>45988</v>
      </c>
      <c r="G372" t="s">
        <v>262</v>
      </c>
      <c r="I372" t="s">
        <v>272</v>
      </c>
      <c r="J372" s="583">
        <v>11153</v>
      </c>
      <c r="K372" s="583">
        <v>0</v>
      </c>
      <c r="L372" s="565">
        <f t="shared" si="15"/>
        <v>11153</v>
      </c>
      <c r="M372" s="179">
        <v>45708</v>
      </c>
      <c r="N372" s="179">
        <v>46077</v>
      </c>
      <c r="O372" s="565">
        <v>11153</v>
      </c>
      <c r="P372" s="565">
        <f t="shared" si="16"/>
        <v>0</v>
      </c>
      <c r="Q372" s="565"/>
      <c r="R372" s="565"/>
      <c r="S372" s="565"/>
      <c r="T372" s="565"/>
      <c r="U372" s="565"/>
      <c r="V372" s="565"/>
      <c r="W372" s="565"/>
      <c r="X372" s="565"/>
      <c r="Y372" t="str">
        <f t="shared" ca="1" si="17"/>
        <v>PAGO</v>
      </c>
      <c r="AA372" t="s">
        <v>400</v>
      </c>
    </row>
    <row r="373" spans="1:27" x14ac:dyDescent="0.3">
      <c r="A373" t="s">
        <v>212</v>
      </c>
      <c r="B373" s="562">
        <v>2025</v>
      </c>
      <c r="C373" t="s">
        <v>249</v>
      </c>
      <c r="D373">
        <v>498</v>
      </c>
      <c r="E373" t="s">
        <v>313</v>
      </c>
      <c r="F373" s="179">
        <v>45988</v>
      </c>
      <c r="G373" t="s">
        <v>262</v>
      </c>
      <c r="I373" t="s">
        <v>272</v>
      </c>
      <c r="J373" s="583">
        <v>11153</v>
      </c>
      <c r="K373" s="583">
        <v>0</v>
      </c>
      <c r="L373" s="565">
        <f t="shared" si="15"/>
        <v>11153</v>
      </c>
      <c r="M373" s="179">
        <v>45715</v>
      </c>
      <c r="N373" s="179">
        <v>46084</v>
      </c>
      <c r="O373" s="565">
        <v>11153</v>
      </c>
      <c r="P373" s="565">
        <f t="shared" si="16"/>
        <v>0</v>
      </c>
      <c r="Q373" s="565"/>
      <c r="R373" s="565"/>
      <c r="S373" s="565"/>
      <c r="T373" s="565"/>
      <c r="U373" s="565"/>
      <c r="V373" s="565"/>
      <c r="W373" s="565"/>
      <c r="X373" s="565"/>
      <c r="Y373" t="str">
        <f t="shared" ca="1" si="17"/>
        <v>PAGO</v>
      </c>
      <c r="AA373" t="s">
        <v>400</v>
      </c>
    </row>
    <row r="374" spans="1:27" x14ac:dyDescent="0.3">
      <c r="A374" t="s">
        <v>212</v>
      </c>
      <c r="B374" s="562">
        <v>2025</v>
      </c>
      <c r="C374" t="s">
        <v>249</v>
      </c>
      <c r="D374">
        <v>498</v>
      </c>
      <c r="E374" t="s">
        <v>313</v>
      </c>
      <c r="F374" s="179">
        <v>45988</v>
      </c>
      <c r="G374" t="s">
        <v>262</v>
      </c>
      <c r="I374" t="s">
        <v>272</v>
      </c>
      <c r="J374" s="583">
        <v>11153</v>
      </c>
      <c r="K374" s="583">
        <v>0</v>
      </c>
      <c r="L374" s="565">
        <f t="shared" si="15"/>
        <v>11153</v>
      </c>
      <c r="M374" s="179">
        <v>45722</v>
      </c>
      <c r="N374" s="179">
        <v>46093</v>
      </c>
      <c r="O374" s="565">
        <v>11153</v>
      </c>
      <c r="P374" s="565">
        <f t="shared" si="16"/>
        <v>0</v>
      </c>
      <c r="Q374" s="565"/>
      <c r="R374" s="565"/>
      <c r="S374" s="565"/>
      <c r="T374" s="565"/>
      <c r="U374" s="565"/>
      <c r="V374" s="565"/>
      <c r="W374" s="565"/>
      <c r="X374" s="565"/>
      <c r="Y374" t="str">
        <f t="shared" ca="1" si="17"/>
        <v>PAGO</v>
      </c>
      <c r="AA374" t="s">
        <v>400</v>
      </c>
    </row>
    <row r="375" spans="1:27" x14ac:dyDescent="0.3">
      <c r="A375" t="s">
        <v>212</v>
      </c>
      <c r="B375" s="562">
        <v>2025</v>
      </c>
      <c r="C375" t="s">
        <v>249</v>
      </c>
      <c r="D375">
        <v>498</v>
      </c>
      <c r="E375" t="s">
        <v>313</v>
      </c>
      <c r="F375" s="179">
        <v>45988</v>
      </c>
      <c r="G375" t="s">
        <v>262</v>
      </c>
      <c r="I375" t="s">
        <v>272</v>
      </c>
      <c r="J375" s="583">
        <v>11153</v>
      </c>
      <c r="K375" s="583">
        <v>0</v>
      </c>
      <c r="L375" s="565">
        <f t="shared" si="15"/>
        <v>11153</v>
      </c>
      <c r="M375" s="179">
        <v>45729</v>
      </c>
      <c r="N375" s="179">
        <v>46098</v>
      </c>
      <c r="O375" s="565">
        <v>11153</v>
      </c>
      <c r="P375" s="565">
        <f t="shared" si="16"/>
        <v>0</v>
      </c>
      <c r="Q375" s="565"/>
      <c r="R375" s="565"/>
      <c r="S375" s="565"/>
      <c r="T375" s="565"/>
      <c r="U375" s="565"/>
      <c r="V375" s="565"/>
      <c r="W375" s="565"/>
      <c r="X375" s="565"/>
      <c r="Y375" t="str">
        <f t="shared" ca="1" si="17"/>
        <v>PAGO</v>
      </c>
      <c r="AA375" t="s">
        <v>400</v>
      </c>
    </row>
    <row r="376" spans="1:27" x14ac:dyDescent="0.3">
      <c r="A376" t="s">
        <v>212</v>
      </c>
      <c r="B376" s="562">
        <v>2025</v>
      </c>
      <c r="C376" t="s">
        <v>249</v>
      </c>
      <c r="D376">
        <v>498</v>
      </c>
      <c r="E376" t="s">
        <v>313</v>
      </c>
      <c r="F376" s="179">
        <v>45988</v>
      </c>
      <c r="G376" t="s">
        <v>262</v>
      </c>
      <c r="I376" t="s">
        <v>272</v>
      </c>
      <c r="J376" s="583">
        <v>11153</v>
      </c>
      <c r="K376" s="583">
        <v>0</v>
      </c>
      <c r="L376" s="565">
        <f t="shared" si="15"/>
        <v>11153</v>
      </c>
      <c r="M376" s="179">
        <v>45736</v>
      </c>
      <c r="N376" s="179">
        <v>46106</v>
      </c>
      <c r="O376" s="565">
        <v>11153</v>
      </c>
      <c r="P376" s="565">
        <f t="shared" si="16"/>
        <v>0</v>
      </c>
      <c r="Q376" s="565"/>
      <c r="R376" s="565"/>
      <c r="S376" s="565"/>
      <c r="T376" s="565"/>
      <c r="U376" s="565"/>
      <c r="V376" s="565"/>
      <c r="W376" s="565"/>
      <c r="X376" s="565"/>
      <c r="Y376" t="str">
        <f t="shared" ca="1" si="17"/>
        <v>PAGO</v>
      </c>
      <c r="AA376" t="s">
        <v>400</v>
      </c>
    </row>
    <row r="377" spans="1:27" x14ac:dyDescent="0.3">
      <c r="A377" t="s">
        <v>212</v>
      </c>
      <c r="B377" s="562">
        <v>2025</v>
      </c>
      <c r="C377" t="s">
        <v>249</v>
      </c>
      <c r="D377">
        <v>499</v>
      </c>
      <c r="E377">
        <v>467</v>
      </c>
      <c r="F377" s="179">
        <v>45988</v>
      </c>
      <c r="G377" t="s">
        <v>262</v>
      </c>
      <c r="I377" t="s">
        <v>272</v>
      </c>
      <c r="J377" s="583">
        <v>5040</v>
      </c>
      <c r="K377" s="583">
        <v>0</v>
      </c>
      <c r="L377" s="565">
        <f t="shared" si="15"/>
        <v>5040</v>
      </c>
      <c r="M377" s="179">
        <v>46066</v>
      </c>
      <c r="N377" s="179">
        <v>46066</v>
      </c>
      <c r="O377" s="565">
        <v>5040</v>
      </c>
      <c r="P377" s="565">
        <f t="shared" si="16"/>
        <v>0</v>
      </c>
      <c r="Q377" s="565"/>
      <c r="R377" s="565"/>
      <c r="S377" s="565"/>
      <c r="T377" s="565"/>
      <c r="U377" s="565"/>
      <c r="V377" s="565"/>
      <c r="W377" s="565"/>
      <c r="X377" s="565"/>
      <c r="Y377" t="str">
        <f t="shared" ca="1" si="17"/>
        <v>PAGO</v>
      </c>
      <c r="AA377" t="s">
        <v>400</v>
      </c>
    </row>
    <row r="378" spans="1:27" x14ac:dyDescent="0.3">
      <c r="A378" t="s">
        <v>212</v>
      </c>
      <c r="B378" s="562">
        <v>2025</v>
      </c>
      <c r="C378" t="s">
        <v>249</v>
      </c>
      <c r="D378">
        <v>499</v>
      </c>
      <c r="E378">
        <v>467</v>
      </c>
      <c r="F378" s="179">
        <v>45988</v>
      </c>
      <c r="G378" t="s">
        <v>262</v>
      </c>
      <c r="I378" t="s">
        <v>272</v>
      </c>
      <c r="J378" s="583">
        <v>5037</v>
      </c>
      <c r="K378" s="583">
        <v>0</v>
      </c>
      <c r="L378" s="565">
        <f t="shared" si="15"/>
        <v>5037</v>
      </c>
      <c r="M378" s="179">
        <v>45708</v>
      </c>
      <c r="N378" s="179">
        <v>46077</v>
      </c>
      <c r="O378" s="565">
        <v>5037</v>
      </c>
      <c r="P378" s="565">
        <f t="shared" si="16"/>
        <v>0</v>
      </c>
      <c r="Q378" s="565"/>
      <c r="R378" s="565"/>
      <c r="S378" s="565"/>
      <c r="T378" s="565"/>
      <c r="U378" s="565"/>
      <c r="V378" s="565"/>
      <c r="W378" s="565"/>
      <c r="X378" s="565"/>
      <c r="Y378" t="str">
        <f t="shared" ca="1" si="17"/>
        <v>PAGO</v>
      </c>
      <c r="AA378" t="s">
        <v>400</v>
      </c>
    </row>
    <row r="379" spans="1:27" x14ac:dyDescent="0.3">
      <c r="A379" t="s">
        <v>212</v>
      </c>
      <c r="B379" s="562">
        <v>2025</v>
      </c>
      <c r="C379" t="s">
        <v>249</v>
      </c>
      <c r="D379">
        <v>499</v>
      </c>
      <c r="E379" t="s">
        <v>313</v>
      </c>
      <c r="F379" s="179">
        <v>45988</v>
      </c>
      <c r="G379" t="s">
        <v>262</v>
      </c>
      <c r="I379" t="s">
        <v>272</v>
      </c>
      <c r="J379" s="583">
        <v>5037</v>
      </c>
      <c r="K379" s="583">
        <v>0</v>
      </c>
      <c r="L379" s="565">
        <f t="shared" si="15"/>
        <v>5037</v>
      </c>
      <c r="M379" s="179">
        <v>45715</v>
      </c>
      <c r="N379" s="179">
        <v>46084</v>
      </c>
      <c r="O379" s="565">
        <v>5037</v>
      </c>
      <c r="P379" s="565">
        <f t="shared" si="16"/>
        <v>0</v>
      </c>
      <c r="Q379" s="565"/>
      <c r="R379" s="565"/>
      <c r="S379" s="565"/>
      <c r="T379" s="565"/>
      <c r="U379" s="565"/>
      <c r="V379" s="565"/>
      <c r="W379" s="565"/>
      <c r="X379" s="565"/>
      <c r="Y379" t="str">
        <f t="shared" ca="1" si="17"/>
        <v>PAGO</v>
      </c>
      <c r="AA379" t="s">
        <v>400</v>
      </c>
    </row>
    <row r="380" spans="1:27" x14ac:dyDescent="0.3">
      <c r="A380" t="s">
        <v>212</v>
      </c>
      <c r="B380" s="562">
        <v>2025</v>
      </c>
      <c r="C380" t="s">
        <v>249</v>
      </c>
      <c r="D380">
        <v>499</v>
      </c>
      <c r="E380" t="s">
        <v>313</v>
      </c>
      <c r="F380" s="179">
        <v>45988</v>
      </c>
      <c r="G380" t="s">
        <v>262</v>
      </c>
      <c r="I380" t="s">
        <v>272</v>
      </c>
      <c r="J380" s="583">
        <v>5037</v>
      </c>
      <c r="K380" s="583">
        <v>0</v>
      </c>
      <c r="L380" s="565">
        <f t="shared" si="15"/>
        <v>5037</v>
      </c>
      <c r="M380" s="179">
        <v>45722</v>
      </c>
      <c r="N380" s="179">
        <v>46093</v>
      </c>
      <c r="O380" s="565">
        <v>5037</v>
      </c>
      <c r="P380" s="565">
        <f t="shared" si="16"/>
        <v>0</v>
      </c>
      <c r="Q380" s="565"/>
      <c r="R380" s="565"/>
      <c r="S380" s="565"/>
      <c r="T380" s="565"/>
      <c r="U380" s="565"/>
      <c r="V380" s="565"/>
      <c r="W380" s="565"/>
      <c r="X380" s="565"/>
      <c r="Y380" t="str">
        <f t="shared" ca="1" si="17"/>
        <v>PAGO</v>
      </c>
      <c r="AA380" t="s">
        <v>400</v>
      </c>
    </row>
    <row r="381" spans="1:27" x14ac:dyDescent="0.3">
      <c r="A381" t="s">
        <v>212</v>
      </c>
      <c r="B381" s="562">
        <v>2025</v>
      </c>
      <c r="C381" t="s">
        <v>249</v>
      </c>
      <c r="D381">
        <v>499</v>
      </c>
      <c r="E381" t="s">
        <v>313</v>
      </c>
      <c r="F381" s="179">
        <v>45988</v>
      </c>
      <c r="G381" t="s">
        <v>262</v>
      </c>
      <c r="I381" t="s">
        <v>272</v>
      </c>
      <c r="J381" s="583">
        <v>5037</v>
      </c>
      <c r="K381" s="583">
        <v>0</v>
      </c>
      <c r="L381" s="565">
        <f t="shared" si="15"/>
        <v>5037</v>
      </c>
      <c r="M381" s="179">
        <v>45729</v>
      </c>
      <c r="N381" s="179">
        <v>46098</v>
      </c>
      <c r="O381" s="565">
        <v>5037</v>
      </c>
      <c r="P381" s="565">
        <f t="shared" si="16"/>
        <v>0</v>
      </c>
      <c r="Q381" s="565"/>
      <c r="R381" s="565"/>
      <c r="S381" s="565"/>
      <c r="T381" s="565"/>
      <c r="U381" s="565"/>
      <c r="V381" s="565"/>
      <c r="W381" s="565"/>
      <c r="X381" s="565"/>
      <c r="Y381" t="str">
        <f t="shared" ca="1" si="17"/>
        <v>PAGO</v>
      </c>
      <c r="AA381" t="s">
        <v>400</v>
      </c>
    </row>
    <row r="382" spans="1:27" x14ac:dyDescent="0.3">
      <c r="A382" t="s">
        <v>212</v>
      </c>
      <c r="B382" s="562">
        <v>2025</v>
      </c>
      <c r="C382" t="s">
        <v>249</v>
      </c>
      <c r="D382">
        <v>499</v>
      </c>
      <c r="E382" t="s">
        <v>313</v>
      </c>
      <c r="F382" s="179">
        <v>45988</v>
      </c>
      <c r="G382" t="s">
        <v>262</v>
      </c>
      <c r="I382" t="s">
        <v>272</v>
      </c>
      <c r="J382" s="583">
        <v>5037</v>
      </c>
      <c r="K382" s="583">
        <v>0</v>
      </c>
      <c r="L382" s="565">
        <f t="shared" si="15"/>
        <v>5037</v>
      </c>
      <c r="M382" s="179">
        <v>45736</v>
      </c>
      <c r="N382" s="179">
        <v>46106</v>
      </c>
      <c r="O382" s="565">
        <v>5037</v>
      </c>
      <c r="P382" s="565">
        <f t="shared" si="16"/>
        <v>0</v>
      </c>
      <c r="Q382" s="565"/>
      <c r="R382" s="565"/>
      <c r="S382" s="565"/>
      <c r="T382" s="565"/>
      <c r="U382" s="565"/>
      <c r="V382" s="565"/>
      <c r="W382" s="565"/>
      <c r="X382" s="565"/>
      <c r="Y382" t="str">
        <f t="shared" ca="1" si="17"/>
        <v>PAGO</v>
      </c>
      <c r="AA382" t="s">
        <v>400</v>
      </c>
    </row>
    <row r="383" spans="1:27" x14ac:dyDescent="0.3">
      <c r="A383" t="s">
        <v>212</v>
      </c>
      <c r="B383" s="562">
        <v>2025</v>
      </c>
      <c r="C383" t="s">
        <v>249</v>
      </c>
      <c r="D383">
        <v>500</v>
      </c>
      <c r="E383">
        <v>468</v>
      </c>
      <c r="F383" s="179">
        <v>45988</v>
      </c>
      <c r="G383" t="s">
        <v>262</v>
      </c>
      <c r="I383" t="s">
        <v>272</v>
      </c>
      <c r="J383" s="583">
        <v>14845.25</v>
      </c>
      <c r="K383" s="583">
        <v>0</v>
      </c>
      <c r="L383" s="565">
        <f t="shared" si="15"/>
        <v>14845.25</v>
      </c>
      <c r="M383" s="179">
        <v>46066</v>
      </c>
      <c r="N383" s="179">
        <v>46066</v>
      </c>
      <c r="O383" s="565">
        <v>14845.25</v>
      </c>
      <c r="P383" s="565">
        <f t="shared" si="16"/>
        <v>0</v>
      </c>
      <c r="Q383" s="565"/>
      <c r="R383" s="565"/>
      <c r="S383" s="565"/>
      <c r="T383" s="565"/>
      <c r="U383" s="565"/>
      <c r="V383" s="565"/>
      <c r="W383" s="565"/>
      <c r="X383" s="565"/>
      <c r="Y383" t="str">
        <f t="shared" ca="1" si="17"/>
        <v>PAGO</v>
      </c>
      <c r="AA383" t="s">
        <v>400</v>
      </c>
    </row>
    <row r="384" spans="1:27" x14ac:dyDescent="0.3">
      <c r="A384" t="s">
        <v>212</v>
      </c>
      <c r="B384" s="562">
        <v>2025</v>
      </c>
      <c r="C384" t="s">
        <v>249</v>
      </c>
      <c r="D384">
        <v>500</v>
      </c>
      <c r="E384">
        <v>468</v>
      </c>
      <c r="F384" s="179">
        <v>45988</v>
      </c>
      <c r="G384" t="s">
        <v>262</v>
      </c>
      <c r="I384" t="s">
        <v>272</v>
      </c>
      <c r="J384" s="583">
        <v>14842</v>
      </c>
      <c r="K384" s="583">
        <v>0</v>
      </c>
      <c r="L384" s="565">
        <f t="shared" si="15"/>
        <v>14842</v>
      </c>
      <c r="M384" s="179">
        <v>45708</v>
      </c>
      <c r="N384" s="179">
        <v>46077</v>
      </c>
      <c r="O384" s="565">
        <v>14842</v>
      </c>
      <c r="P384" s="565">
        <f t="shared" si="16"/>
        <v>0</v>
      </c>
      <c r="Q384" s="565"/>
      <c r="R384" s="565"/>
      <c r="S384" s="565"/>
      <c r="T384" s="565"/>
      <c r="U384" s="565"/>
      <c r="V384" s="565"/>
      <c r="W384" s="565"/>
      <c r="X384" s="565"/>
      <c r="Y384" t="str">
        <f t="shared" ca="1" si="17"/>
        <v>PAGO</v>
      </c>
      <c r="AA384" t="s">
        <v>400</v>
      </c>
    </row>
    <row r="385" spans="1:27" x14ac:dyDescent="0.3">
      <c r="A385" t="s">
        <v>212</v>
      </c>
      <c r="B385" s="562">
        <v>2025</v>
      </c>
      <c r="C385" t="s">
        <v>249</v>
      </c>
      <c r="D385">
        <v>500</v>
      </c>
      <c r="E385" t="s">
        <v>313</v>
      </c>
      <c r="F385" s="179">
        <v>45988</v>
      </c>
      <c r="G385" t="s">
        <v>262</v>
      </c>
      <c r="I385" t="s">
        <v>272</v>
      </c>
      <c r="J385" s="583">
        <v>14842</v>
      </c>
      <c r="K385" s="583">
        <v>0</v>
      </c>
      <c r="L385" s="565">
        <f t="shared" si="15"/>
        <v>14842</v>
      </c>
      <c r="M385" s="179">
        <v>45715</v>
      </c>
      <c r="N385" s="179">
        <v>46084</v>
      </c>
      <c r="O385" s="565">
        <v>14842</v>
      </c>
      <c r="P385" s="565">
        <f t="shared" si="16"/>
        <v>0</v>
      </c>
      <c r="Q385" s="565"/>
      <c r="R385" s="565"/>
      <c r="S385" s="565"/>
      <c r="T385" s="565"/>
      <c r="U385" s="565"/>
      <c r="V385" s="565"/>
      <c r="W385" s="565"/>
      <c r="X385" s="565"/>
      <c r="Y385" t="str">
        <f t="shared" ca="1" si="17"/>
        <v>PAGO</v>
      </c>
      <c r="AA385" t="s">
        <v>400</v>
      </c>
    </row>
    <row r="386" spans="1:27" x14ac:dyDescent="0.3">
      <c r="A386" t="s">
        <v>212</v>
      </c>
      <c r="B386" s="562">
        <v>2025</v>
      </c>
      <c r="C386" t="s">
        <v>249</v>
      </c>
      <c r="D386">
        <v>500</v>
      </c>
      <c r="E386" t="s">
        <v>313</v>
      </c>
      <c r="F386" s="179">
        <v>45988</v>
      </c>
      <c r="G386" t="s">
        <v>262</v>
      </c>
      <c r="I386" t="s">
        <v>272</v>
      </c>
      <c r="J386" s="583">
        <v>14842</v>
      </c>
      <c r="K386" s="583">
        <v>0</v>
      </c>
      <c r="L386" s="565">
        <f t="shared" si="15"/>
        <v>14842</v>
      </c>
      <c r="M386" s="179">
        <v>45722</v>
      </c>
      <c r="N386" s="179">
        <v>46093</v>
      </c>
      <c r="O386" s="565">
        <v>14842</v>
      </c>
      <c r="P386" s="565">
        <f t="shared" si="16"/>
        <v>0</v>
      </c>
      <c r="Q386" s="565"/>
      <c r="R386" s="565"/>
      <c r="S386" s="565"/>
      <c r="T386" s="565"/>
      <c r="U386" s="565"/>
      <c r="V386" s="565"/>
      <c r="W386" s="565"/>
      <c r="X386" s="565"/>
      <c r="Y386" t="str">
        <f t="shared" ca="1" si="17"/>
        <v>PAGO</v>
      </c>
      <c r="AA386" t="s">
        <v>400</v>
      </c>
    </row>
    <row r="387" spans="1:27" x14ac:dyDescent="0.3">
      <c r="A387" t="s">
        <v>212</v>
      </c>
      <c r="B387" s="562">
        <v>2025</v>
      </c>
      <c r="C387" t="s">
        <v>249</v>
      </c>
      <c r="D387">
        <v>500</v>
      </c>
      <c r="E387" t="s">
        <v>313</v>
      </c>
      <c r="F387" s="179">
        <v>45988</v>
      </c>
      <c r="G387" t="s">
        <v>262</v>
      </c>
      <c r="I387" t="s">
        <v>272</v>
      </c>
      <c r="J387" s="583">
        <v>14842</v>
      </c>
      <c r="K387" s="583">
        <v>0</v>
      </c>
      <c r="L387" s="565">
        <f t="shared" ref="L387:L450" si="18">J387+K387</f>
        <v>14842</v>
      </c>
      <c r="M387" s="179">
        <v>45729</v>
      </c>
      <c r="N387" s="179">
        <v>46098</v>
      </c>
      <c r="O387" s="565">
        <v>14842</v>
      </c>
      <c r="P387" s="565">
        <f t="shared" ref="P387:P450" si="19">L387-O387</f>
        <v>0</v>
      </c>
      <c r="Q387" s="565"/>
      <c r="R387" s="565"/>
      <c r="S387" s="565"/>
      <c r="T387" s="565"/>
      <c r="U387" s="565"/>
      <c r="V387" s="565"/>
      <c r="W387" s="565"/>
      <c r="X387" s="565"/>
      <c r="Y387" t="str">
        <f t="shared" ref="Y387:Y450" ca="1" si="20">IF(L387=0,"SEM VALOR",IF(P387&lt;=0.01,"PAGO",IF(M387="","SEM VENCIMENTO",IF(M387&lt;TODAY(),"VENCIDO","A VENCER"))))</f>
        <v>PAGO</v>
      </c>
      <c r="AA387" t="s">
        <v>400</v>
      </c>
    </row>
    <row r="388" spans="1:27" x14ac:dyDescent="0.3">
      <c r="A388" t="s">
        <v>212</v>
      </c>
      <c r="B388" s="562">
        <v>2025</v>
      </c>
      <c r="C388" t="s">
        <v>249</v>
      </c>
      <c r="D388">
        <v>500</v>
      </c>
      <c r="E388" t="s">
        <v>313</v>
      </c>
      <c r="F388" s="179">
        <v>45988</v>
      </c>
      <c r="G388" t="s">
        <v>262</v>
      </c>
      <c r="I388" t="s">
        <v>272</v>
      </c>
      <c r="J388" s="583">
        <v>14842</v>
      </c>
      <c r="K388" s="583">
        <v>0</v>
      </c>
      <c r="L388" s="565">
        <f t="shared" si="18"/>
        <v>14842</v>
      </c>
      <c r="M388" s="179">
        <v>45736</v>
      </c>
      <c r="N388" s="179">
        <v>46106</v>
      </c>
      <c r="O388" s="565">
        <v>14842</v>
      </c>
      <c r="P388" s="565">
        <f t="shared" si="19"/>
        <v>0</v>
      </c>
      <c r="Q388" s="565"/>
      <c r="R388" s="565"/>
      <c r="S388" s="565"/>
      <c r="T388" s="565"/>
      <c r="U388" s="565"/>
      <c r="V388" s="565"/>
      <c r="W388" s="565"/>
      <c r="X388" s="565"/>
      <c r="Y388" t="str">
        <f t="shared" ca="1" si="20"/>
        <v>PAGO</v>
      </c>
      <c r="AA388" t="s">
        <v>400</v>
      </c>
    </row>
    <row r="389" spans="1:27" x14ac:dyDescent="0.3">
      <c r="A389" t="s">
        <v>212</v>
      </c>
      <c r="B389" s="562">
        <v>2025</v>
      </c>
      <c r="C389" t="s">
        <v>249</v>
      </c>
      <c r="D389">
        <v>20788</v>
      </c>
      <c r="E389">
        <v>2993</v>
      </c>
      <c r="F389" s="179">
        <v>45986</v>
      </c>
      <c r="G389" t="s">
        <v>254</v>
      </c>
      <c r="I389" t="s">
        <v>271</v>
      </c>
      <c r="J389" s="583">
        <v>1843.38</v>
      </c>
      <c r="K389" s="583">
        <v>0</v>
      </c>
      <c r="L389" s="565">
        <f t="shared" si="18"/>
        <v>1843.38</v>
      </c>
      <c r="M389" s="179">
        <v>45986</v>
      </c>
      <c r="N389" s="179">
        <v>45993</v>
      </c>
      <c r="O389" s="565">
        <v>1843.38</v>
      </c>
      <c r="P389" s="565">
        <f t="shared" si="19"/>
        <v>0</v>
      </c>
      <c r="Q389" s="565"/>
      <c r="R389" s="565"/>
      <c r="S389" s="565"/>
      <c r="T389" s="565"/>
      <c r="U389" s="565"/>
      <c r="V389" s="565"/>
      <c r="W389" s="565"/>
      <c r="X389" s="565"/>
      <c r="Y389" t="str">
        <f t="shared" ca="1" si="20"/>
        <v>PAGO</v>
      </c>
      <c r="AA389" t="s">
        <v>400</v>
      </c>
    </row>
    <row r="390" spans="1:27" x14ac:dyDescent="0.3">
      <c r="A390" t="s">
        <v>212</v>
      </c>
      <c r="B390" s="562">
        <v>2025</v>
      </c>
      <c r="C390" t="s">
        <v>248</v>
      </c>
      <c r="D390">
        <v>20843</v>
      </c>
      <c r="E390">
        <v>3002</v>
      </c>
      <c r="F390" s="179">
        <v>45989</v>
      </c>
      <c r="G390" t="s">
        <v>236</v>
      </c>
      <c r="I390" t="s">
        <v>270</v>
      </c>
      <c r="J390" s="583">
        <v>0</v>
      </c>
      <c r="K390" s="583">
        <v>1453.03</v>
      </c>
      <c r="L390" s="565">
        <f t="shared" si="18"/>
        <v>1453.03</v>
      </c>
      <c r="M390" s="179">
        <v>46017</v>
      </c>
      <c r="N390" s="179">
        <v>46043</v>
      </c>
      <c r="O390" s="565">
        <v>1453.02</v>
      </c>
      <c r="P390" s="565">
        <f t="shared" si="19"/>
        <v>9.9999999999909051E-3</v>
      </c>
      <c r="Q390" s="565"/>
      <c r="R390" s="565"/>
      <c r="S390" s="565"/>
      <c r="T390" s="565"/>
      <c r="U390" s="565"/>
      <c r="V390" s="565"/>
      <c r="W390" s="565"/>
      <c r="X390" s="565"/>
      <c r="Y390" t="str">
        <f t="shared" ca="1" si="20"/>
        <v>PAGO</v>
      </c>
      <c r="AA390" t="s">
        <v>400</v>
      </c>
    </row>
    <row r="391" spans="1:27" x14ac:dyDescent="0.3">
      <c r="A391" t="s">
        <v>212</v>
      </c>
      <c r="B391" s="562">
        <v>2025</v>
      </c>
      <c r="C391" t="s">
        <v>248</v>
      </c>
      <c r="D391">
        <v>20843</v>
      </c>
      <c r="E391">
        <v>3002</v>
      </c>
      <c r="F391" s="179">
        <v>45989</v>
      </c>
      <c r="G391" t="s">
        <v>236</v>
      </c>
      <c r="I391" t="s">
        <v>270</v>
      </c>
      <c r="J391" s="583">
        <v>0</v>
      </c>
      <c r="K391" s="583">
        <v>1453.03</v>
      </c>
      <c r="L391" s="565">
        <f t="shared" si="18"/>
        <v>1453.03</v>
      </c>
      <c r="M391" s="179">
        <v>45659</v>
      </c>
      <c r="N391" s="179">
        <v>46043</v>
      </c>
      <c r="O391" s="565">
        <v>1453.02</v>
      </c>
      <c r="P391" s="565">
        <f t="shared" si="19"/>
        <v>9.9999999999909051E-3</v>
      </c>
      <c r="Q391" s="565"/>
      <c r="R391" s="565"/>
      <c r="S391" s="565"/>
      <c r="T391" s="565"/>
      <c r="U391" s="565"/>
      <c r="V391" s="565"/>
      <c r="W391" s="565"/>
      <c r="X391" s="565"/>
      <c r="Y391" t="str">
        <f t="shared" ca="1" si="20"/>
        <v>PAGO</v>
      </c>
      <c r="AA391" t="s">
        <v>400</v>
      </c>
    </row>
    <row r="392" spans="1:27" x14ac:dyDescent="0.3">
      <c r="A392" t="s">
        <v>212</v>
      </c>
      <c r="B392" s="562">
        <v>2025</v>
      </c>
      <c r="C392" t="s">
        <v>248</v>
      </c>
      <c r="D392">
        <v>20843</v>
      </c>
      <c r="E392">
        <v>3002</v>
      </c>
      <c r="F392" s="179">
        <v>45989</v>
      </c>
      <c r="G392" t="s">
        <v>236</v>
      </c>
      <c r="I392" t="s">
        <v>270</v>
      </c>
      <c r="J392" s="583">
        <v>0</v>
      </c>
      <c r="K392" s="583">
        <v>1453.02</v>
      </c>
      <c r="L392" s="565">
        <f t="shared" si="18"/>
        <v>1453.02</v>
      </c>
      <c r="M392" s="179">
        <v>45666</v>
      </c>
      <c r="N392" s="179">
        <v>46050</v>
      </c>
      <c r="O392" s="565">
        <v>1453.02</v>
      </c>
      <c r="P392" s="565">
        <f t="shared" si="19"/>
        <v>0</v>
      </c>
      <c r="Q392" s="565"/>
      <c r="R392" s="565"/>
      <c r="S392" s="565"/>
      <c r="T392" s="565"/>
      <c r="U392" s="565"/>
      <c r="V392" s="565"/>
      <c r="W392" s="565"/>
      <c r="X392" s="565"/>
      <c r="Y392" t="str">
        <f t="shared" ca="1" si="20"/>
        <v>PAGO</v>
      </c>
      <c r="AA392" t="s">
        <v>400</v>
      </c>
    </row>
    <row r="393" spans="1:27" x14ac:dyDescent="0.3">
      <c r="A393" t="s">
        <v>213</v>
      </c>
      <c r="B393" s="562">
        <v>2025</v>
      </c>
      <c r="C393" t="s">
        <v>249</v>
      </c>
      <c r="D393">
        <v>507</v>
      </c>
      <c r="E393">
        <v>428</v>
      </c>
      <c r="F393" s="179">
        <v>45992</v>
      </c>
      <c r="G393" t="s">
        <v>254</v>
      </c>
      <c r="I393" t="s">
        <v>271</v>
      </c>
      <c r="J393" s="583">
        <v>6757.5</v>
      </c>
      <c r="K393" s="583">
        <v>0</v>
      </c>
      <c r="L393" s="565">
        <f t="shared" si="18"/>
        <v>6757.5</v>
      </c>
      <c r="M393" s="179">
        <v>45992</v>
      </c>
      <c r="N393" s="179">
        <v>46006</v>
      </c>
      <c r="O393" s="565">
        <v>6757.5</v>
      </c>
      <c r="P393" s="565">
        <f t="shared" si="19"/>
        <v>0</v>
      </c>
      <c r="Q393" s="565"/>
      <c r="R393" s="565"/>
      <c r="S393" s="565"/>
      <c r="T393" s="565"/>
      <c r="U393" s="565"/>
      <c r="V393" s="565"/>
      <c r="W393" s="565"/>
      <c r="X393" s="565"/>
      <c r="Y393" t="str">
        <f t="shared" ca="1" si="20"/>
        <v>PAGO</v>
      </c>
      <c r="AA393" t="s">
        <v>401</v>
      </c>
    </row>
    <row r="394" spans="1:27" x14ac:dyDescent="0.3">
      <c r="A394" t="s">
        <v>213</v>
      </c>
      <c r="B394" s="562">
        <v>2025</v>
      </c>
      <c r="C394" t="s">
        <v>249</v>
      </c>
      <c r="D394">
        <v>20882</v>
      </c>
      <c r="E394">
        <v>2993</v>
      </c>
      <c r="F394" s="179">
        <v>45993</v>
      </c>
      <c r="G394" t="s">
        <v>254</v>
      </c>
      <c r="I394" t="s">
        <v>271</v>
      </c>
      <c r="J394" s="583">
        <v>1915.2</v>
      </c>
      <c r="K394" s="583">
        <v>0</v>
      </c>
      <c r="L394" s="565">
        <f t="shared" si="18"/>
        <v>1915.2</v>
      </c>
      <c r="M394" s="179">
        <v>45993</v>
      </c>
      <c r="N394" s="179">
        <v>45993</v>
      </c>
      <c r="O394" s="565">
        <v>1915.2</v>
      </c>
      <c r="P394" s="565">
        <f t="shared" si="19"/>
        <v>0</v>
      </c>
      <c r="Q394" s="565"/>
      <c r="R394" s="565"/>
      <c r="S394" s="565"/>
      <c r="T394" s="565"/>
      <c r="U394" s="565"/>
      <c r="V394" s="565"/>
      <c r="W394" s="565"/>
      <c r="X394" s="565"/>
      <c r="Y394" t="str">
        <f t="shared" ca="1" si="20"/>
        <v>PAGO</v>
      </c>
      <c r="AA394" t="s">
        <v>401</v>
      </c>
    </row>
    <row r="395" spans="1:27" x14ac:dyDescent="0.3">
      <c r="A395" t="s">
        <v>213</v>
      </c>
      <c r="B395" s="562">
        <v>2025</v>
      </c>
      <c r="C395" t="s">
        <v>249</v>
      </c>
      <c r="D395">
        <v>20883</v>
      </c>
      <c r="E395">
        <v>3050</v>
      </c>
      <c r="F395" s="179">
        <v>45993</v>
      </c>
      <c r="G395" t="s">
        <v>254</v>
      </c>
      <c r="I395" t="s">
        <v>271</v>
      </c>
      <c r="J395" s="583">
        <v>6224.4</v>
      </c>
      <c r="K395" s="583">
        <v>0</v>
      </c>
      <c r="L395" s="565">
        <f t="shared" si="18"/>
        <v>6224.4</v>
      </c>
      <c r="M395" s="179">
        <v>45993</v>
      </c>
      <c r="N395" s="179">
        <v>45993</v>
      </c>
      <c r="O395" s="565">
        <v>6224.4</v>
      </c>
      <c r="P395" s="565">
        <f t="shared" si="19"/>
        <v>0</v>
      </c>
      <c r="Q395" s="565"/>
      <c r="R395" s="565"/>
      <c r="S395" s="565"/>
      <c r="T395" s="565"/>
      <c r="U395" s="565"/>
      <c r="V395" s="565"/>
      <c r="W395" s="565"/>
      <c r="X395" s="565"/>
      <c r="Y395" t="str">
        <f t="shared" ca="1" si="20"/>
        <v>PAGO</v>
      </c>
      <c r="AA395" t="s">
        <v>401</v>
      </c>
    </row>
    <row r="396" spans="1:27" x14ac:dyDescent="0.3">
      <c r="A396" t="s">
        <v>213</v>
      </c>
      <c r="B396" s="562">
        <v>2025</v>
      </c>
      <c r="C396" t="s">
        <v>249</v>
      </c>
      <c r="D396">
        <v>525</v>
      </c>
      <c r="E396">
        <v>1019</v>
      </c>
      <c r="F396" s="179">
        <v>46360</v>
      </c>
      <c r="G396" t="s">
        <v>276</v>
      </c>
      <c r="I396" t="s">
        <v>272</v>
      </c>
      <c r="J396" s="583">
        <v>18956.25</v>
      </c>
      <c r="K396" s="583">
        <v>0</v>
      </c>
      <c r="L396" s="565">
        <f t="shared" si="18"/>
        <v>18956.25</v>
      </c>
      <c r="M396" s="179">
        <v>46112</v>
      </c>
      <c r="N396" s="179">
        <v>46122</v>
      </c>
      <c r="O396" s="565">
        <v>18956.25</v>
      </c>
      <c r="P396" s="565">
        <f t="shared" si="19"/>
        <v>0</v>
      </c>
      <c r="Q396" s="565"/>
      <c r="R396" s="565"/>
      <c r="S396" s="565"/>
      <c r="T396" s="565"/>
      <c r="U396" s="565"/>
      <c r="V396" s="565"/>
      <c r="W396" s="565"/>
      <c r="X396" s="565"/>
      <c r="Y396" t="str">
        <f t="shared" ca="1" si="20"/>
        <v>PAGO</v>
      </c>
      <c r="AA396" t="s">
        <v>401</v>
      </c>
    </row>
    <row r="397" spans="1:27" x14ac:dyDescent="0.3">
      <c r="A397" t="s">
        <v>213</v>
      </c>
      <c r="B397" s="562">
        <v>2025</v>
      </c>
      <c r="C397" t="s">
        <v>249</v>
      </c>
      <c r="D397">
        <v>525</v>
      </c>
      <c r="E397">
        <v>1019</v>
      </c>
      <c r="F397" s="179">
        <v>46360</v>
      </c>
      <c r="G397" t="s">
        <v>276</v>
      </c>
      <c r="I397" t="s">
        <v>272</v>
      </c>
      <c r="J397" s="583">
        <v>18954</v>
      </c>
      <c r="K397" s="583">
        <v>0</v>
      </c>
      <c r="L397" s="565">
        <f t="shared" si="18"/>
        <v>18954</v>
      </c>
      <c r="M397" s="179">
        <v>46119</v>
      </c>
      <c r="N397" s="179">
        <v>46150</v>
      </c>
      <c r="O397" s="565">
        <v>18954</v>
      </c>
      <c r="P397" s="565">
        <f t="shared" si="19"/>
        <v>0</v>
      </c>
      <c r="Q397" s="565"/>
      <c r="R397" s="565"/>
      <c r="S397" s="565"/>
      <c r="T397" s="565"/>
      <c r="U397" s="565"/>
      <c r="V397" s="565"/>
      <c r="W397" s="565"/>
      <c r="X397" s="565"/>
      <c r="Y397" t="str">
        <f t="shared" ca="1" si="20"/>
        <v>PAGO</v>
      </c>
      <c r="AA397" t="s">
        <v>401</v>
      </c>
    </row>
    <row r="398" spans="1:27" x14ac:dyDescent="0.3">
      <c r="A398" t="s">
        <v>213</v>
      </c>
      <c r="B398" s="562">
        <v>2025</v>
      </c>
      <c r="C398" t="s">
        <v>249</v>
      </c>
      <c r="D398">
        <v>525</v>
      </c>
      <c r="E398">
        <v>1019</v>
      </c>
      <c r="F398" s="179">
        <v>46360</v>
      </c>
      <c r="G398" t="s">
        <v>276</v>
      </c>
      <c r="I398" t="s">
        <v>272</v>
      </c>
      <c r="J398" s="583">
        <v>18954</v>
      </c>
      <c r="K398" s="583">
        <v>0</v>
      </c>
      <c r="L398" s="565">
        <f t="shared" si="18"/>
        <v>18954</v>
      </c>
      <c r="M398" s="179">
        <v>46126</v>
      </c>
      <c r="N398" s="179">
        <v>46160</v>
      </c>
      <c r="O398" s="565">
        <v>18954</v>
      </c>
      <c r="P398" s="565">
        <f t="shared" si="19"/>
        <v>0</v>
      </c>
      <c r="Q398" s="565"/>
      <c r="R398" s="565"/>
      <c r="S398" s="565"/>
      <c r="T398" s="565"/>
      <c r="U398" s="565"/>
      <c r="V398" s="565"/>
      <c r="W398" s="565"/>
      <c r="X398" s="565"/>
      <c r="Y398" t="str">
        <f t="shared" ca="1" si="20"/>
        <v>PAGO</v>
      </c>
      <c r="AA398" t="s">
        <v>401</v>
      </c>
    </row>
    <row r="399" spans="1:27" x14ac:dyDescent="0.3">
      <c r="A399" t="s">
        <v>213</v>
      </c>
      <c r="B399" s="562">
        <v>2025</v>
      </c>
      <c r="C399" t="s">
        <v>249</v>
      </c>
      <c r="D399">
        <v>525</v>
      </c>
      <c r="E399">
        <v>1019</v>
      </c>
      <c r="F399" s="179">
        <v>46360</v>
      </c>
      <c r="G399" t="s">
        <v>276</v>
      </c>
      <c r="I399" t="s">
        <v>272</v>
      </c>
      <c r="J399" s="583">
        <v>18954</v>
      </c>
      <c r="K399" s="583">
        <v>0</v>
      </c>
      <c r="L399" s="565">
        <f t="shared" si="18"/>
        <v>18954</v>
      </c>
      <c r="M399" s="179">
        <v>46133</v>
      </c>
      <c r="N399" s="179">
        <v>46176</v>
      </c>
      <c r="O399" s="565">
        <v>18954</v>
      </c>
      <c r="P399" s="565">
        <f t="shared" si="19"/>
        <v>0</v>
      </c>
      <c r="Q399" s="565"/>
      <c r="R399" s="565"/>
      <c r="S399" s="565"/>
      <c r="T399" s="565"/>
      <c r="U399" s="565"/>
      <c r="V399" s="565"/>
      <c r="W399" s="565"/>
      <c r="X399" s="565"/>
      <c r="Y399" t="str">
        <f t="shared" ca="1" si="20"/>
        <v>PAGO</v>
      </c>
      <c r="AA399" t="s">
        <v>401</v>
      </c>
    </row>
    <row r="400" spans="1:27" x14ac:dyDescent="0.3">
      <c r="A400" t="s">
        <v>213</v>
      </c>
      <c r="B400" s="562">
        <v>2025</v>
      </c>
      <c r="C400" t="s">
        <v>248</v>
      </c>
      <c r="D400">
        <v>20958</v>
      </c>
      <c r="E400">
        <v>3078</v>
      </c>
      <c r="F400" s="179">
        <v>45996</v>
      </c>
      <c r="G400" t="s">
        <v>237</v>
      </c>
      <c r="I400" t="s">
        <v>270</v>
      </c>
      <c r="J400" s="583">
        <v>0</v>
      </c>
      <c r="K400" s="583">
        <v>1404.23</v>
      </c>
      <c r="L400" s="565">
        <f t="shared" si="18"/>
        <v>1404.23</v>
      </c>
      <c r="M400" s="179">
        <v>45666</v>
      </c>
      <c r="N400" s="179">
        <v>46035</v>
      </c>
      <c r="O400" s="565">
        <v>1404.23</v>
      </c>
      <c r="P400" s="565">
        <f t="shared" si="19"/>
        <v>0</v>
      </c>
      <c r="Q400" s="565"/>
      <c r="R400" s="565"/>
      <c r="S400" s="565"/>
      <c r="T400" s="565"/>
      <c r="U400" s="565"/>
      <c r="V400" s="565"/>
      <c r="W400" s="565"/>
      <c r="X400" s="565"/>
      <c r="Y400" t="str">
        <f t="shared" ca="1" si="20"/>
        <v>PAGO</v>
      </c>
      <c r="AA400" t="s">
        <v>401</v>
      </c>
    </row>
    <row r="401" spans="1:27" x14ac:dyDescent="0.3">
      <c r="A401" t="s">
        <v>213</v>
      </c>
      <c r="B401" s="562">
        <v>2025</v>
      </c>
      <c r="C401" t="s">
        <v>248</v>
      </c>
      <c r="D401">
        <v>20959</v>
      </c>
      <c r="E401">
        <v>3106</v>
      </c>
      <c r="F401" s="179">
        <v>46361</v>
      </c>
      <c r="G401" t="s">
        <v>237</v>
      </c>
      <c r="I401" t="s">
        <v>270</v>
      </c>
      <c r="J401" s="583">
        <v>0</v>
      </c>
      <c r="K401" s="583">
        <v>1411.33</v>
      </c>
      <c r="L401" s="565">
        <f t="shared" si="18"/>
        <v>1411.33</v>
      </c>
      <c r="M401" s="179">
        <v>46031</v>
      </c>
      <c r="N401" s="179">
        <v>46035</v>
      </c>
      <c r="O401" s="565">
        <v>1411.33</v>
      </c>
      <c r="P401" s="565">
        <f t="shared" si="19"/>
        <v>0</v>
      </c>
      <c r="Q401" s="565"/>
      <c r="R401" s="565"/>
      <c r="S401" s="565"/>
      <c r="T401" s="565"/>
      <c r="U401" s="565"/>
      <c r="V401" s="565"/>
      <c r="W401" s="565"/>
      <c r="X401" s="565"/>
      <c r="Y401" t="str">
        <f t="shared" ca="1" si="20"/>
        <v>PAGO</v>
      </c>
      <c r="AA401" t="s">
        <v>401</v>
      </c>
    </row>
    <row r="402" spans="1:27" x14ac:dyDescent="0.3">
      <c r="A402" t="s">
        <v>213</v>
      </c>
      <c r="B402" s="562">
        <v>2025</v>
      </c>
      <c r="C402" t="s">
        <v>248</v>
      </c>
      <c r="D402">
        <v>21045</v>
      </c>
      <c r="E402">
        <v>3192</v>
      </c>
      <c r="F402" s="179">
        <v>46002</v>
      </c>
      <c r="G402" t="s">
        <v>237</v>
      </c>
      <c r="I402" t="s">
        <v>270</v>
      </c>
      <c r="J402" s="583">
        <v>0</v>
      </c>
      <c r="K402" s="583">
        <v>1407.78</v>
      </c>
      <c r="L402" s="565">
        <f t="shared" si="18"/>
        <v>1407.78</v>
      </c>
      <c r="M402" s="179">
        <v>45672</v>
      </c>
      <c r="N402" s="179">
        <v>46037</v>
      </c>
      <c r="O402" s="565">
        <v>1407.78</v>
      </c>
      <c r="P402" s="565">
        <f t="shared" si="19"/>
        <v>0</v>
      </c>
      <c r="Q402" s="565"/>
      <c r="R402" s="565"/>
      <c r="S402" s="565"/>
      <c r="T402" s="565"/>
      <c r="U402" s="565"/>
      <c r="V402" s="565"/>
      <c r="W402" s="565"/>
      <c r="X402" s="565"/>
      <c r="Y402" t="str">
        <f t="shared" ca="1" si="20"/>
        <v>PAGO</v>
      </c>
      <c r="AA402" t="s">
        <v>401</v>
      </c>
    </row>
    <row r="403" spans="1:27" x14ac:dyDescent="0.3">
      <c r="A403" t="s">
        <v>213</v>
      </c>
      <c r="B403" s="562">
        <v>2025</v>
      </c>
      <c r="C403" t="s">
        <v>248</v>
      </c>
      <c r="D403">
        <v>20905</v>
      </c>
      <c r="E403">
        <v>3042</v>
      </c>
      <c r="F403" s="179">
        <v>45994</v>
      </c>
      <c r="G403" t="s">
        <v>236</v>
      </c>
      <c r="I403" t="s">
        <v>270</v>
      </c>
      <c r="J403" s="583">
        <v>0</v>
      </c>
      <c r="K403" s="583">
        <v>458.85</v>
      </c>
      <c r="L403" s="565">
        <f t="shared" si="18"/>
        <v>458.85</v>
      </c>
      <c r="M403" s="179">
        <v>46022</v>
      </c>
      <c r="N403" s="179">
        <v>46043</v>
      </c>
      <c r="O403" s="565">
        <v>458.85</v>
      </c>
      <c r="P403" s="565">
        <f t="shared" si="19"/>
        <v>0</v>
      </c>
      <c r="Q403" s="565"/>
      <c r="R403" s="565"/>
      <c r="S403" s="565"/>
      <c r="T403" s="565"/>
      <c r="U403" s="565"/>
      <c r="V403" s="565"/>
      <c r="W403" s="565"/>
      <c r="X403" s="565"/>
      <c r="Y403" t="str">
        <f t="shared" ca="1" si="20"/>
        <v>PAGO</v>
      </c>
      <c r="AA403" t="s">
        <v>401</v>
      </c>
    </row>
    <row r="404" spans="1:27" x14ac:dyDescent="0.3">
      <c r="A404" t="s">
        <v>213</v>
      </c>
      <c r="B404" s="562">
        <v>2025</v>
      </c>
      <c r="C404" t="s">
        <v>248</v>
      </c>
      <c r="D404">
        <v>20905</v>
      </c>
      <c r="E404">
        <v>3042</v>
      </c>
      <c r="F404" s="179">
        <v>45994</v>
      </c>
      <c r="G404" t="s">
        <v>236</v>
      </c>
      <c r="I404" t="s">
        <v>270</v>
      </c>
      <c r="J404" s="583">
        <v>0</v>
      </c>
      <c r="K404" s="583">
        <v>458.85</v>
      </c>
      <c r="L404" s="565">
        <f t="shared" si="18"/>
        <v>458.85</v>
      </c>
      <c r="M404" s="179">
        <v>45664</v>
      </c>
      <c r="N404" s="179">
        <v>46044</v>
      </c>
      <c r="O404" s="565">
        <v>458.85</v>
      </c>
      <c r="P404" s="565">
        <f t="shared" si="19"/>
        <v>0</v>
      </c>
      <c r="Q404" s="565"/>
      <c r="R404" s="565"/>
      <c r="S404" s="565"/>
      <c r="T404" s="565"/>
      <c r="U404" s="565"/>
      <c r="V404" s="565"/>
      <c r="W404" s="565"/>
      <c r="X404" s="565"/>
      <c r="Y404" t="str">
        <f t="shared" ca="1" si="20"/>
        <v>PAGO</v>
      </c>
      <c r="AA404" t="s">
        <v>401</v>
      </c>
    </row>
    <row r="405" spans="1:27" x14ac:dyDescent="0.3">
      <c r="A405" t="s">
        <v>213</v>
      </c>
      <c r="B405" s="562">
        <v>2025</v>
      </c>
      <c r="C405" t="s">
        <v>248</v>
      </c>
      <c r="D405">
        <v>20905</v>
      </c>
      <c r="E405">
        <v>3042</v>
      </c>
      <c r="F405" s="179">
        <v>45994</v>
      </c>
      <c r="G405" t="s">
        <v>236</v>
      </c>
      <c r="I405" t="s">
        <v>270</v>
      </c>
      <c r="J405" s="583">
        <v>0</v>
      </c>
      <c r="K405" s="583">
        <v>458.95</v>
      </c>
      <c r="L405" s="565">
        <f t="shared" si="18"/>
        <v>458.95</v>
      </c>
      <c r="M405" s="179">
        <v>45671</v>
      </c>
      <c r="N405" s="179">
        <v>46055</v>
      </c>
      <c r="O405" s="565">
        <v>458.85</v>
      </c>
      <c r="P405" s="565">
        <f t="shared" si="19"/>
        <v>9.9999999999965894E-2</v>
      </c>
      <c r="Q405" s="565"/>
      <c r="R405" s="565"/>
      <c r="S405" s="565"/>
      <c r="T405" s="565"/>
      <c r="U405" s="565"/>
      <c r="V405" s="565"/>
      <c r="W405" s="565"/>
      <c r="X405" s="565"/>
      <c r="Y405" t="str">
        <f t="shared" ca="1" si="20"/>
        <v>VENCIDO</v>
      </c>
      <c r="AA405" t="s">
        <v>401</v>
      </c>
    </row>
    <row r="406" spans="1:27" x14ac:dyDescent="0.3">
      <c r="A406" t="s">
        <v>213</v>
      </c>
      <c r="B406" s="562">
        <v>2025</v>
      </c>
      <c r="C406" t="s">
        <v>248</v>
      </c>
      <c r="D406">
        <v>20910</v>
      </c>
      <c r="E406">
        <v>3042</v>
      </c>
      <c r="F406" s="179">
        <v>45994</v>
      </c>
      <c r="G406" t="s">
        <v>236</v>
      </c>
      <c r="I406" t="s">
        <v>270</v>
      </c>
      <c r="J406" s="583">
        <v>0</v>
      </c>
      <c r="K406" s="583">
        <v>999.35</v>
      </c>
      <c r="L406" s="565">
        <f t="shared" si="18"/>
        <v>999.35</v>
      </c>
      <c r="M406" s="179">
        <v>46022</v>
      </c>
      <c r="N406" s="179">
        <v>46043</v>
      </c>
      <c r="O406" s="565">
        <v>999.34</v>
      </c>
      <c r="P406" s="565">
        <f t="shared" si="19"/>
        <v>9.9999999999909051E-3</v>
      </c>
      <c r="Q406" s="565"/>
      <c r="R406" s="565"/>
      <c r="S406" s="565"/>
      <c r="T406" s="565"/>
      <c r="U406" s="565"/>
      <c r="V406" s="565"/>
      <c r="W406" s="565"/>
      <c r="X406" s="565"/>
      <c r="Y406" t="str">
        <f t="shared" ca="1" si="20"/>
        <v>PAGO</v>
      </c>
      <c r="AA406" t="s">
        <v>401</v>
      </c>
    </row>
    <row r="407" spans="1:27" x14ac:dyDescent="0.3">
      <c r="A407" t="s">
        <v>213</v>
      </c>
      <c r="B407" s="562">
        <v>2025</v>
      </c>
      <c r="C407" t="s">
        <v>248</v>
      </c>
      <c r="D407">
        <v>20910</v>
      </c>
      <c r="E407">
        <v>3042</v>
      </c>
      <c r="F407" s="179">
        <v>45994</v>
      </c>
      <c r="G407" t="s">
        <v>236</v>
      </c>
      <c r="I407" t="s">
        <v>270</v>
      </c>
      <c r="J407" s="583">
        <v>0</v>
      </c>
      <c r="K407" s="583">
        <v>999.35</v>
      </c>
      <c r="L407" s="565">
        <f t="shared" si="18"/>
        <v>999.35</v>
      </c>
      <c r="M407" s="179">
        <v>45664</v>
      </c>
      <c r="N407" s="179">
        <v>46044</v>
      </c>
      <c r="O407" s="565">
        <v>999.34</v>
      </c>
      <c r="P407" s="565">
        <f t="shared" si="19"/>
        <v>9.9999999999909051E-3</v>
      </c>
      <c r="Q407" s="565"/>
      <c r="R407" s="565"/>
      <c r="S407" s="565"/>
      <c r="T407" s="565"/>
      <c r="U407" s="565"/>
      <c r="V407" s="565"/>
      <c r="W407" s="565"/>
      <c r="X407" s="565"/>
      <c r="Y407" t="str">
        <f t="shared" ca="1" si="20"/>
        <v>PAGO</v>
      </c>
      <c r="AA407" t="s">
        <v>401</v>
      </c>
    </row>
    <row r="408" spans="1:27" x14ac:dyDescent="0.3">
      <c r="A408" t="s">
        <v>213</v>
      </c>
      <c r="B408" s="562">
        <v>2025</v>
      </c>
      <c r="C408" t="s">
        <v>248</v>
      </c>
      <c r="D408">
        <v>20910</v>
      </c>
      <c r="E408">
        <v>3042</v>
      </c>
      <c r="F408" s="179">
        <v>45994</v>
      </c>
      <c r="G408" t="s">
        <v>236</v>
      </c>
      <c r="I408" t="s">
        <v>270</v>
      </c>
      <c r="J408" s="583">
        <v>0</v>
      </c>
      <c r="K408" s="583">
        <v>999.35</v>
      </c>
      <c r="L408" s="565">
        <f t="shared" si="18"/>
        <v>999.35</v>
      </c>
      <c r="M408" s="179">
        <v>45671</v>
      </c>
      <c r="N408" s="179">
        <v>46055</v>
      </c>
      <c r="O408" s="565">
        <v>999.35</v>
      </c>
      <c r="P408" s="565">
        <f t="shared" si="19"/>
        <v>0</v>
      </c>
      <c r="Q408" s="565"/>
      <c r="R408" s="565"/>
      <c r="S408" s="565"/>
      <c r="T408" s="565"/>
      <c r="U408" s="565"/>
      <c r="V408" s="565"/>
      <c r="W408" s="565"/>
      <c r="X408" s="565"/>
      <c r="Y408" t="str">
        <f t="shared" ca="1" si="20"/>
        <v>PAGO</v>
      </c>
      <c r="AA408" t="s">
        <v>401</v>
      </c>
    </row>
    <row r="409" spans="1:27" x14ac:dyDescent="0.3">
      <c r="A409" t="s">
        <v>213</v>
      </c>
      <c r="B409" s="562">
        <v>2025</v>
      </c>
      <c r="C409" t="s">
        <v>248</v>
      </c>
      <c r="D409">
        <v>20995</v>
      </c>
      <c r="E409">
        <v>3115</v>
      </c>
      <c r="F409" s="179">
        <v>46000</v>
      </c>
      <c r="G409" t="s">
        <v>236</v>
      </c>
      <c r="I409" t="s">
        <v>270</v>
      </c>
      <c r="J409" s="583">
        <v>0</v>
      </c>
      <c r="K409" s="583">
        <v>1145.9766666666701</v>
      </c>
      <c r="L409" s="565">
        <f t="shared" si="18"/>
        <v>1145.9766666666701</v>
      </c>
      <c r="M409" s="179">
        <v>45663</v>
      </c>
      <c r="N409" s="179">
        <v>46044</v>
      </c>
      <c r="O409" s="565">
        <v>1145.97</v>
      </c>
      <c r="P409" s="565">
        <f t="shared" si="19"/>
        <v>6.6666666700712085E-3</v>
      </c>
      <c r="Q409" s="565"/>
      <c r="R409" s="565"/>
      <c r="S409" s="565"/>
      <c r="T409" s="565"/>
      <c r="U409" s="565"/>
      <c r="V409" s="565"/>
      <c r="W409" s="565"/>
      <c r="X409" s="565"/>
      <c r="Y409" t="str">
        <f t="shared" ca="1" si="20"/>
        <v>PAGO</v>
      </c>
      <c r="AA409" t="s">
        <v>401</v>
      </c>
    </row>
    <row r="410" spans="1:27" x14ac:dyDescent="0.3">
      <c r="A410" t="s">
        <v>213</v>
      </c>
      <c r="B410" s="562">
        <v>2025</v>
      </c>
      <c r="C410" t="s">
        <v>248</v>
      </c>
      <c r="D410">
        <v>20995</v>
      </c>
      <c r="E410">
        <v>3115</v>
      </c>
      <c r="F410" s="179">
        <v>46000</v>
      </c>
      <c r="G410" t="s">
        <v>236</v>
      </c>
      <c r="I410" t="s">
        <v>270</v>
      </c>
      <c r="J410" s="583">
        <v>0</v>
      </c>
      <c r="K410" s="583">
        <v>1145.9766666666701</v>
      </c>
      <c r="L410" s="565">
        <f t="shared" si="18"/>
        <v>1145.9766666666701</v>
      </c>
      <c r="M410" s="179">
        <v>45670</v>
      </c>
      <c r="N410" s="179">
        <v>46055</v>
      </c>
      <c r="O410" s="565">
        <v>1145.97</v>
      </c>
      <c r="P410" s="565">
        <f t="shared" si="19"/>
        <v>6.6666666700712085E-3</v>
      </c>
      <c r="Q410" s="565"/>
      <c r="R410" s="565"/>
      <c r="S410" s="565"/>
      <c r="T410" s="565"/>
      <c r="U410" s="565"/>
      <c r="V410" s="565"/>
      <c r="W410" s="565"/>
      <c r="X410" s="565"/>
      <c r="Y410" t="str">
        <f t="shared" ca="1" si="20"/>
        <v>PAGO</v>
      </c>
      <c r="AA410" t="s">
        <v>401</v>
      </c>
    </row>
    <row r="411" spans="1:27" x14ac:dyDescent="0.3">
      <c r="A411" t="s">
        <v>213</v>
      </c>
      <c r="B411" s="562">
        <v>2025</v>
      </c>
      <c r="C411" t="s">
        <v>248</v>
      </c>
      <c r="D411">
        <v>20995</v>
      </c>
      <c r="E411">
        <v>3115</v>
      </c>
      <c r="F411" s="179">
        <v>46000</v>
      </c>
      <c r="G411" t="s">
        <v>236</v>
      </c>
      <c r="I411" t="s">
        <v>270</v>
      </c>
      <c r="J411" s="583">
        <v>0</v>
      </c>
      <c r="K411" s="583">
        <v>1145.9766666666701</v>
      </c>
      <c r="L411" s="565">
        <f t="shared" si="18"/>
        <v>1145.9766666666701</v>
      </c>
      <c r="M411" s="179">
        <v>45677</v>
      </c>
      <c r="O411" s="565">
        <v>1145.97</v>
      </c>
      <c r="P411" s="565">
        <f t="shared" si="19"/>
        <v>6.6666666700712085E-3</v>
      </c>
      <c r="Q411" s="565"/>
      <c r="R411" s="565"/>
      <c r="S411" s="565"/>
      <c r="T411" s="565"/>
      <c r="U411" s="565"/>
      <c r="V411" s="565"/>
      <c r="W411" s="565"/>
      <c r="X411" s="565"/>
      <c r="Y411" t="str">
        <f t="shared" ca="1" si="20"/>
        <v>PAGO</v>
      </c>
      <c r="AA411" t="s">
        <v>401</v>
      </c>
    </row>
    <row r="412" spans="1:27" x14ac:dyDescent="0.3">
      <c r="A412" t="s">
        <v>213</v>
      </c>
      <c r="B412" s="562">
        <v>2025</v>
      </c>
      <c r="C412" t="s">
        <v>248</v>
      </c>
      <c r="D412">
        <v>21058</v>
      </c>
      <c r="E412">
        <v>3165</v>
      </c>
      <c r="F412" s="179">
        <v>46368</v>
      </c>
      <c r="G412" t="s">
        <v>236</v>
      </c>
      <c r="I412" t="s">
        <v>270</v>
      </c>
      <c r="J412" s="583">
        <v>0</v>
      </c>
      <c r="K412" s="583">
        <v>1030.4000000000001</v>
      </c>
      <c r="L412" s="565">
        <f t="shared" si="18"/>
        <v>1030.4000000000001</v>
      </c>
      <c r="M412" s="179">
        <v>46031</v>
      </c>
      <c r="N412" s="179">
        <v>46055</v>
      </c>
      <c r="O412" s="565">
        <v>1030.4000000000001</v>
      </c>
      <c r="P412" s="565">
        <f t="shared" si="19"/>
        <v>0</v>
      </c>
      <c r="Q412" s="565"/>
      <c r="R412" s="565"/>
      <c r="S412" s="565"/>
      <c r="T412" s="565"/>
      <c r="U412" s="565"/>
      <c r="V412" s="565"/>
      <c r="W412" s="565"/>
      <c r="X412" s="565"/>
      <c r="Y412" t="str">
        <f t="shared" ca="1" si="20"/>
        <v>PAGO</v>
      </c>
      <c r="AA412" t="s">
        <v>401</v>
      </c>
    </row>
    <row r="413" spans="1:27" x14ac:dyDescent="0.3">
      <c r="A413" t="s">
        <v>213</v>
      </c>
      <c r="B413" s="562">
        <v>2025</v>
      </c>
      <c r="C413" t="s">
        <v>248</v>
      </c>
      <c r="D413">
        <v>21058</v>
      </c>
      <c r="E413">
        <v>3165</v>
      </c>
      <c r="F413" s="179">
        <v>46368</v>
      </c>
      <c r="G413" t="s">
        <v>236</v>
      </c>
      <c r="I413" t="s">
        <v>270</v>
      </c>
      <c r="J413" s="583">
        <v>0</v>
      </c>
      <c r="K413" s="583">
        <v>1030.4000000000001</v>
      </c>
      <c r="L413" s="565">
        <f t="shared" si="18"/>
        <v>1030.4000000000001</v>
      </c>
      <c r="M413" s="179">
        <v>46038</v>
      </c>
      <c r="N413" s="179">
        <v>46055</v>
      </c>
      <c r="O413" s="565">
        <v>1030.3900000000001</v>
      </c>
      <c r="P413" s="565">
        <f t="shared" si="19"/>
        <v>9.9999999999909051E-3</v>
      </c>
      <c r="Q413" s="565"/>
      <c r="R413" s="565"/>
      <c r="S413" s="565"/>
      <c r="T413" s="565"/>
      <c r="U413" s="565"/>
      <c r="V413" s="565"/>
      <c r="W413" s="565"/>
      <c r="X413" s="565"/>
      <c r="Y413" t="str">
        <f t="shared" ca="1" si="20"/>
        <v>PAGO</v>
      </c>
      <c r="AA413" t="s">
        <v>401</v>
      </c>
    </row>
    <row r="414" spans="1:27" x14ac:dyDescent="0.3">
      <c r="A414" t="s">
        <v>213</v>
      </c>
      <c r="B414" s="562">
        <v>2025</v>
      </c>
      <c r="C414" t="s">
        <v>248</v>
      </c>
      <c r="D414">
        <v>21058</v>
      </c>
      <c r="E414">
        <v>3165</v>
      </c>
      <c r="F414" s="179">
        <v>46368</v>
      </c>
      <c r="G414" t="s">
        <v>236</v>
      </c>
      <c r="I414" t="s">
        <v>270</v>
      </c>
      <c r="J414" s="583">
        <v>0</v>
      </c>
      <c r="K414" s="583">
        <v>1030.4100000000001</v>
      </c>
      <c r="L414" s="565">
        <f t="shared" si="18"/>
        <v>1030.4100000000001</v>
      </c>
      <c r="M414" s="179">
        <v>46045</v>
      </c>
      <c r="N414" s="179">
        <v>46055</v>
      </c>
      <c r="O414" s="565">
        <v>1030.4000000000001</v>
      </c>
      <c r="P414" s="565">
        <f t="shared" si="19"/>
        <v>9.9999999999909051E-3</v>
      </c>
      <c r="Q414" s="565"/>
      <c r="R414" s="565"/>
      <c r="S414" s="565"/>
      <c r="T414" s="565"/>
      <c r="U414" s="565"/>
      <c r="V414" s="565"/>
      <c r="W414" s="565"/>
      <c r="X414" s="565"/>
      <c r="Y414" t="str">
        <f t="shared" ca="1" si="20"/>
        <v>PAGO</v>
      </c>
      <c r="AA414" t="s">
        <v>401</v>
      </c>
    </row>
    <row r="415" spans="1:27" x14ac:dyDescent="0.3">
      <c r="A415" t="s">
        <v>213</v>
      </c>
      <c r="B415" s="562">
        <v>2025</v>
      </c>
      <c r="C415" t="s">
        <v>248</v>
      </c>
      <c r="D415">
        <v>21059</v>
      </c>
      <c r="E415">
        <v>3182</v>
      </c>
      <c r="F415" s="179">
        <v>46368</v>
      </c>
      <c r="G415" t="s">
        <v>236</v>
      </c>
      <c r="I415" t="s">
        <v>270</v>
      </c>
      <c r="J415" s="583">
        <v>0</v>
      </c>
      <c r="K415" s="583">
        <v>810.18</v>
      </c>
      <c r="L415" s="565">
        <f t="shared" si="18"/>
        <v>810.18</v>
      </c>
      <c r="M415" s="179">
        <v>46031</v>
      </c>
      <c r="N415" s="179">
        <v>46050</v>
      </c>
      <c r="O415" s="565">
        <v>810.17</v>
      </c>
      <c r="P415" s="565">
        <f t="shared" si="19"/>
        <v>9.9999999999909051E-3</v>
      </c>
      <c r="Q415" s="565"/>
      <c r="R415" s="565"/>
      <c r="S415" s="565"/>
      <c r="T415" s="565"/>
      <c r="U415" s="565"/>
      <c r="V415" s="565"/>
      <c r="W415" s="565"/>
      <c r="X415" s="565"/>
      <c r="Y415" t="str">
        <f t="shared" ca="1" si="20"/>
        <v>PAGO</v>
      </c>
      <c r="AA415" t="s">
        <v>401</v>
      </c>
    </row>
    <row r="416" spans="1:27" x14ac:dyDescent="0.3">
      <c r="A416" t="s">
        <v>213</v>
      </c>
      <c r="B416" s="562">
        <v>2025</v>
      </c>
      <c r="C416" t="s">
        <v>248</v>
      </c>
      <c r="D416">
        <v>21059</v>
      </c>
      <c r="E416">
        <v>3182</v>
      </c>
      <c r="F416" s="179">
        <v>46368</v>
      </c>
      <c r="G416" t="s">
        <v>236</v>
      </c>
      <c r="I416" t="s">
        <v>270</v>
      </c>
      <c r="J416" s="583">
        <v>0</v>
      </c>
      <c r="K416" s="583">
        <v>810.18</v>
      </c>
      <c r="L416" s="565">
        <f t="shared" si="18"/>
        <v>810.18</v>
      </c>
      <c r="M416" s="179">
        <v>46038</v>
      </c>
      <c r="N416" s="179">
        <v>46055</v>
      </c>
      <c r="O416" s="565">
        <v>810.17</v>
      </c>
      <c r="P416" s="565">
        <f t="shared" si="19"/>
        <v>9.9999999999909051E-3</v>
      </c>
      <c r="Q416" s="565"/>
      <c r="R416" s="565"/>
      <c r="S416" s="565"/>
      <c r="T416" s="565"/>
      <c r="U416" s="565"/>
      <c r="V416" s="565"/>
      <c r="W416" s="565"/>
      <c r="X416" s="565"/>
      <c r="Y416" t="str">
        <f t="shared" ca="1" si="20"/>
        <v>PAGO</v>
      </c>
      <c r="AA416" t="s">
        <v>401</v>
      </c>
    </row>
    <row r="417" spans="1:27" x14ac:dyDescent="0.3">
      <c r="A417" t="s">
        <v>213</v>
      </c>
      <c r="B417" s="562">
        <v>2025</v>
      </c>
      <c r="C417" t="s">
        <v>248</v>
      </c>
      <c r="D417">
        <v>21059</v>
      </c>
      <c r="E417">
        <v>3182</v>
      </c>
      <c r="F417" s="179">
        <v>46368</v>
      </c>
      <c r="G417" t="s">
        <v>236</v>
      </c>
      <c r="I417" t="s">
        <v>270</v>
      </c>
      <c r="J417" s="583">
        <v>0</v>
      </c>
      <c r="K417" s="583">
        <v>810.17</v>
      </c>
      <c r="L417" s="565">
        <f t="shared" si="18"/>
        <v>810.17</v>
      </c>
      <c r="M417" s="179">
        <v>46045</v>
      </c>
      <c r="N417" s="179">
        <v>46055</v>
      </c>
      <c r="O417" s="565">
        <v>810.17</v>
      </c>
      <c r="P417" s="565">
        <f t="shared" si="19"/>
        <v>0</v>
      </c>
      <c r="Q417" s="565"/>
      <c r="R417" s="565"/>
      <c r="S417" s="565"/>
      <c r="T417" s="565"/>
      <c r="U417" s="565"/>
      <c r="V417" s="565"/>
      <c r="W417" s="565"/>
      <c r="X417" s="565"/>
      <c r="Y417" t="str">
        <f t="shared" ca="1" si="20"/>
        <v>PAGO</v>
      </c>
      <c r="AA417" t="s">
        <v>401</v>
      </c>
    </row>
    <row r="418" spans="1:27" x14ac:dyDescent="0.3">
      <c r="A418" t="s">
        <v>213</v>
      </c>
      <c r="B418" s="562">
        <v>2025</v>
      </c>
      <c r="C418" t="s">
        <v>248</v>
      </c>
      <c r="D418">
        <v>21057</v>
      </c>
      <c r="E418" t="s">
        <v>311</v>
      </c>
      <c r="F418" s="179">
        <v>46368</v>
      </c>
      <c r="G418" t="s">
        <v>312</v>
      </c>
      <c r="I418" t="s">
        <v>270</v>
      </c>
      <c r="J418" s="583">
        <v>0</v>
      </c>
      <c r="K418" s="583">
        <v>7528</v>
      </c>
      <c r="L418" s="565">
        <f t="shared" si="18"/>
        <v>7528</v>
      </c>
      <c r="M418" s="179">
        <v>46382</v>
      </c>
      <c r="O418" s="565">
        <v>0</v>
      </c>
      <c r="P418" s="565">
        <f t="shared" si="19"/>
        <v>7528</v>
      </c>
      <c r="Q418" s="565"/>
      <c r="R418" s="565"/>
      <c r="S418" s="565"/>
      <c r="T418" s="565"/>
      <c r="U418" s="565"/>
      <c r="V418" s="565"/>
      <c r="W418" s="565"/>
      <c r="X418" s="565"/>
      <c r="Y418" t="str">
        <f t="shared" ca="1" si="20"/>
        <v>A VENCER</v>
      </c>
      <c r="AA418" t="s">
        <v>401</v>
      </c>
    </row>
    <row r="419" spans="1:27" x14ac:dyDescent="0.3">
      <c r="A419" t="s">
        <v>213</v>
      </c>
      <c r="B419" s="562">
        <v>2025</v>
      </c>
      <c r="C419" t="s">
        <v>248</v>
      </c>
      <c r="D419">
        <v>21070</v>
      </c>
      <c r="E419" t="s">
        <v>311</v>
      </c>
      <c r="F419" s="179">
        <v>46372</v>
      </c>
      <c r="G419" t="s">
        <v>312</v>
      </c>
      <c r="I419" t="s">
        <v>270</v>
      </c>
      <c r="J419" s="583">
        <v>0</v>
      </c>
      <c r="K419" s="583">
        <v>12675.6</v>
      </c>
      <c r="L419" s="565">
        <f t="shared" si="18"/>
        <v>12675.6</v>
      </c>
      <c r="M419" s="179">
        <v>46386</v>
      </c>
      <c r="O419" s="565">
        <v>0</v>
      </c>
      <c r="P419" s="565">
        <f t="shared" si="19"/>
        <v>12675.6</v>
      </c>
      <c r="Q419" s="565"/>
      <c r="R419" s="565"/>
      <c r="S419" s="565"/>
      <c r="T419" s="565"/>
      <c r="U419" s="565"/>
      <c r="V419" s="565"/>
      <c r="W419" s="565"/>
      <c r="X419" s="565"/>
      <c r="Y419" t="str">
        <f t="shared" ca="1" si="20"/>
        <v>A VENCER</v>
      </c>
      <c r="AA419" t="s">
        <v>401</v>
      </c>
    </row>
    <row r="420" spans="1:27" x14ac:dyDescent="0.3">
      <c r="A420" t="s">
        <v>213</v>
      </c>
      <c r="B420" s="562">
        <v>2025</v>
      </c>
      <c r="C420" t="s">
        <v>248</v>
      </c>
      <c r="D420">
        <v>21057</v>
      </c>
      <c r="E420" t="s">
        <v>322</v>
      </c>
      <c r="F420" s="179">
        <v>46368</v>
      </c>
      <c r="G420" t="s">
        <v>312</v>
      </c>
      <c r="I420" t="s">
        <v>270</v>
      </c>
      <c r="J420" s="583">
        <v>0</v>
      </c>
      <c r="K420" s="583">
        <v>3764</v>
      </c>
      <c r="L420" s="565">
        <f t="shared" si="18"/>
        <v>3764</v>
      </c>
      <c r="O420" s="565">
        <v>0</v>
      </c>
      <c r="P420" s="565">
        <f t="shared" si="19"/>
        <v>3764</v>
      </c>
      <c r="Q420" s="565"/>
      <c r="R420" s="565"/>
      <c r="S420" s="565"/>
      <c r="T420" s="565"/>
      <c r="U420" s="565"/>
      <c r="V420" s="565"/>
      <c r="W420" s="565"/>
      <c r="X420" s="565"/>
      <c r="Y420" t="str">
        <f t="shared" ca="1" si="20"/>
        <v>SEM VENCIMENTO</v>
      </c>
      <c r="AA420" t="s">
        <v>401</v>
      </c>
    </row>
    <row r="421" spans="1:27" x14ac:dyDescent="0.3">
      <c r="A421" t="s">
        <v>213</v>
      </c>
      <c r="B421" s="562">
        <v>2025</v>
      </c>
      <c r="C421" t="s">
        <v>248</v>
      </c>
      <c r="D421">
        <v>21057</v>
      </c>
      <c r="E421" t="s">
        <v>322</v>
      </c>
      <c r="F421" s="179">
        <v>46368</v>
      </c>
      <c r="G421" t="s">
        <v>312</v>
      </c>
      <c r="I421" t="s">
        <v>270</v>
      </c>
      <c r="J421" s="583">
        <v>0</v>
      </c>
      <c r="K421" s="583">
        <v>3764</v>
      </c>
      <c r="L421" s="565">
        <f t="shared" si="18"/>
        <v>3764</v>
      </c>
      <c r="O421" s="565">
        <v>0</v>
      </c>
      <c r="P421" s="565">
        <f t="shared" si="19"/>
        <v>3764</v>
      </c>
      <c r="Q421" s="565"/>
      <c r="R421" s="565"/>
      <c r="S421" s="565"/>
      <c r="T421" s="565"/>
      <c r="U421" s="565"/>
      <c r="V421" s="565"/>
      <c r="W421" s="565"/>
      <c r="X421" s="565"/>
      <c r="Y421" t="str">
        <f t="shared" ca="1" si="20"/>
        <v>SEM VENCIMENTO</v>
      </c>
      <c r="AA421" t="s">
        <v>401</v>
      </c>
    </row>
    <row r="422" spans="1:27" x14ac:dyDescent="0.3">
      <c r="A422" t="s">
        <v>213</v>
      </c>
      <c r="B422" s="562">
        <v>2025</v>
      </c>
      <c r="C422" t="s">
        <v>248</v>
      </c>
      <c r="D422">
        <v>21070</v>
      </c>
      <c r="E422" t="s">
        <v>322</v>
      </c>
      <c r="F422" s="179">
        <v>46372</v>
      </c>
      <c r="G422" t="s">
        <v>312</v>
      </c>
      <c r="I422" t="s">
        <v>270</v>
      </c>
      <c r="J422" s="583">
        <v>0</v>
      </c>
      <c r="K422" s="583">
        <v>12675.6</v>
      </c>
      <c r="L422" s="565">
        <f t="shared" si="18"/>
        <v>12675.6</v>
      </c>
      <c r="O422" s="565">
        <v>0</v>
      </c>
      <c r="P422" s="565">
        <f t="shared" si="19"/>
        <v>12675.6</v>
      </c>
      <c r="Q422" s="565"/>
      <c r="R422" s="565"/>
      <c r="S422" s="565"/>
      <c r="T422" s="565"/>
      <c r="U422" s="565"/>
      <c r="V422" s="565"/>
      <c r="W422" s="565"/>
      <c r="X422" s="565"/>
      <c r="Y422" t="str">
        <f t="shared" ca="1" si="20"/>
        <v>SEM VENCIMENTO</v>
      </c>
      <c r="AA422" t="s">
        <v>401</v>
      </c>
    </row>
    <row r="423" spans="1:27" x14ac:dyDescent="0.3">
      <c r="A423" t="s">
        <v>215</v>
      </c>
      <c r="B423" s="562">
        <v>2026</v>
      </c>
      <c r="C423" t="s">
        <v>249</v>
      </c>
      <c r="D423">
        <v>21098</v>
      </c>
      <c r="E423">
        <v>3229</v>
      </c>
      <c r="F423" s="179">
        <v>46030</v>
      </c>
      <c r="G423" t="s">
        <v>254</v>
      </c>
      <c r="I423" t="s">
        <v>271</v>
      </c>
      <c r="J423" s="583">
        <v>3704.72</v>
      </c>
      <c r="K423" s="583">
        <v>0</v>
      </c>
      <c r="L423" s="565">
        <f t="shared" si="18"/>
        <v>3704.72</v>
      </c>
      <c r="M423" s="179">
        <v>46030</v>
      </c>
      <c r="N423" s="179">
        <v>46030</v>
      </c>
      <c r="O423" s="565">
        <v>3704.72</v>
      </c>
      <c r="P423" s="565">
        <f t="shared" si="19"/>
        <v>0</v>
      </c>
      <c r="Q423" s="565"/>
      <c r="R423" s="565"/>
      <c r="S423" s="565"/>
      <c r="T423" s="565"/>
      <c r="U423" s="565"/>
      <c r="V423" s="565"/>
      <c r="W423" s="565"/>
      <c r="X423" s="565"/>
      <c r="Y423" t="str">
        <f t="shared" ca="1" si="20"/>
        <v>PAGO</v>
      </c>
      <c r="AA423" t="s">
        <v>402</v>
      </c>
    </row>
    <row r="424" spans="1:27" x14ac:dyDescent="0.3">
      <c r="A424" t="s">
        <v>215</v>
      </c>
      <c r="B424" s="562">
        <v>2026</v>
      </c>
      <c r="C424" t="s">
        <v>248</v>
      </c>
      <c r="D424">
        <v>21087</v>
      </c>
      <c r="E424">
        <v>3202</v>
      </c>
      <c r="F424" s="179">
        <v>46029</v>
      </c>
      <c r="G424" t="s">
        <v>236</v>
      </c>
      <c r="I424" t="s">
        <v>270</v>
      </c>
      <c r="J424" s="583">
        <v>0</v>
      </c>
      <c r="K424" s="583">
        <v>960.25</v>
      </c>
      <c r="L424" s="565">
        <f t="shared" si="18"/>
        <v>960.25</v>
      </c>
      <c r="M424" s="179">
        <v>46057</v>
      </c>
      <c r="N424" s="179">
        <v>46055</v>
      </c>
      <c r="O424" s="565">
        <v>960.24</v>
      </c>
      <c r="P424" s="565">
        <f t="shared" si="19"/>
        <v>9.9999999999909051E-3</v>
      </c>
      <c r="Q424" s="565"/>
      <c r="R424" s="565"/>
      <c r="S424" s="565"/>
      <c r="T424" s="565"/>
      <c r="U424" s="565"/>
      <c r="V424" s="565"/>
      <c r="W424" s="565"/>
      <c r="X424" s="565"/>
      <c r="Y424" t="str">
        <f t="shared" ca="1" si="20"/>
        <v>PAGO</v>
      </c>
      <c r="AA424" t="s">
        <v>402</v>
      </c>
    </row>
    <row r="425" spans="1:27" x14ac:dyDescent="0.3">
      <c r="A425" t="s">
        <v>215</v>
      </c>
      <c r="B425" s="562">
        <v>2026</v>
      </c>
      <c r="C425" t="s">
        <v>248</v>
      </c>
      <c r="D425">
        <v>21087</v>
      </c>
      <c r="E425">
        <v>3202</v>
      </c>
      <c r="F425" s="179">
        <v>46029</v>
      </c>
      <c r="G425" t="s">
        <v>236</v>
      </c>
      <c r="I425" t="s">
        <v>270</v>
      </c>
      <c r="J425" s="583">
        <v>0</v>
      </c>
      <c r="K425" s="583">
        <v>960.25</v>
      </c>
      <c r="L425" s="565">
        <f t="shared" si="18"/>
        <v>960.25</v>
      </c>
      <c r="M425" s="179">
        <v>46064</v>
      </c>
      <c r="N425" s="179">
        <v>46055</v>
      </c>
      <c r="O425" s="565">
        <v>960.25</v>
      </c>
      <c r="P425" s="565">
        <f t="shared" si="19"/>
        <v>0</v>
      </c>
      <c r="Q425" s="565"/>
      <c r="R425" s="565"/>
      <c r="S425" s="565"/>
      <c r="T425" s="565"/>
      <c r="U425" s="565"/>
      <c r="V425" s="565"/>
      <c r="W425" s="565"/>
      <c r="X425" s="565"/>
      <c r="Y425" t="str">
        <f t="shared" ca="1" si="20"/>
        <v>PAGO</v>
      </c>
      <c r="AA425" t="s">
        <v>402</v>
      </c>
    </row>
    <row r="426" spans="1:27" x14ac:dyDescent="0.3">
      <c r="A426" t="s">
        <v>215</v>
      </c>
      <c r="B426" s="562">
        <v>2026</v>
      </c>
      <c r="C426" t="s">
        <v>248</v>
      </c>
      <c r="D426">
        <v>21087</v>
      </c>
      <c r="E426">
        <v>3202</v>
      </c>
      <c r="F426" s="179">
        <v>46029</v>
      </c>
      <c r="G426" t="s">
        <v>236</v>
      </c>
      <c r="I426" t="s">
        <v>270</v>
      </c>
      <c r="J426" s="583">
        <v>0</v>
      </c>
      <c r="K426" s="583">
        <v>960.25</v>
      </c>
      <c r="L426" s="565">
        <f t="shared" si="18"/>
        <v>960.25</v>
      </c>
      <c r="M426" s="179">
        <v>46071</v>
      </c>
      <c r="N426" s="179">
        <v>46055</v>
      </c>
      <c r="O426" s="565">
        <v>960.25</v>
      </c>
      <c r="P426" s="565">
        <f t="shared" si="19"/>
        <v>0</v>
      </c>
      <c r="Q426" s="565"/>
      <c r="R426" s="565"/>
      <c r="S426" s="565"/>
      <c r="T426" s="565"/>
      <c r="U426" s="565"/>
      <c r="V426" s="565"/>
      <c r="W426" s="565"/>
      <c r="X426" s="565"/>
      <c r="Y426" t="str">
        <f t="shared" ca="1" si="20"/>
        <v>PAGO</v>
      </c>
      <c r="AA426" t="s">
        <v>402</v>
      </c>
    </row>
    <row r="427" spans="1:27" x14ac:dyDescent="0.3">
      <c r="A427" t="s">
        <v>215</v>
      </c>
      <c r="B427" s="562">
        <v>2026</v>
      </c>
      <c r="C427" t="s">
        <v>248</v>
      </c>
      <c r="D427">
        <v>21147</v>
      </c>
      <c r="E427">
        <v>3225</v>
      </c>
      <c r="F427" s="179">
        <v>46035</v>
      </c>
      <c r="G427" t="s">
        <v>237</v>
      </c>
      <c r="I427" t="s">
        <v>270</v>
      </c>
      <c r="J427" s="583">
        <v>0</v>
      </c>
      <c r="K427" s="583">
        <v>280.85000000000002</v>
      </c>
      <c r="L427" s="565">
        <f t="shared" si="18"/>
        <v>280.85000000000002</v>
      </c>
      <c r="M427" s="179">
        <v>46056</v>
      </c>
      <c r="N427" s="179">
        <v>46056</v>
      </c>
      <c r="O427" s="565">
        <v>280.83999999999997</v>
      </c>
      <c r="P427" s="565">
        <f t="shared" si="19"/>
        <v>1.0000000000047748E-2</v>
      </c>
      <c r="Q427" s="565"/>
      <c r="R427" s="565"/>
      <c r="S427" s="565"/>
      <c r="T427" s="565"/>
      <c r="U427" s="565"/>
      <c r="V427" s="565"/>
      <c r="W427" s="565"/>
      <c r="X427" s="565"/>
      <c r="Y427" t="str">
        <f t="shared" ca="1" si="20"/>
        <v>VENCIDO</v>
      </c>
      <c r="AA427" t="s">
        <v>402</v>
      </c>
    </row>
    <row r="428" spans="1:27" x14ac:dyDescent="0.3">
      <c r="A428" t="s">
        <v>215</v>
      </c>
      <c r="B428" s="562">
        <v>2026</v>
      </c>
      <c r="C428" t="s">
        <v>249</v>
      </c>
      <c r="D428">
        <v>21203</v>
      </c>
      <c r="E428">
        <v>3322</v>
      </c>
      <c r="F428" s="179">
        <v>46038</v>
      </c>
      <c r="G428" t="s">
        <v>254</v>
      </c>
      <c r="I428" t="s">
        <v>271</v>
      </c>
      <c r="J428" s="583">
        <v>17629.851999999999</v>
      </c>
      <c r="K428" s="583">
        <v>0</v>
      </c>
      <c r="L428" s="565">
        <f t="shared" si="18"/>
        <v>17629.851999999999</v>
      </c>
      <c r="M428" s="179">
        <v>46038</v>
      </c>
      <c r="N428" s="179">
        <v>46037</v>
      </c>
      <c r="O428" s="565">
        <v>18008.650000000001</v>
      </c>
      <c r="P428" s="565">
        <f t="shared" si="19"/>
        <v>-378.7980000000025</v>
      </c>
      <c r="Q428" s="565"/>
      <c r="R428" s="565"/>
      <c r="S428" s="565"/>
      <c r="T428" s="565"/>
      <c r="U428" s="565"/>
      <c r="V428" s="565"/>
      <c r="W428" s="565"/>
      <c r="X428" s="565"/>
      <c r="Y428" t="str">
        <f t="shared" ca="1" si="20"/>
        <v>PAGO</v>
      </c>
      <c r="AA428" t="s">
        <v>402</v>
      </c>
    </row>
    <row r="429" spans="1:27" x14ac:dyDescent="0.3">
      <c r="A429" t="s">
        <v>215</v>
      </c>
      <c r="B429" s="562">
        <v>2026</v>
      </c>
      <c r="C429" t="s">
        <v>248</v>
      </c>
      <c r="D429">
        <v>21156</v>
      </c>
      <c r="E429">
        <v>3265</v>
      </c>
      <c r="F429" s="179">
        <v>46036</v>
      </c>
      <c r="G429" t="s">
        <v>237</v>
      </c>
      <c r="I429" t="s">
        <v>270</v>
      </c>
      <c r="J429" s="583">
        <v>0</v>
      </c>
      <c r="K429" s="583">
        <v>4744.5749999999998</v>
      </c>
      <c r="L429" s="565">
        <f t="shared" si="18"/>
        <v>4744.5749999999998</v>
      </c>
      <c r="M429" s="179">
        <v>46057</v>
      </c>
      <c r="N429" s="179">
        <v>46058</v>
      </c>
      <c r="O429" s="565">
        <v>4744.58</v>
      </c>
      <c r="P429" s="565">
        <f t="shared" si="19"/>
        <v>-5.0000000001091394E-3</v>
      </c>
      <c r="Q429" s="565"/>
      <c r="R429" s="565"/>
      <c r="S429" s="565"/>
      <c r="T429" s="565"/>
      <c r="U429" s="565"/>
      <c r="V429" s="565"/>
      <c r="W429" s="565"/>
      <c r="X429" s="565"/>
      <c r="Y429" t="str">
        <f t="shared" ca="1" si="20"/>
        <v>PAGO</v>
      </c>
      <c r="AA429" t="s">
        <v>402</v>
      </c>
    </row>
    <row r="430" spans="1:27" x14ac:dyDescent="0.3">
      <c r="A430" t="s">
        <v>215</v>
      </c>
      <c r="B430" s="562">
        <v>2026</v>
      </c>
      <c r="C430" t="s">
        <v>248</v>
      </c>
      <c r="D430">
        <v>21177</v>
      </c>
      <c r="E430">
        <v>3240</v>
      </c>
      <c r="F430" s="179">
        <v>46037</v>
      </c>
      <c r="G430" t="s">
        <v>236</v>
      </c>
      <c r="I430" t="s">
        <v>270</v>
      </c>
      <c r="J430" s="583">
        <v>0</v>
      </c>
      <c r="K430" s="583">
        <v>270.82499999999999</v>
      </c>
      <c r="L430" s="565">
        <f t="shared" si="18"/>
        <v>270.82499999999999</v>
      </c>
      <c r="M430" s="179">
        <v>46065</v>
      </c>
      <c r="N430" s="179">
        <v>46055</v>
      </c>
      <c r="O430" s="565">
        <v>270.82</v>
      </c>
      <c r="P430" s="565">
        <f t="shared" si="19"/>
        <v>4.9999999999954525E-3</v>
      </c>
      <c r="Q430" s="565"/>
      <c r="R430" s="565"/>
      <c r="S430" s="565"/>
      <c r="T430" s="565"/>
      <c r="U430" s="565"/>
      <c r="V430" s="565"/>
      <c r="W430" s="565"/>
      <c r="X430" s="565"/>
      <c r="Y430" t="str">
        <f t="shared" ca="1" si="20"/>
        <v>PAGO</v>
      </c>
      <c r="AA430" t="s">
        <v>402</v>
      </c>
    </row>
    <row r="431" spans="1:27" x14ac:dyDescent="0.3">
      <c r="A431" t="s">
        <v>215</v>
      </c>
      <c r="B431" s="562">
        <v>2026</v>
      </c>
      <c r="C431" t="s">
        <v>248</v>
      </c>
      <c r="D431">
        <v>21181</v>
      </c>
      <c r="E431">
        <v>3239</v>
      </c>
      <c r="F431" s="179">
        <v>46038</v>
      </c>
      <c r="G431" t="s">
        <v>236</v>
      </c>
      <c r="I431" t="s">
        <v>270</v>
      </c>
      <c r="J431" s="583">
        <v>0</v>
      </c>
      <c r="K431" s="583">
        <v>718.75</v>
      </c>
      <c r="L431" s="565">
        <f t="shared" si="18"/>
        <v>718.75</v>
      </c>
      <c r="M431" s="179">
        <v>46066</v>
      </c>
      <c r="N431" s="179">
        <v>46055</v>
      </c>
      <c r="O431" s="565">
        <v>718.75</v>
      </c>
      <c r="P431" s="565">
        <f t="shared" si="19"/>
        <v>0</v>
      </c>
      <c r="Q431" s="565"/>
      <c r="R431" s="565"/>
      <c r="S431" s="565"/>
      <c r="T431" s="565"/>
      <c r="U431" s="565"/>
      <c r="V431" s="565"/>
      <c r="W431" s="565"/>
      <c r="X431" s="565"/>
      <c r="Y431" t="str">
        <f t="shared" ca="1" si="20"/>
        <v>PAGO</v>
      </c>
      <c r="AA431" t="s">
        <v>402</v>
      </c>
    </row>
    <row r="432" spans="1:27" x14ac:dyDescent="0.3">
      <c r="A432" t="s">
        <v>215</v>
      </c>
      <c r="B432" s="562">
        <v>2026</v>
      </c>
      <c r="C432" t="s">
        <v>248</v>
      </c>
      <c r="D432">
        <v>21181</v>
      </c>
      <c r="E432">
        <v>3239</v>
      </c>
      <c r="F432" s="179">
        <v>46038</v>
      </c>
      <c r="G432" t="s">
        <v>236</v>
      </c>
      <c r="I432" t="s">
        <v>270</v>
      </c>
      <c r="J432" s="583">
        <v>0</v>
      </c>
      <c r="K432" s="583">
        <v>718.75</v>
      </c>
      <c r="L432" s="565">
        <f t="shared" si="18"/>
        <v>718.75</v>
      </c>
      <c r="M432" s="179">
        <v>46073</v>
      </c>
      <c r="N432" s="179">
        <v>46055</v>
      </c>
      <c r="O432" s="565">
        <v>718.75</v>
      </c>
      <c r="P432" s="565">
        <f t="shared" si="19"/>
        <v>0</v>
      </c>
      <c r="Q432" s="565"/>
      <c r="R432" s="565"/>
      <c r="S432" s="565"/>
      <c r="T432" s="565"/>
      <c r="U432" s="565"/>
      <c r="V432" s="565"/>
      <c r="W432" s="565"/>
      <c r="X432" s="565"/>
      <c r="Y432" t="str">
        <f t="shared" ca="1" si="20"/>
        <v>PAGO</v>
      </c>
      <c r="AA432" t="s">
        <v>402</v>
      </c>
    </row>
    <row r="433" spans="1:27" x14ac:dyDescent="0.3">
      <c r="A433" t="s">
        <v>215</v>
      </c>
      <c r="B433" s="562">
        <v>2026</v>
      </c>
      <c r="C433" t="s">
        <v>248</v>
      </c>
      <c r="D433">
        <v>21181</v>
      </c>
      <c r="E433">
        <v>3239</v>
      </c>
      <c r="F433" s="179">
        <v>46038</v>
      </c>
      <c r="G433" t="s">
        <v>236</v>
      </c>
      <c r="I433" t="s">
        <v>270</v>
      </c>
      <c r="J433" s="583">
        <v>0</v>
      </c>
      <c r="K433" s="583">
        <v>718.75</v>
      </c>
      <c r="L433" s="565">
        <f t="shared" si="18"/>
        <v>718.75</v>
      </c>
      <c r="M433" s="179">
        <v>46080</v>
      </c>
      <c r="N433" s="179">
        <v>46055</v>
      </c>
      <c r="O433" s="565">
        <v>718.74</v>
      </c>
      <c r="P433" s="565">
        <f t="shared" si="19"/>
        <v>9.9999999999909051E-3</v>
      </c>
      <c r="Q433" s="565"/>
      <c r="R433" s="565"/>
      <c r="S433" s="565"/>
      <c r="T433" s="565"/>
      <c r="U433" s="565"/>
      <c r="V433" s="565"/>
      <c r="W433" s="565"/>
      <c r="X433" s="565"/>
      <c r="Y433" t="str">
        <f t="shared" ca="1" si="20"/>
        <v>PAGO</v>
      </c>
      <c r="AA433" t="s">
        <v>402</v>
      </c>
    </row>
    <row r="434" spans="1:27" x14ac:dyDescent="0.3">
      <c r="A434" t="s">
        <v>215</v>
      </c>
      <c r="B434" s="562">
        <v>2026</v>
      </c>
      <c r="C434" t="s">
        <v>248</v>
      </c>
      <c r="D434">
        <v>21182</v>
      </c>
      <c r="E434">
        <v>3241</v>
      </c>
      <c r="F434" s="179">
        <v>46038</v>
      </c>
      <c r="G434" t="s">
        <v>236</v>
      </c>
      <c r="I434" t="s">
        <v>270</v>
      </c>
      <c r="J434" s="583">
        <v>0</v>
      </c>
      <c r="K434" s="583">
        <v>1159.2</v>
      </c>
      <c r="L434" s="565">
        <f t="shared" si="18"/>
        <v>1159.2</v>
      </c>
      <c r="M434" s="179">
        <v>46066</v>
      </c>
      <c r="N434" s="179">
        <v>46055</v>
      </c>
      <c r="O434" s="565">
        <v>1159.2</v>
      </c>
      <c r="P434" s="565">
        <f t="shared" si="19"/>
        <v>0</v>
      </c>
      <c r="Q434" s="565"/>
      <c r="R434" s="565"/>
      <c r="S434" s="565"/>
      <c r="T434" s="565"/>
      <c r="U434" s="565"/>
      <c r="V434" s="565"/>
      <c r="W434" s="565"/>
      <c r="X434" s="565"/>
      <c r="Y434" t="str">
        <f t="shared" ca="1" si="20"/>
        <v>PAGO</v>
      </c>
      <c r="AA434" t="s">
        <v>402</v>
      </c>
    </row>
    <row r="435" spans="1:27" x14ac:dyDescent="0.3">
      <c r="A435" t="s">
        <v>215</v>
      </c>
      <c r="B435" s="562">
        <v>2026</v>
      </c>
      <c r="C435" t="s">
        <v>248</v>
      </c>
      <c r="D435">
        <v>21182</v>
      </c>
      <c r="E435">
        <v>3241</v>
      </c>
      <c r="F435" s="179">
        <v>46038</v>
      </c>
      <c r="G435" t="s">
        <v>236</v>
      </c>
      <c r="I435" t="s">
        <v>270</v>
      </c>
      <c r="J435" s="583">
        <v>0</v>
      </c>
      <c r="K435" s="583">
        <v>1159.2</v>
      </c>
      <c r="L435" s="565">
        <f t="shared" si="18"/>
        <v>1159.2</v>
      </c>
      <c r="M435" s="179">
        <v>46073</v>
      </c>
      <c r="N435" s="179">
        <v>46055</v>
      </c>
      <c r="O435" s="565">
        <v>1159.2</v>
      </c>
      <c r="P435" s="565">
        <f t="shared" si="19"/>
        <v>0</v>
      </c>
      <c r="Q435" s="565"/>
      <c r="R435" s="565"/>
      <c r="S435" s="565"/>
      <c r="T435" s="565"/>
      <c r="U435" s="565"/>
      <c r="V435" s="565"/>
      <c r="W435" s="565"/>
      <c r="X435" s="565"/>
      <c r="Y435" t="str">
        <f t="shared" ca="1" si="20"/>
        <v>PAGO</v>
      </c>
      <c r="AA435" t="s">
        <v>402</v>
      </c>
    </row>
    <row r="436" spans="1:27" x14ac:dyDescent="0.3">
      <c r="A436" t="s">
        <v>215</v>
      </c>
      <c r="B436" s="562">
        <v>2026</v>
      </c>
      <c r="C436" t="s">
        <v>248</v>
      </c>
      <c r="D436">
        <v>21182</v>
      </c>
      <c r="E436">
        <v>3241</v>
      </c>
      <c r="F436" s="179">
        <v>46038</v>
      </c>
      <c r="G436" t="s">
        <v>236</v>
      </c>
      <c r="I436" t="s">
        <v>270</v>
      </c>
      <c r="J436" s="583">
        <v>0</v>
      </c>
      <c r="K436" s="583">
        <v>1159.2</v>
      </c>
      <c r="L436" s="565">
        <f t="shared" si="18"/>
        <v>1159.2</v>
      </c>
      <c r="M436" s="179">
        <v>46080</v>
      </c>
      <c r="N436" s="179">
        <v>46055</v>
      </c>
      <c r="O436" s="565">
        <v>1159.19</v>
      </c>
      <c r="P436" s="565">
        <f t="shared" si="19"/>
        <v>9.9999999999909051E-3</v>
      </c>
      <c r="Q436" s="565"/>
      <c r="R436" s="565"/>
      <c r="S436" s="565"/>
      <c r="T436" s="565"/>
      <c r="U436" s="565"/>
      <c r="V436" s="565"/>
      <c r="W436" s="565"/>
      <c r="X436" s="565"/>
      <c r="Y436" t="str">
        <f t="shared" ca="1" si="20"/>
        <v>PAGO</v>
      </c>
      <c r="AA436" t="s">
        <v>402</v>
      </c>
    </row>
    <row r="437" spans="1:27" x14ac:dyDescent="0.3">
      <c r="A437" t="s">
        <v>215</v>
      </c>
      <c r="B437" s="562">
        <v>2026</v>
      </c>
      <c r="C437" t="s">
        <v>248</v>
      </c>
      <c r="D437">
        <v>21258</v>
      </c>
      <c r="E437">
        <v>3324</v>
      </c>
      <c r="F437" s="179">
        <v>46043</v>
      </c>
      <c r="G437" t="s">
        <v>236</v>
      </c>
      <c r="I437" t="s">
        <v>270</v>
      </c>
      <c r="J437" s="583">
        <v>0</v>
      </c>
      <c r="K437" s="583">
        <v>590.53</v>
      </c>
      <c r="L437" s="565">
        <f t="shared" si="18"/>
        <v>590.53</v>
      </c>
      <c r="M437" s="179">
        <v>46071</v>
      </c>
      <c r="N437" s="179">
        <v>46055</v>
      </c>
      <c r="O437" s="565">
        <v>590.52</v>
      </c>
      <c r="P437" s="565">
        <f t="shared" si="19"/>
        <v>9.9999999999909051E-3</v>
      </c>
      <c r="Q437" s="565"/>
      <c r="R437" s="565"/>
      <c r="S437" s="565"/>
      <c r="T437" s="565"/>
      <c r="U437" s="565"/>
      <c r="V437" s="565"/>
      <c r="W437" s="565"/>
      <c r="X437" s="565"/>
      <c r="Y437" t="str">
        <f t="shared" ca="1" si="20"/>
        <v>PAGO</v>
      </c>
      <c r="AA437" t="s">
        <v>402</v>
      </c>
    </row>
    <row r="438" spans="1:27" x14ac:dyDescent="0.3">
      <c r="A438" t="s">
        <v>215</v>
      </c>
      <c r="B438" s="562">
        <v>2026</v>
      </c>
      <c r="C438" t="s">
        <v>249</v>
      </c>
      <c r="D438">
        <v>21206</v>
      </c>
      <c r="E438">
        <v>3325</v>
      </c>
      <c r="F438" s="179">
        <v>46038</v>
      </c>
      <c r="G438" t="s">
        <v>310</v>
      </c>
      <c r="I438" t="s">
        <v>272</v>
      </c>
      <c r="J438" s="583">
        <v>1346.76</v>
      </c>
      <c r="K438" s="583">
        <v>0</v>
      </c>
      <c r="L438" s="565">
        <f t="shared" si="18"/>
        <v>1346.76</v>
      </c>
      <c r="M438" s="179">
        <v>46038</v>
      </c>
      <c r="N438" s="179">
        <v>46038</v>
      </c>
      <c r="O438" s="565">
        <v>1346.76</v>
      </c>
      <c r="P438" s="565">
        <f t="shared" si="19"/>
        <v>0</v>
      </c>
      <c r="Q438" s="565"/>
      <c r="R438" s="565"/>
      <c r="S438" s="565"/>
      <c r="T438" s="565"/>
      <c r="U438" s="565"/>
      <c r="V438" s="565"/>
      <c r="W438" s="565"/>
      <c r="X438" s="565"/>
      <c r="Y438" t="str">
        <f t="shared" ca="1" si="20"/>
        <v>PAGO</v>
      </c>
      <c r="AA438" t="s">
        <v>402</v>
      </c>
    </row>
    <row r="439" spans="1:27" x14ac:dyDescent="0.3">
      <c r="A439" t="s">
        <v>215</v>
      </c>
      <c r="B439" s="562">
        <v>2026</v>
      </c>
      <c r="C439" t="s">
        <v>248</v>
      </c>
      <c r="D439">
        <v>21263</v>
      </c>
      <c r="E439">
        <v>3347</v>
      </c>
      <c r="F439" s="179">
        <v>46043</v>
      </c>
      <c r="G439" t="s">
        <v>237</v>
      </c>
      <c r="I439" t="s">
        <v>270</v>
      </c>
      <c r="J439" s="583">
        <v>0</v>
      </c>
      <c r="K439" s="583">
        <v>949.19</v>
      </c>
      <c r="L439" s="565">
        <f t="shared" si="18"/>
        <v>949.19</v>
      </c>
      <c r="M439" s="179">
        <v>46078</v>
      </c>
      <c r="N439" s="179">
        <v>46078</v>
      </c>
      <c r="O439" s="565">
        <v>949.19</v>
      </c>
      <c r="P439" s="565">
        <f t="shared" si="19"/>
        <v>0</v>
      </c>
      <c r="Q439" s="565"/>
      <c r="R439" s="565"/>
      <c r="S439" s="565"/>
      <c r="T439" s="565"/>
      <c r="U439" s="565"/>
      <c r="V439" s="565"/>
      <c r="W439" s="565"/>
      <c r="X439" s="565"/>
      <c r="Y439" t="str">
        <f t="shared" ca="1" si="20"/>
        <v>PAGO</v>
      </c>
      <c r="AA439" t="s">
        <v>402</v>
      </c>
    </row>
    <row r="440" spans="1:27" x14ac:dyDescent="0.3">
      <c r="A440" t="s">
        <v>215</v>
      </c>
      <c r="B440" s="562">
        <v>2026</v>
      </c>
      <c r="C440" t="s">
        <v>249</v>
      </c>
      <c r="D440">
        <v>21280</v>
      </c>
      <c r="E440">
        <v>3363</v>
      </c>
      <c r="F440" s="179">
        <v>46044</v>
      </c>
      <c r="G440" t="s">
        <v>254</v>
      </c>
      <c r="I440" t="s">
        <v>271</v>
      </c>
      <c r="J440" s="583">
        <v>3530.14</v>
      </c>
      <c r="K440" s="583">
        <v>0</v>
      </c>
      <c r="L440" s="565">
        <f t="shared" si="18"/>
        <v>3530.14</v>
      </c>
      <c r="N440" s="179">
        <v>46042</v>
      </c>
      <c r="O440" s="565">
        <v>3628.56</v>
      </c>
      <c r="P440" s="565">
        <f t="shared" si="19"/>
        <v>-98.420000000000073</v>
      </c>
      <c r="Q440" s="565"/>
      <c r="R440" s="565"/>
      <c r="S440" s="565"/>
      <c r="T440" s="565"/>
      <c r="U440" s="565"/>
      <c r="V440" s="565"/>
      <c r="W440" s="565"/>
      <c r="X440" s="565"/>
      <c r="Y440" t="str">
        <f t="shared" ca="1" si="20"/>
        <v>PAGO</v>
      </c>
      <c r="AA440" t="s">
        <v>402</v>
      </c>
    </row>
    <row r="441" spans="1:27" x14ac:dyDescent="0.3">
      <c r="A441" t="s">
        <v>215</v>
      </c>
      <c r="B441" s="562">
        <v>2026</v>
      </c>
      <c r="C441" t="s">
        <v>248</v>
      </c>
      <c r="D441">
        <v>21277</v>
      </c>
      <c r="E441">
        <v>3361</v>
      </c>
      <c r="F441" s="179">
        <v>46044</v>
      </c>
      <c r="G441" t="s">
        <v>236</v>
      </c>
      <c r="I441" t="s">
        <v>270</v>
      </c>
      <c r="J441" s="583">
        <v>0</v>
      </c>
      <c r="K441" s="583">
        <v>116.8</v>
      </c>
      <c r="L441" s="565">
        <f t="shared" si="18"/>
        <v>116.8</v>
      </c>
      <c r="M441" s="179">
        <v>46072</v>
      </c>
      <c r="N441" s="179">
        <v>46055</v>
      </c>
      <c r="O441" s="565">
        <v>116.8</v>
      </c>
      <c r="P441" s="565">
        <f t="shared" si="19"/>
        <v>0</v>
      </c>
      <c r="Q441" s="565"/>
      <c r="R441" s="565"/>
      <c r="S441" s="565"/>
      <c r="T441" s="565"/>
      <c r="U441" s="565"/>
      <c r="V441" s="565"/>
      <c r="W441" s="565"/>
      <c r="X441" s="565"/>
      <c r="Y441" t="str">
        <f t="shared" ca="1" si="20"/>
        <v>PAGO</v>
      </c>
      <c r="AA441" t="s">
        <v>402</v>
      </c>
    </row>
    <row r="442" spans="1:27" x14ac:dyDescent="0.3">
      <c r="A442" t="s">
        <v>215</v>
      </c>
      <c r="B442" s="562">
        <v>2026</v>
      </c>
      <c r="C442" t="s">
        <v>248</v>
      </c>
      <c r="D442">
        <v>21395</v>
      </c>
      <c r="E442">
        <v>3390</v>
      </c>
      <c r="F442" s="179">
        <v>46052</v>
      </c>
      <c r="G442" t="s">
        <v>236</v>
      </c>
      <c r="I442" t="s">
        <v>270</v>
      </c>
      <c r="J442" s="583">
        <v>0</v>
      </c>
      <c r="K442" s="583">
        <v>91.43</v>
      </c>
      <c r="L442" s="565">
        <f t="shared" si="18"/>
        <v>91.43</v>
      </c>
      <c r="M442" s="179">
        <v>46080</v>
      </c>
      <c r="N442" s="179">
        <v>46071</v>
      </c>
      <c r="O442" s="565">
        <v>91.42</v>
      </c>
      <c r="P442" s="565">
        <f t="shared" si="19"/>
        <v>1.0000000000005116E-2</v>
      </c>
      <c r="Q442" s="565"/>
      <c r="R442" s="565"/>
      <c r="S442" s="565"/>
      <c r="T442" s="565"/>
      <c r="U442" s="565"/>
      <c r="V442" s="565"/>
      <c r="W442" s="565"/>
      <c r="X442" s="565"/>
      <c r="Y442" t="str">
        <f t="shared" ca="1" si="20"/>
        <v>VENCIDO</v>
      </c>
      <c r="AA442" t="s">
        <v>402</v>
      </c>
    </row>
    <row r="443" spans="1:27" x14ac:dyDescent="0.3">
      <c r="A443" t="s">
        <v>215</v>
      </c>
      <c r="B443" s="562">
        <v>2026</v>
      </c>
      <c r="C443" t="s">
        <v>248</v>
      </c>
      <c r="D443">
        <v>21395</v>
      </c>
      <c r="E443">
        <v>3390</v>
      </c>
      <c r="F443" s="179">
        <v>46052</v>
      </c>
      <c r="G443" t="s">
        <v>236</v>
      </c>
      <c r="I443" t="s">
        <v>270</v>
      </c>
      <c r="J443" s="583">
        <v>0</v>
      </c>
      <c r="K443" s="583">
        <v>91.43</v>
      </c>
      <c r="L443" s="565">
        <f t="shared" si="18"/>
        <v>91.43</v>
      </c>
      <c r="M443" s="179">
        <v>46087</v>
      </c>
      <c r="N443" s="179">
        <v>46071</v>
      </c>
      <c r="O443" s="565">
        <v>91.42</v>
      </c>
      <c r="P443" s="565">
        <f t="shared" si="19"/>
        <v>1.0000000000005116E-2</v>
      </c>
      <c r="Q443" s="565"/>
      <c r="R443" s="565"/>
      <c r="S443" s="565"/>
      <c r="T443" s="565"/>
      <c r="U443" s="565"/>
      <c r="V443" s="565"/>
      <c r="W443" s="565"/>
      <c r="X443" s="565"/>
      <c r="Y443" t="str">
        <f t="shared" ca="1" si="20"/>
        <v>VENCIDO</v>
      </c>
      <c r="AA443" t="s">
        <v>402</v>
      </c>
    </row>
    <row r="444" spans="1:27" x14ac:dyDescent="0.3">
      <c r="A444" t="s">
        <v>215</v>
      </c>
      <c r="B444" s="562">
        <v>2026</v>
      </c>
      <c r="C444" t="s">
        <v>248</v>
      </c>
      <c r="D444">
        <v>21395</v>
      </c>
      <c r="E444">
        <v>3390</v>
      </c>
      <c r="F444" s="179">
        <v>46052</v>
      </c>
      <c r="G444" t="s">
        <v>236</v>
      </c>
      <c r="I444" t="s">
        <v>270</v>
      </c>
      <c r="J444" s="583">
        <v>0</v>
      </c>
      <c r="K444" s="583">
        <v>91.42</v>
      </c>
      <c r="L444" s="565">
        <f t="shared" si="18"/>
        <v>91.42</v>
      </c>
      <c r="M444" s="179">
        <v>46094</v>
      </c>
      <c r="N444" s="179">
        <v>46072</v>
      </c>
      <c r="O444" s="565">
        <v>91.43</v>
      </c>
      <c r="P444" s="565">
        <f t="shared" si="19"/>
        <v>-1.0000000000005116E-2</v>
      </c>
      <c r="Q444" s="565"/>
      <c r="R444" s="565"/>
      <c r="S444" s="565"/>
      <c r="T444" s="565"/>
      <c r="U444" s="565"/>
      <c r="V444" s="565"/>
      <c r="W444" s="565"/>
      <c r="X444" s="565"/>
      <c r="Y444" t="str">
        <f t="shared" ca="1" si="20"/>
        <v>PAGO</v>
      </c>
      <c r="AA444" t="s">
        <v>402</v>
      </c>
    </row>
    <row r="445" spans="1:27" x14ac:dyDescent="0.3">
      <c r="A445" t="s">
        <v>215</v>
      </c>
      <c r="B445" s="562">
        <v>2026</v>
      </c>
      <c r="C445" t="s">
        <v>248</v>
      </c>
      <c r="D445">
        <v>21396</v>
      </c>
      <c r="E445">
        <v>3389</v>
      </c>
      <c r="F445" s="179">
        <v>46052</v>
      </c>
      <c r="G445" t="s">
        <v>236</v>
      </c>
      <c r="I445" t="s">
        <v>270</v>
      </c>
      <c r="J445" s="583">
        <v>0</v>
      </c>
      <c r="K445" s="583">
        <v>2854.31</v>
      </c>
      <c r="L445" s="565">
        <f t="shared" si="18"/>
        <v>2854.31</v>
      </c>
      <c r="M445" s="179">
        <v>46049</v>
      </c>
      <c r="N445" s="179">
        <v>46071</v>
      </c>
      <c r="O445" s="565">
        <v>2854.29</v>
      </c>
      <c r="P445" s="565">
        <f t="shared" si="19"/>
        <v>1.999999999998181E-2</v>
      </c>
      <c r="Q445" s="565"/>
      <c r="R445" s="565"/>
      <c r="S445" s="565"/>
      <c r="T445" s="565"/>
      <c r="U445" s="565"/>
      <c r="V445" s="565"/>
      <c r="W445" s="565"/>
      <c r="X445" s="565"/>
      <c r="Y445" t="str">
        <f t="shared" ca="1" si="20"/>
        <v>VENCIDO</v>
      </c>
      <c r="AA445" t="s">
        <v>402</v>
      </c>
    </row>
    <row r="446" spans="1:27" x14ac:dyDescent="0.3">
      <c r="A446" t="s">
        <v>215</v>
      </c>
      <c r="B446" s="562">
        <v>2026</v>
      </c>
      <c r="C446" t="s">
        <v>248</v>
      </c>
      <c r="D446">
        <v>21396</v>
      </c>
      <c r="E446">
        <v>3389</v>
      </c>
      <c r="F446" s="179">
        <v>46052</v>
      </c>
      <c r="G446" t="s">
        <v>236</v>
      </c>
      <c r="I446" t="s">
        <v>270</v>
      </c>
      <c r="J446" s="583">
        <v>0</v>
      </c>
      <c r="K446" s="583">
        <v>2854.31</v>
      </c>
      <c r="L446" s="565">
        <f t="shared" si="18"/>
        <v>2854.31</v>
      </c>
      <c r="M446" s="179">
        <v>46087</v>
      </c>
      <c r="N446" s="179">
        <v>46071</v>
      </c>
      <c r="O446" s="565">
        <v>2854.29</v>
      </c>
      <c r="P446" s="565">
        <f t="shared" si="19"/>
        <v>1.999999999998181E-2</v>
      </c>
      <c r="Q446" s="565"/>
      <c r="R446" s="565"/>
      <c r="S446" s="565"/>
      <c r="T446" s="565"/>
      <c r="U446" s="565"/>
      <c r="V446" s="565"/>
      <c r="W446" s="565"/>
      <c r="X446" s="565"/>
      <c r="Y446" t="str">
        <f t="shared" ca="1" si="20"/>
        <v>VENCIDO</v>
      </c>
      <c r="AA446" t="s">
        <v>402</v>
      </c>
    </row>
    <row r="447" spans="1:27" x14ac:dyDescent="0.3">
      <c r="A447" t="s">
        <v>215</v>
      </c>
      <c r="B447" s="562">
        <v>2026</v>
      </c>
      <c r="C447" t="s">
        <v>248</v>
      </c>
      <c r="D447">
        <v>21396</v>
      </c>
      <c r="E447">
        <v>3389</v>
      </c>
      <c r="F447" s="179">
        <v>46052</v>
      </c>
      <c r="G447" t="s">
        <v>236</v>
      </c>
      <c r="I447" t="s">
        <v>270</v>
      </c>
      <c r="J447" s="583">
        <v>0</v>
      </c>
      <c r="K447" s="583">
        <v>2854.3</v>
      </c>
      <c r="L447" s="565">
        <f t="shared" si="18"/>
        <v>2854.3</v>
      </c>
      <c r="M447" s="179">
        <v>46094</v>
      </c>
      <c r="N447" s="179">
        <v>46076</v>
      </c>
      <c r="O447" s="565">
        <v>2854.3</v>
      </c>
      <c r="P447" s="565">
        <f t="shared" si="19"/>
        <v>0</v>
      </c>
      <c r="Q447" s="565"/>
      <c r="R447" s="565"/>
      <c r="S447" s="565"/>
      <c r="T447" s="565"/>
      <c r="U447" s="565"/>
      <c r="V447" s="565"/>
      <c r="W447" s="565"/>
      <c r="X447" s="565"/>
      <c r="Y447" t="str">
        <f t="shared" ca="1" si="20"/>
        <v>PAGO</v>
      </c>
      <c r="AA447" t="s">
        <v>402</v>
      </c>
    </row>
    <row r="448" spans="1:27" x14ac:dyDescent="0.3">
      <c r="A448" t="s">
        <v>210</v>
      </c>
      <c r="B448" s="562">
        <v>2026</v>
      </c>
      <c r="C448" t="s">
        <v>249</v>
      </c>
      <c r="D448">
        <v>21626</v>
      </c>
      <c r="E448">
        <v>3369</v>
      </c>
      <c r="F448" s="179">
        <v>46066</v>
      </c>
      <c r="G448" t="s">
        <v>254</v>
      </c>
      <c r="I448" t="s">
        <v>271</v>
      </c>
      <c r="J448" s="583">
        <v>2875.2</v>
      </c>
      <c r="K448" s="583">
        <v>0</v>
      </c>
      <c r="L448" s="565">
        <f t="shared" si="18"/>
        <v>2875.2</v>
      </c>
      <c r="M448" s="179">
        <v>46066</v>
      </c>
      <c r="N448" s="179">
        <v>46066</v>
      </c>
      <c r="O448" s="565">
        <v>2875.2</v>
      </c>
      <c r="P448" s="565">
        <f t="shared" si="19"/>
        <v>0</v>
      </c>
      <c r="Q448" s="565"/>
      <c r="R448" s="565"/>
      <c r="S448" s="565"/>
      <c r="T448" s="565"/>
      <c r="U448" s="565"/>
      <c r="V448" s="565"/>
      <c r="W448" s="565"/>
      <c r="X448" s="565"/>
      <c r="Y448" t="str">
        <f t="shared" ca="1" si="20"/>
        <v>PAGO</v>
      </c>
      <c r="AA448" t="s">
        <v>403</v>
      </c>
    </row>
    <row r="449" spans="1:27" x14ac:dyDescent="0.3">
      <c r="A449" t="s">
        <v>210</v>
      </c>
      <c r="B449" s="562">
        <v>2026</v>
      </c>
      <c r="C449" t="s">
        <v>248</v>
      </c>
      <c r="D449">
        <v>21440</v>
      </c>
      <c r="E449">
        <v>3389</v>
      </c>
      <c r="F449" s="179">
        <v>46056</v>
      </c>
      <c r="G449" t="s">
        <v>236</v>
      </c>
      <c r="I449" t="s">
        <v>270</v>
      </c>
      <c r="J449" s="583">
        <v>0</v>
      </c>
      <c r="K449" s="583">
        <v>119.35</v>
      </c>
      <c r="L449" s="565">
        <f t="shared" si="18"/>
        <v>119.35</v>
      </c>
      <c r="M449" s="179">
        <v>46084</v>
      </c>
      <c r="N449" s="179">
        <v>46071</v>
      </c>
      <c r="O449" s="565">
        <v>119.35</v>
      </c>
      <c r="P449" s="565">
        <f t="shared" si="19"/>
        <v>0</v>
      </c>
      <c r="Q449" s="565"/>
      <c r="R449" s="565"/>
      <c r="S449" s="565"/>
      <c r="T449" s="565"/>
      <c r="U449" s="565"/>
      <c r="V449" s="565"/>
      <c r="W449" s="565"/>
      <c r="X449" s="565"/>
      <c r="Y449" t="str">
        <f t="shared" ca="1" si="20"/>
        <v>PAGO</v>
      </c>
      <c r="AA449" t="s">
        <v>403</v>
      </c>
    </row>
    <row r="450" spans="1:27" x14ac:dyDescent="0.3">
      <c r="A450" t="s">
        <v>210</v>
      </c>
      <c r="B450" s="562">
        <v>2026</v>
      </c>
      <c r="C450" t="s">
        <v>248</v>
      </c>
      <c r="D450">
        <v>21440</v>
      </c>
      <c r="E450">
        <v>3389</v>
      </c>
      <c r="F450" s="179">
        <v>46056</v>
      </c>
      <c r="G450" t="s">
        <v>236</v>
      </c>
      <c r="I450" t="s">
        <v>270</v>
      </c>
      <c r="J450" s="583">
        <v>0</v>
      </c>
      <c r="K450" s="583">
        <v>119.35</v>
      </c>
      <c r="L450" s="565">
        <f t="shared" si="18"/>
        <v>119.35</v>
      </c>
      <c r="M450" s="179">
        <v>46091</v>
      </c>
      <c r="N450" s="179">
        <v>46071</v>
      </c>
      <c r="O450" s="565">
        <v>119.35</v>
      </c>
      <c r="P450" s="565">
        <f t="shared" si="19"/>
        <v>0</v>
      </c>
      <c r="Q450" s="565"/>
      <c r="R450" s="565"/>
      <c r="S450" s="565"/>
      <c r="T450" s="565"/>
      <c r="U450" s="565"/>
      <c r="V450" s="565"/>
      <c r="W450" s="565"/>
      <c r="X450" s="565"/>
      <c r="Y450" t="str">
        <f t="shared" ca="1" si="20"/>
        <v>PAGO</v>
      </c>
      <c r="AA450" t="s">
        <v>403</v>
      </c>
    </row>
    <row r="451" spans="1:27" x14ac:dyDescent="0.3">
      <c r="A451" t="s">
        <v>210</v>
      </c>
      <c r="B451" s="562">
        <v>2026</v>
      </c>
      <c r="C451" t="s">
        <v>248</v>
      </c>
      <c r="D451">
        <v>21440</v>
      </c>
      <c r="E451">
        <v>3389</v>
      </c>
      <c r="F451" s="179">
        <v>46056</v>
      </c>
      <c r="G451" t="s">
        <v>236</v>
      </c>
      <c r="I451" t="s">
        <v>270</v>
      </c>
      <c r="J451" s="583">
        <v>0</v>
      </c>
      <c r="K451" s="583">
        <v>119.35</v>
      </c>
      <c r="L451" s="565">
        <f t="shared" ref="L451:L514" si="21">J451+K451</f>
        <v>119.35</v>
      </c>
      <c r="M451" s="179">
        <v>46098</v>
      </c>
      <c r="N451" s="179">
        <v>46076</v>
      </c>
      <c r="O451" s="565">
        <v>119.35</v>
      </c>
      <c r="P451" s="565">
        <f t="shared" ref="P451:P514" si="22">L451-O451</f>
        <v>0</v>
      </c>
      <c r="Q451" s="565"/>
      <c r="R451" s="565"/>
      <c r="S451" s="565"/>
      <c r="T451" s="565"/>
      <c r="U451" s="565"/>
      <c r="V451" s="565"/>
      <c r="W451" s="565"/>
      <c r="X451" s="565"/>
      <c r="Y451" t="str">
        <f t="shared" ref="Y451:Y514" ca="1" si="23">IF(L451=0,"SEM VALOR",IF(P451&lt;=0.01,"PAGO",IF(M451="","SEM VENCIMENTO",IF(M451&lt;TODAY(),"VENCIDO","A VENCER"))))</f>
        <v>PAGO</v>
      </c>
      <c r="AA451" t="s">
        <v>403</v>
      </c>
    </row>
    <row r="452" spans="1:27" x14ac:dyDescent="0.3">
      <c r="A452" t="s">
        <v>210</v>
      </c>
      <c r="B452" s="562">
        <v>2026</v>
      </c>
      <c r="C452" t="s">
        <v>248</v>
      </c>
      <c r="D452">
        <v>21521</v>
      </c>
      <c r="E452">
        <v>3522</v>
      </c>
      <c r="F452" s="179">
        <v>46059</v>
      </c>
      <c r="G452" t="s">
        <v>236</v>
      </c>
      <c r="I452" t="s">
        <v>270</v>
      </c>
      <c r="J452" s="583">
        <v>0</v>
      </c>
      <c r="K452" s="583">
        <v>134.55000000000001</v>
      </c>
      <c r="L452" s="565">
        <f t="shared" si="21"/>
        <v>134.55000000000001</v>
      </c>
      <c r="M452" s="179">
        <v>46087</v>
      </c>
      <c r="N452" s="179">
        <v>46071</v>
      </c>
      <c r="O452" s="565">
        <v>134.55000000000001</v>
      </c>
      <c r="P452" s="565">
        <f t="shared" si="22"/>
        <v>0</v>
      </c>
      <c r="Q452" s="565"/>
      <c r="R452" s="565"/>
      <c r="S452" s="565"/>
      <c r="T452" s="565"/>
      <c r="U452" s="565"/>
      <c r="V452" s="565"/>
      <c r="W452" s="565"/>
      <c r="X452" s="565"/>
      <c r="Y452" t="str">
        <f t="shared" ca="1" si="23"/>
        <v>PAGO</v>
      </c>
      <c r="AA452" t="s">
        <v>403</v>
      </c>
    </row>
    <row r="453" spans="1:27" x14ac:dyDescent="0.3">
      <c r="A453" t="s">
        <v>210</v>
      </c>
      <c r="B453" s="562">
        <v>2026</v>
      </c>
      <c r="C453" t="s">
        <v>249</v>
      </c>
      <c r="D453">
        <v>662</v>
      </c>
      <c r="E453">
        <v>624</v>
      </c>
      <c r="F453" s="179">
        <v>46059</v>
      </c>
      <c r="G453" t="s">
        <v>315</v>
      </c>
      <c r="I453" t="s">
        <v>275</v>
      </c>
      <c r="J453" s="583">
        <v>1932</v>
      </c>
      <c r="K453" s="583">
        <v>0</v>
      </c>
      <c r="L453" s="565">
        <f t="shared" si="21"/>
        <v>1932</v>
      </c>
      <c r="M453" s="179">
        <v>46089</v>
      </c>
      <c r="N453" s="179">
        <v>46093</v>
      </c>
      <c r="O453" s="565">
        <v>1932</v>
      </c>
      <c r="P453" s="565">
        <f t="shared" si="22"/>
        <v>0</v>
      </c>
      <c r="Q453" s="565"/>
      <c r="R453" s="565"/>
      <c r="S453" s="565"/>
      <c r="T453" s="565"/>
      <c r="U453" s="565"/>
      <c r="V453" s="565"/>
      <c r="W453" s="565"/>
      <c r="X453" s="565"/>
      <c r="Y453" t="str">
        <f t="shared" ca="1" si="23"/>
        <v>PAGO</v>
      </c>
      <c r="AA453" t="s">
        <v>403</v>
      </c>
    </row>
    <row r="454" spans="1:27" x14ac:dyDescent="0.3">
      <c r="A454" t="s">
        <v>210</v>
      </c>
      <c r="B454" s="562">
        <v>2026</v>
      </c>
      <c r="C454" t="s">
        <v>249</v>
      </c>
      <c r="D454">
        <v>662</v>
      </c>
      <c r="E454">
        <v>624</v>
      </c>
      <c r="F454" s="179">
        <v>46059</v>
      </c>
      <c r="G454" t="s">
        <v>315</v>
      </c>
      <c r="I454" t="s">
        <v>275</v>
      </c>
      <c r="J454" s="583">
        <v>1932</v>
      </c>
      <c r="K454" s="583">
        <v>0</v>
      </c>
      <c r="L454" s="565">
        <f t="shared" si="21"/>
        <v>1932</v>
      </c>
      <c r="M454" s="179">
        <v>46104</v>
      </c>
      <c r="N454" s="179">
        <v>46101</v>
      </c>
      <c r="O454" s="565">
        <v>1932</v>
      </c>
      <c r="P454" s="565">
        <f t="shared" si="22"/>
        <v>0</v>
      </c>
      <c r="Q454" s="565"/>
      <c r="R454" s="565"/>
      <c r="S454" s="565"/>
      <c r="T454" s="565"/>
      <c r="U454" s="565"/>
      <c r="V454" s="565"/>
      <c r="W454" s="565"/>
      <c r="X454" s="565"/>
      <c r="Y454" t="str">
        <f t="shared" ca="1" si="23"/>
        <v>PAGO</v>
      </c>
      <c r="AA454" t="s">
        <v>403</v>
      </c>
    </row>
    <row r="455" spans="1:27" x14ac:dyDescent="0.3">
      <c r="A455" t="s">
        <v>210</v>
      </c>
      <c r="B455" s="562">
        <v>2026</v>
      </c>
      <c r="C455" t="s">
        <v>249</v>
      </c>
      <c r="D455">
        <v>21607</v>
      </c>
      <c r="E455">
        <v>3643</v>
      </c>
      <c r="F455" s="179">
        <v>46065</v>
      </c>
      <c r="G455" t="s">
        <v>317</v>
      </c>
      <c r="I455" t="s">
        <v>272</v>
      </c>
      <c r="J455" s="583">
        <v>2666.77</v>
      </c>
      <c r="K455" s="583">
        <v>0</v>
      </c>
      <c r="L455" s="565">
        <f t="shared" si="21"/>
        <v>2666.77</v>
      </c>
      <c r="M455" s="179">
        <v>46095</v>
      </c>
      <c r="N455" s="179">
        <v>46097</v>
      </c>
      <c r="O455" s="565">
        <v>2666.77</v>
      </c>
      <c r="P455" s="565">
        <f t="shared" si="22"/>
        <v>0</v>
      </c>
      <c r="Q455" s="565"/>
      <c r="R455" s="565"/>
      <c r="S455" s="565"/>
      <c r="T455" s="565"/>
      <c r="U455" s="565"/>
      <c r="V455" s="565"/>
      <c r="W455" s="565"/>
      <c r="X455" s="565"/>
      <c r="Y455" t="str">
        <f t="shared" ca="1" si="23"/>
        <v>PAGO</v>
      </c>
      <c r="AA455" t="s">
        <v>403</v>
      </c>
    </row>
    <row r="456" spans="1:27" x14ac:dyDescent="0.3">
      <c r="A456" t="s">
        <v>210</v>
      </c>
      <c r="B456" s="562">
        <v>2026</v>
      </c>
      <c r="C456" t="s">
        <v>249</v>
      </c>
      <c r="D456">
        <v>21607</v>
      </c>
      <c r="E456">
        <v>3643</v>
      </c>
      <c r="F456" s="179">
        <v>46065</v>
      </c>
      <c r="G456" t="s">
        <v>317</v>
      </c>
      <c r="I456" t="s">
        <v>272</v>
      </c>
      <c r="J456" s="583">
        <v>2666.77</v>
      </c>
      <c r="K456" s="583">
        <v>0</v>
      </c>
      <c r="L456" s="565">
        <f t="shared" si="21"/>
        <v>2666.77</v>
      </c>
      <c r="M456" s="179">
        <v>46110</v>
      </c>
      <c r="N456" s="179">
        <v>46099</v>
      </c>
      <c r="O456" s="565">
        <v>2666.77</v>
      </c>
      <c r="P456" s="565">
        <f t="shared" si="22"/>
        <v>0</v>
      </c>
      <c r="Q456" s="565"/>
      <c r="R456" s="565"/>
      <c r="S456" s="565"/>
      <c r="T456" s="565"/>
      <c r="U456" s="565"/>
      <c r="V456" s="565"/>
      <c r="W456" s="565"/>
      <c r="X456" s="565"/>
      <c r="Y456" t="str">
        <f t="shared" ca="1" si="23"/>
        <v>PAGO</v>
      </c>
      <c r="AA456" t="s">
        <v>403</v>
      </c>
    </row>
    <row r="457" spans="1:27" x14ac:dyDescent="0.3">
      <c r="A457" t="s">
        <v>210</v>
      </c>
      <c r="B457" s="562">
        <v>2026</v>
      </c>
      <c r="C457" t="s">
        <v>249</v>
      </c>
      <c r="D457">
        <v>21607</v>
      </c>
      <c r="E457">
        <v>3643</v>
      </c>
      <c r="F457" s="179">
        <v>46065</v>
      </c>
      <c r="G457" t="s">
        <v>317</v>
      </c>
      <c r="I457" t="s">
        <v>272</v>
      </c>
      <c r="J457" s="583">
        <v>2666.77</v>
      </c>
      <c r="K457" s="583">
        <v>0</v>
      </c>
      <c r="L457" s="565">
        <f t="shared" si="21"/>
        <v>2666.77</v>
      </c>
      <c r="M457" s="179">
        <v>46125</v>
      </c>
      <c r="N457" s="179">
        <v>46099</v>
      </c>
      <c r="O457" s="565">
        <v>2661.79</v>
      </c>
      <c r="P457" s="565">
        <f t="shared" si="22"/>
        <v>4.9800000000000182</v>
      </c>
      <c r="Q457" s="565"/>
      <c r="R457" s="565"/>
      <c r="S457" s="565"/>
      <c r="T457" s="565"/>
      <c r="U457" s="565"/>
      <c r="V457" s="565"/>
      <c r="W457" s="565"/>
      <c r="X457" s="565"/>
      <c r="Y457" t="str">
        <f t="shared" ca="1" si="23"/>
        <v>VENCIDO</v>
      </c>
      <c r="AA457" t="s">
        <v>403</v>
      </c>
    </row>
    <row r="458" spans="1:27" x14ac:dyDescent="0.3">
      <c r="A458" t="s">
        <v>210</v>
      </c>
      <c r="B458" s="562">
        <v>2026</v>
      </c>
      <c r="C458" t="s">
        <v>248</v>
      </c>
      <c r="D458">
        <v>21590</v>
      </c>
      <c r="E458">
        <v>3524</v>
      </c>
      <c r="F458" s="179">
        <v>46065</v>
      </c>
      <c r="G458" t="s">
        <v>236</v>
      </c>
      <c r="I458" t="s">
        <v>270</v>
      </c>
      <c r="J458" s="583">
        <v>0</v>
      </c>
      <c r="K458" s="583">
        <v>901.33</v>
      </c>
      <c r="L458" s="565">
        <f t="shared" si="21"/>
        <v>901.33</v>
      </c>
      <c r="M458" s="179">
        <v>46093</v>
      </c>
      <c r="N458" s="179">
        <v>46071</v>
      </c>
      <c r="O458" s="565">
        <v>901.32</v>
      </c>
      <c r="P458" s="565">
        <f t="shared" si="22"/>
        <v>9.9999999999909051E-3</v>
      </c>
      <c r="Q458" s="565"/>
      <c r="R458" s="565"/>
      <c r="S458" s="565"/>
      <c r="T458" s="565"/>
      <c r="U458" s="565"/>
      <c r="V458" s="565"/>
      <c r="W458" s="565"/>
      <c r="X458" s="565"/>
      <c r="Y458" t="str">
        <f t="shared" ca="1" si="23"/>
        <v>PAGO</v>
      </c>
      <c r="AA458" t="s">
        <v>403</v>
      </c>
    </row>
    <row r="459" spans="1:27" x14ac:dyDescent="0.3">
      <c r="A459" t="s">
        <v>210</v>
      </c>
      <c r="B459" s="562">
        <v>2026</v>
      </c>
      <c r="C459" t="s">
        <v>248</v>
      </c>
      <c r="D459">
        <v>21590</v>
      </c>
      <c r="E459">
        <v>3524</v>
      </c>
      <c r="F459" s="179">
        <v>46065</v>
      </c>
      <c r="G459" t="s">
        <v>236</v>
      </c>
      <c r="I459" t="s">
        <v>270</v>
      </c>
      <c r="J459" s="583">
        <v>0</v>
      </c>
      <c r="K459" s="583">
        <v>901.33</v>
      </c>
      <c r="L459" s="565">
        <f t="shared" si="21"/>
        <v>901.33</v>
      </c>
      <c r="M459" s="179">
        <v>46100</v>
      </c>
      <c r="N459" s="179">
        <v>46078</v>
      </c>
      <c r="O459" s="565">
        <v>901.32</v>
      </c>
      <c r="P459" s="565">
        <f t="shared" si="22"/>
        <v>9.9999999999909051E-3</v>
      </c>
      <c r="Q459" s="565"/>
      <c r="R459" s="565"/>
      <c r="S459" s="565"/>
      <c r="T459" s="565"/>
      <c r="U459" s="565"/>
      <c r="V459" s="565"/>
      <c r="W459" s="565"/>
      <c r="X459" s="565"/>
      <c r="Y459" t="str">
        <f t="shared" ca="1" si="23"/>
        <v>PAGO</v>
      </c>
      <c r="AA459" t="s">
        <v>403</v>
      </c>
    </row>
    <row r="460" spans="1:27" x14ac:dyDescent="0.3">
      <c r="A460" t="s">
        <v>210</v>
      </c>
      <c r="B460" s="562">
        <v>2026</v>
      </c>
      <c r="C460" t="s">
        <v>248</v>
      </c>
      <c r="D460">
        <v>21590</v>
      </c>
      <c r="E460">
        <v>3524</v>
      </c>
      <c r="F460" s="179">
        <v>46065</v>
      </c>
      <c r="G460" t="s">
        <v>236</v>
      </c>
      <c r="I460" t="s">
        <v>270</v>
      </c>
      <c r="J460" s="583">
        <v>0</v>
      </c>
      <c r="K460" s="583">
        <v>901.34</v>
      </c>
      <c r="L460" s="565">
        <f t="shared" si="21"/>
        <v>901.34</v>
      </c>
      <c r="M460" s="179">
        <v>46107</v>
      </c>
      <c r="N460" s="179">
        <v>46098</v>
      </c>
      <c r="O460" s="565">
        <v>901.31</v>
      </c>
      <c r="P460" s="565">
        <f t="shared" si="22"/>
        <v>3.0000000000086402E-2</v>
      </c>
      <c r="Q460" s="565"/>
      <c r="R460" s="565"/>
      <c r="S460" s="565"/>
      <c r="T460" s="565"/>
      <c r="U460" s="565"/>
      <c r="V460" s="565"/>
      <c r="W460" s="565"/>
      <c r="X460" s="565"/>
      <c r="Y460" t="str">
        <f t="shared" ca="1" si="23"/>
        <v>VENCIDO</v>
      </c>
      <c r="AA460" t="s">
        <v>403</v>
      </c>
    </row>
    <row r="461" spans="1:27" x14ac:dyDescent="0.3">
      <c r="A461" t="s">
        <v>210</v>
      </c>
      <c r="B461" s="562">
        <v>2026</v>
      </c>
      <c r="C461" t="s">
        <v>248</v>
      </c>
      <c r="D461">
        <v>21598</v>
      </c>
      <c r="E461">
        <v>3524</v>
      </c>
      <c r="F461" s="179">
        <v>46065</v>
      </c>
      <c r="G461" t="s">
        <v>236</v>
      </c>
      <c r="I461" t="s">
        <v>270</v>
      </c>
      <c r="J461" s="583">
        <v>0</v>
      </c>
      <c r="K461" s="583">
        <v>2295.41</v>
      </c>
      <c r="L461" s="565">
        <f t="shared" si="21"/>
        <v>2295.41</v>
      </c>
      <c r="M461" s="179">
        <v>46093</v>
      </c>
      <c r="N461" s="179">
        <v>46072</v>
      </c>
      <c r="O461" s="565">
        <v>2295.39</v>
      </c>
      <c r="P461" s="565">
        <f t="shared" si="22"/>
        <v>1.999999999998181E-2</v>
      </c>
      <c r="Q461" s="565"/>
      <c r="R461" s="565"/>
      <c r="S461" s="565"/>
      <c r="T461" s="565"/>
      <c r="U461" s="565"/>
      <c r="V461" s="565"/>
      <c r="W461" s="565"/>
      <c r="X461" s="565"/>
      <c r="Y461" t="str">
        <f t="shared" ca="1" si="23"/>
        <v>VENCIDO</v>
      </c>
      <c r="AA461" t="s">
        <v>403</v>
      </c>
    </row>
    <row r="462" spans="1:27" x14ac:dyDescent="0.3">
      <c r="A462" t="s">
        <v>210</v>
      </c>
      <c r="B462" s="562">
        <v>2026</v>
      </c>
      <c r="C462" t="s">
        <v>248</v>
      </c>
      <c r="D462">
        <v>21598</v>
      </c>
      <c r="E462">
        <v>3524</v>
      </c>
      <c r="F462" s="179">
        <v>46065</v>
      </c>
      <c r="G462" t="s">
        <v>236</v>
      </c>
      <c r="I462" t="s">
        <v>270</v>
      </c>
      <c r="J462" s="583">
        <v>0</v>
      </c>
      <c r="K462" s="583">
        <v>2295.41</v>
      </c>
      <c r="L462" s="565">
        <f t="shared" si="21"/>
        <v>2295.41</v>
      </c>
      <c r="M462" s="179">
        <v>46100</v>
      </c>
      <c r="N462" s="179">
        <v>46078</v>
      </c>
      <c r="O462" s="565">
        <v>1737.7</v>
      </c>
      <c r="P462" s="565">
        <f t="shared" si="22"/>
        <v>557.70999999999981</v>
      </c>
      <c r="Q462" s="565"/>
      <c r="R462" s="565"/>
      <c r="S462" s="565"/>
      <c r="T462" s="565"/>
      <c r="U462" s="565"/>
      <c r="V462" s="565"/>
      <c r="W462" s="565"/>
      <c r="X462" s="565"/>
      <c r="Y462" t="str">
        <f t="shared" ca="1" si="23"/>
        <v>VENCIDO</v>
      </c>
      <c r="AA462" t="s">
        <v>403</v>
      </c>
    </row>
    <row r="463" spans="1:27" x14ac:dyDescent="0.3">
      <c r="A463" t="s">
        <v>210</v>
      </c>
      <c r="B463" s="562">
        <v>2026</v>
      </c>
      <c r="C463" t="s">
        <v>248</v>
      </c>
      <c r="D463">
        <v>21598</v>
      </c>
      <c r="E463">
        <v>3524</v>
      </c>
      <c r="F463" s="179">
        <v>46065</v>
      </c>
      <c r="G463" t="s">
        <v>236</v>
      </c>
      <c r="I463" t="s">
        <v>270</v>
      </c>
      <c r="J463" s="583">
        <v>0</v>
      </c>
      <c r="K463" s="583">
        <v>2295.4</v>
      </c>
      <c r="L463" s="565">
        <f t="shared" si="21"/>
        <v>2295.4</v>
      </c>
      <c r="M463" s="179">
        <v>46107</v>
      </c>
      <c r="N463" s="179">
        <v>46098</v>
      </c>
      <c r="O463" s="565">
        <v>2853.09</v>
      </c>
      <c r="P463" s="565">
        <f t="shared" si="22"/>
        <v>-557.69000000000005</v>
      </c>
      <c r="Q463" s="565"/>
      <c r="R463" s="565"/>
      <c r="S463" s="565"/>
      <c r="T463" s="565"/>
      <c r="U463" s="565"/>
      <c r="V463" s="565"/>
      <c r="W463" s="565"/>
      <c r="X463" s="565"/>
      <c r="Y463" t="str">
        <f t="shared" ca="1" si="23"/>
        <v>PAGO</v>
      </c>
      <c r="AA463" t="s">
        <v>403</v>
      </c>
    </row>
    <row r="464" spans="1:27" x14ac:dyDescent="0.3">
      <c r="A464" t="s">
        <v>210</v>
      </c>
      <c r="B464" s="562">
        <v>2026</v>
      </c>
      <c r="C464" t="s">
        <v>248</v>
      </c>
      <c r="D464">
        <v>21608</v>
      </c>
      <c r="E464">
        <v>3524</v>
      </c>
      <c r="F464" s="179">
        <v>46065</v>
      </c>
      <c r="G464" t="s">
        <v>236</v>
      </c>
      <c r="I464" t="s">
        <v>270</v>
      </c>
      <c r="J464" s="583">
        <v>0</v>
      </c>
      <c r="K464" s="583">
        <v>131.1</v>
      </c>
      <c r="L464" s="565">
        <f t="shared" si="21"/>
        <v>131.1</v>
      </c>
      <c r="M464" s="179">
        <v>46093</v>
      </c>
      <c r="N464" s="179">
        <v>46076</v>
      </c>
      <c r="O464" s="565">
        <v>131.1</v>
      </c>
      <c r="P464" s="565">
        <f t="shared" si="22"/>
        <v>0</v>
      </c>
      <c r="Q464" s="565"/>
      <c r="R464" s="565"/>
      <c r="S464" s="565"/>
      <c r="T464" s="565"/>
      <c r="U464" s="565"/>
      <c r="V464" s="565"/>
      <c r="W464" s="565"/>
      <c r="X464" s="565"/>
      <c r="Y464" t="str">
        <f t="shared" ca="1" si="23"/>
        <v>PAGO</v>
      </c>
      <c r="AA464" t="s">
        <v>403</v>
      </c>
    </row>
    <row r="465" spans="1:27" x14ac:dyDescent="0.3">
      <c r="A465" t="s">
        <v>210</v>
      </c>
      <c r="B465" s="562">
        <v>2026</v>
      </c>
      <c r="C465" t="s">
        <v>248</v>
      </c>
      <c r="D465">
        <v>21554</v>
      </c>
      <c r="E465">
        <v>3459</v>
      </c>
      <c r="F465" s="179">
        <v>46063</v>
      </c>
      <c r="G465" t="s">
        <v>236</v>
      </c>
      <c r="I465" t="s">
        <v>270</v>
      </c>
      <c r="J465" s="583">
        <v>0</v>
      </c>
      <c r="K465" s="583">
        <v>3026.8</v>
      </c>
      <c r="L465" s="565">
        <f t="shared" si="21"/>
        <v>3026.8</v>
      </c>
      <c r="M465" s="179">
        <v>46091</v>
      </c>
      <c r="N465" s="179">
        <v>46071</v>
      </c>
      <c r="O465" s="565">
        <v>3026.8</v>
      </c>
      <c r="P465" s="565">
        <f t="shared" si="22"/>
        <v>0</v>
      </c>
      <c r="Q465" s="565"/>
      <c r="R465" s="565"/>
      <c r="S465" s="565"/>
      <c r="T465" s="565"/>
      <c r="U465" s="565"/>
      <c r="V465" s="565"/>
      <c r="W465" s="565"/>
      <c r="X465" s="565"/>
      <c r="Y465" t="str">
        <f t="shared" ca="1" si="23"/>
        <v>PAGO</v>
      </c>
      <c r="AA465" t="s">
        <v>403</v>
      </c>
    </row>
    <row r="466" spans="1:27" x14ac:dyDescent="0.3">
      <c r="A466" t="s">
        <v>210</v>
      </c>
      <c r="B466" s="562">
        <v>2026</v>
      </c>
      <c r="C466" t="s">
        <v>248</v>
      </c>
      <c r="D466">
        <v>21554</v>
      </c>
      <c r="E466">
        <v>3459</v>
      </c>
      <c r="F466" s="179">
        <v>46063</v>
      </c>
      <c r="G466" t="s">
        <v>236</v>
      </c>
      <c r="I466" t="s">
        <v>270</v>
      </c>
      <c r="J466" s="583">
        <v>0</v>
      </c>
      <c r="K466" s="583">
        <v>3026.8</v>
      </c>
      <c r="L466" s="565">
        <f t="shared" si="21"/>
        <v>3026.8</v>
      </c>
      <c r="M466" s="179">
        <v>46098</v>
      </c>
      <c r="N466" s="179">
        <v>46078</v>
      </c>
      <c r="O466" s="565">
        <v>3026.8</v>
      </c>
      <c r="P466" s="565">
        <f t="shared" si="22"/>
        <v>0</v>
      </c>
      <c r="Q466" s="565"/>
      <c r="R466" s="565"/>
      <c r="S466" s="565"/>
      <c r="T466" s="565"/>
      <c r="U466" s="565"/>
      <c r="V466" s="565"/>
      <c r="W466" s="565"/>
      <c r="X466" s="565"/>
      <c r="Y466" t="str">
        <f t="shared" ca="1" si="23"/>
        <v>PAGO</v>
      </c>
      <c r="AA466" t="s">
        <v>403</v>
      </c>
    </row>
    <row r="467" spans="1:27" x14ac:dyDescent="0.3">
      <c r="A467" t="s">
        <v>210</v>
      </c>
      <c r="B467" s="562">
        <v>2026</v>
      </c>
      <c r="C467" t="s">
        <v>248</v>
      </c>
      <c r="D467">
        <v>21554</v>
      </c>
      <c r="E467">
        <v>3459</v>
      </c>
      <c r="F467" s="179">
        <v>46063</v>
      </c>
      <c r="G467" t="s">
        <v>236</v>
      </c>
      <c r="I467" t="s">
        <v>270</v>
      </c>
      <c r="J467" s="583">
        <v>0</v>
      </c>
      <c r="K467" s="583">
        <v>3026.81</v>
      </c>
      <c r="L467" s="565">
        <f t="shared" si="21"/>
        <v>3026.81</v>
      </c>
      <c r="M467" s="179">
        <v>46105</v>
      </c>
      <c r="N467" s="179">
        <v>46098</v>
      </c>
      <c r="O467" s="565">
        <v>3026.79</v>
      </c>
      <c r="P467" s="565">
        <f t="shared" si="22"/>
        <v>1.999999999998181E-2</v>
      </c>
      <c r="Q467" s="565"/>
      <c r="R467" s="565"/>
      <c r="S467" s="565"/>
      <c r="T467" s="565"/>
      <c r="U467" s="565"/>
      <c r="V467" s="565"/>
      <c r="W467" s="565"/>
      <c r="X467" s="565"/>
      <c r="Y467" t="str">
        <f t="shared" ca="1" si="23"/>
        <v>VENCIDO</v>
      </c>
      <c r="AA467" t="s">
        <v>403</v>
      </c>
    </row>
    <row r="468" spans="1:27" x14ac:dyDescent="0.3">
      <c r="A468" t="s">
        <v>210</v>
      </c>
      <c r="B468" s="562">
        <v>2026</v>
      </c>
      <c r="C468" t="s">
        <v>248</v>
      </c>
      <c r="D468">
        <v>21669</v>
      </c>
      <c r="E468">
        <v>3658</v>
      </c>
      <c r="F468" s="179">
        <v>46070</v>
      </c>
      <c r="G468" t="s">
        <v>236</v>
      </c>
      <c r="I468" t="s">
        <v>270</v>
      </c>
      <c r="J468" s="583">
        <v>0</v>
      </c>
      <c r="K468" s="583">
        <v>408.83</v>
      </c>
      <c r="L468" s="565">
        <f t="shared" si="21"/>
        <v>408.83</v>
      </c>
      <c r="M468" s="179">
        <v>46098</v>
      </c>
      <c r="N468" s="179">
        <v>46078</v>
      </c>
      <c r="O468" s="565">
        <v>408.82</v>
      </c>
      <c r="P468" s="565">
        <f t="shared" si="22"/>
        <v>9.9999999999909051E-3</v>
      </c>
      <c r="Q468" s="565"/>
      <c r="R468" s="565"/>
      <c r="S468" s="565"/>
      <c r="T468" s="565"/>
      <c r="U468" s="565"/>
      <c r="V468" s="565"/>
      <c r="W468" s="565"/>
      <c r="X468" s="565"/>
      <c r="Y468" t="str">
        <f t="shared" ca="1" si="23"/>
        <v>PAGO</v>
      </c>
      <c r="AA468" t="s">
        <v>403</v>
      </c>
    </row>
    <row r="469" spans="1:27" x14ac:dyDescent="0.3">
      <c r="A469" t="s">
        <v>210</v>
      </c>
      <c r="B469" s="562">
        <v>2026</v>
      </c>
      <c r="C469" t="s">
        <v>248</v>
      </c>
      <c r="D469">
        <v>21669</v>
      </c>
      <c r="E469">
        <v>3658</v>
      </c>
      <c r="F469" s="179">
        <v>46070</v>
      </c>
      <c r="G469" t="s">
        <v>236</v>
      </c>
      <c r="I469" t="s">
        <v>270</v>
      </c>
      <c r="J469" s="583">
        <v>0</v>
      </c>
      <c r="K469" s="583">
        <v>408.83</v>
      </c>
      <c r="L469" s="565">
        <f t="shared" si="21"/>
        <v>408.83</v>
      </c>
      <c r="M469" s="179">
        <v>46105</v>
      </c>
      <c r="N469" s="179">
        <v>46098</v>
      </c>
      <c r="O469" s="565">
        <v>408.82</v>
      </c>
      <c r="P469" s="565">
        <f t="shared" si="22"/>
        <v>9.9999999999909051E-3</v>
      </c>
      <c r="Q469" s="565"/>
      <c r="R469" s="565"/>
      <c r="S469" s="565"/>
      <c r="T469" s="565"/>
      <c r="U469" s="565"/>
      <c r="V469" s="565"/>
      <c r="W469" s="565"/>
      <c r="X469" s="565"/>
      <c r="Y469" t="str">
        <f t="shared" ca="1" si="23"/>
        <v>PAGO</v>
      </c>
      <c r="AA469" t="s">
        <v>403</v>
      </c>
    </row>
    <row r="470" spans="1:27" x14ac:dyDescent="0.3">
      <c r="A470" t="s">
        <v>210</v>
      </c>
      <c r="B470" s="562">
        <v>2026</v>
      </c>
      <c r="C470" t="s">
        <v>248</v>
      </c>
      <c r="D470">
        <v>21670</v>
      </c>
      <c r="E470">
        <v>3522</v>
      </c>
      <c r="F470" s="179">
        <v>46070</v>
      </c>
      <c r="G470" t="s">
        <v>236</v>
      </c>
      <c r="I470" t="s">
        <v>270</v>
      </c>
      <c r="J470" s="583">
        <v>0</v>
      </c>
      <c r="K470" s="583">
        <v>136.28</v>
      </c>
      <c r="L470" s="565">
        <f t="shared" si="21"/>
        <v>136.28</v>
      </c>
      <c r="M470" s="179">
        <v>46098</v>
      </c>
      <c r="N470" s="179">
        <v>46094</v>
      </c>
      <c r="O470" s="565">
        <v>136.27000000000001</v>
      </c>
      <c r="P470" s="565">
        <f t="shared" si="22"/>
        <v>9.9999999999909051E-3</v>
      </c>
      <c r="Q470" s="565"/>
      <c r="R470" s="565"/>
      <c r="S470" s="565"/>
      <c r="T470" s="565"/>
      <c r="U470" s="565"/>
      <c r="V470" s="565"/>
      <c r="W470" s="565"/>
      <c r="X470" s="565"/>
      <c r="Y470" t="str">
        <f t="shared" ca="1" si="23"/>
        <v>PAGO</v>
      </c>
      <c r="AA470" t="s">
        <v>403</v>
      </c>
    </row>
    <row r="471" spans="1:27" x14ac:dyDescent="0.3">
      <c r="A471" t="s">
        <v>210</v>
      </c>
      <c r="B471" s="562">
        <v>2026</v>
      </c>
      <c r="C471" t="s">
        <v>248</v>
      </c>
      <c r="D471">
        <v>21671</v>
      </c>
      <c r="E471">
        <v>3565</v>
      </c>
      <c r="F471" s="179">
        <v>46070</v>
      </c>
      <c r="G471" t="s">
        <v>237</v>
      </c>
      <c r="I471" t="s">
        <v>270</v>
      </c>
      <c r="J471" s="583">
        <v>0</v>
      </c>
      <c r="K471" s="583">
        <v>568.79999999999995</v>
      </c>
      <c r="L471" s="565">
        <f t="shared" si="21"/>
        <v>568.79999999999995</v>
      </c>
      <c r="M471" s="179">
        <v>46105</v>
      </c>
      <c r="N471" s="179">
        <v>46105</v>
      </c>
      <c r="O471" s="565">
        <v>568.79999999999995</v>
      </c>
      <c r="P471" s="565">
        <f t="shared" si="22"/>
        <v>0</v>
      </c>
      <c r="Q471" s="565"/>
      <c r="R471" s="565"/>
      <c r="S471" s="565"/>
      <c r="T471" s="565"/>
      <c r="U471" s="565"/>
      <c r="V471" s="565"/>
      <c r="W471" s="565"/>
      <c r="X471" s="565"/>
      <c r="Y471" t="str">
        <f t="shared" ca="1" si="23"/>
        <v>PAGO</v>
      </c>
      <c r="AA471" t="s">
        <v>403</v>
      </c>
    </row>
    <row r="472" spans="1:27" x14ac:dyDescent="0.3">
      <c r="A472" t="s">
        <v>210</v>
      </c>
      <c r="B472" s="562">
        <v>2026</v>
      </c>
      <c r="C472" t="s">
        <v>248</v>
      </c>
      <c r="D472">
        <v>21673</v>
      </c>
      <c r="E472">
        <v>3560</v>
      </c>
      <c r="F472" s="179">
        <v>46070</v>
      </c>
      <c r="G472" t="s">
        <v>237</v>
      </c>
      <c r="I472" t="s">
        <v>270</v>
      </c>
      <c r="J472" s="583">
        <v>0</v>
      </c>
      <c r="K472" s="583">
        <v>1404.23</v>
      </c>
      <c r="L472" s="565">
        <f t="shared" si="21"/>
        <v>1404.23</v>
      </c>
      <c r="M472" s="179">
        <v>46105</v>
      </c>
      <c r="N472" s="179">
        <v>46105</v>
      </c>
      <c r="O472" s="565">
        <v>1404.23</v>
      </c>
      <c r="P472" s="565">
        <f t="shared" si="22"/>
        <v>0</v>
      </c>
      <c r="Q472" s="565"/>
      <c r="R472" s="565"/>
      <c r="S472" s="565"/>
      <c r="T472" s="565"/>
      <c r="U472" s="565"/>
      <c r="V472" s="565"/>
      <c r="W472" s="565"/>
      <c r="X472" s="565"/>
      <c r="Y472" t="str">
        <f t="shared" ca="1" si="23"/>
        <v>PAGO</v>
      </c>
      <c r="AA472" t="s">
        <v>403</v>
      </c>
    </row>
    <row r="473" spans="1:27" x14ac:dyDescent="0.3">
      <c r="A473" t="s">
        <v>210</v>
      </c>
      <c r="B473" s="562">
        <v>2026</v>
      </c>
      <c r="C473" t="s">
        <v>249</v>
      </c>
      <c r="D473">
        <v>21723</v>
      </c>
      <c r="E473">
        <v>3637</v>
      </c>
      <c r="F473" s="179">
        <v>46072</v>
      </c>
      <c r="G473" t="s">
        <v>254</v>
      </c>
      <c r="I473" t="s">
        <v>271</v>
      </c>
      <c r="J473" s="583">
        <v>2809.31</v>
      </c>
      <c r="K473" s="583">
        <v>0</v>
      </c>
      <c r="L473" s="565">
        <f t="shared" si="21"/>
        <v>2809.31</v>
      </c>
      <c r="M473" s="179">
        <v>46093</v>
      </c>
      <c r="N473" s="179">
        <v>46129</v>
      </c>
      <c r="O473" s="565">
        <v>2809.31</v>
      </c>
      <c r="P473" s="565">
        <f t="shared" si="22"/>
        <v>0</v>
      </c>
      <c r="Q473" s="565"/>
      <c r="R473" s="565"/>
      <c r="S473" s="565"/>
      <c r="T473" s="565"/>
      <c r="U473" s="565"/>
      <c r="V473" s="565"/>
      <c r="W473" s="565"/>
      <c r="X473" s="565"/>
      <c r="Y473" t="str">
        <f t="shared" ca="1" si="23"/>
        <v>PAGO</v>
      </c>
      <c r="AA473" t="s">
        <v>403</v>
      </c>
    </row>
    <row r="474" spans="1:27" x14ac:dyDescent="0.3">
      <c r="A474" t="s">
        <v>210</v>
      </c>
      <c r="B474" s="562">
        <v>2026</v>
      </c>
      <c r="C474" t="s">
        <v>248</v>
      </c>
      <c r="D474">
        <v>21746</v>
      </c>
      <c r="E474">
        <v>3524</v>
      </c>
      <c r="F474" s="179">
        <v>46073</v>
      </c>
      <c r="G474" t="s">
        <v>236</v>
      </c>
      <c r="I474" t="s">
        <v>270</v>
      </c>
      <c r="J474" s="583">
        <v>0</v>
      </c>
      <c r="K474" s="583">
        <v>369.73</v>
      </c>
      <c r="L474" s="565">
        <f t="shared" si="21"/>
        <v>369.73</v>
      </c>
      <c r="M474" s="179">
        <v>46101</v>
      </c>
      <c r="N474" s="179">
        <v>46094</v>
      </c>
      <c r="O474" s="565">
        <v>369.72</v>
      </c>
      <c r="P474" s="565">
        <f t="shared" si="22"/>
        <v>9.9999999999909051E-3</v>
      </c>
      <c r="Q474" s="565"/>
      <c r="R474" s="565"/>
      <c r="S474" s="565"/>
      <c r="T474" s="565"/>
      <c r="U474" s="565"/>
      <c r="V474" s="565"/>
      <c r="W474" s="565"/>
      <c r="X474" s="565"/>
      <c r="Y474" t="str">
        <f t="shared" ca="1" si="23"/>
        <v>PAGO</v>
      </c>
      <c r="AA474" t="s">
        <v>403</v>
      </c>
    </row>
    <row r="475" spans="1:27" x14ac:dyDescent="0.3">
      <c r="A475" t="s">
        <v>210</v>
      </c>
      <c r="B475" s="562">
        <v>2026</v>
      </c>
      <c r="C475" t="s">
        <v>248</v>
      </c>
      <c r="D475">
        <v>21746</v>
      </c>
      <c r="E475">
        <v>3524</v>
      </c>
      <c r="F475" s="179">
        <v>46073</v>
      </c>
      <c r="G475" t="s">
        <v>236</v>
      </c>
      <c r="I475" t="s">
        <v>270</v>
      </c>
      <c r="J475" s="583">
        <v>0</v>
      </c>
      <c r="K475" s="583">
        <v>369.73</v>
      </c>
      <c r="L475" s="565">
        <f t="shared" si="21"/>
        <v>369.73</v>
      </c>
      <c r="M475" s="179">
        <v>46108</v>
      </c>
      <c r="N475" s="179">
        <v>46105</v>
      </c>
      <c r="O475" s="565">
        <v>369.72</v>
      </c>
      <c r="P475" s="565">
        <f t="shared" si="22"/>
        <v>9.9999999999909051E-3</v>
      </c>
      <c r="Q475" s="565"/>
      <c r="R475" s="565"/>
      <c r="S475" s="565"/>
      <c r="T475" s="565"/>
      <c r="U475" s="565"/>
      <c r="V475" s="565"/>
      <c r="W475" s="565"/>
      <c r="X475" s="565"/>
      <c r="Y475" t="str">
        <f t="shared" ca="1" si="23"/>
        <v>PAGO</v>
      </c>
      <c r="AA475" t="s">
        <v>403</v>
      </c>
    </row>
    <row r="476" spans="1:27" x14ac:dyDescent="0.3">
      <c r="A476" t="s">
        <v>210</v>
      </c>
      <c r="B476" s="562">
        <v>2026</v>
      </c>
      <c r="C476" t="s">
        <v>248</v>
      </c>
      <c r="D476">
        <v>21746</v>
      </c>
      <c r="E476">
        <v>3524</v>
      </c>
      <c r="F476" s="179">
        <v>46073</v>
      </c>
      <c r="G476" t="s">
        <v>236</v>
      </c>
      <c r="I476" t="s">
        <v>270</v>
      </c>
      <c r="J476" s="583">
        <v>0</v>
      </c>
      <c r="K476" s="583">
        <v>369.72</v>
      </c>
      <c r="L476" s="565">
        <f t="shared" si="21"/>
        <v>369.72</v>
      </c>
      <c r="M476" s="179">
        <v>46115</v>
      </c>
      <c r="N476" s="179">
        <v>46108</v>
      </c>
      <c r="O476" s="565">
        <v>369.73</v>
      </c>
      <c r="P476" s="565">
        <f t="shared" si="22"/>
        <v>-9.9999999999909051E-3</v>
      </c>
      <c r="Q476" s="565"/>
      <c r="R476" s="565"/>
      <c r="S476" s="565"/>
      <c r="T476" s="565"/>
      <c r="U476" s="565"/>
      <c r="V476" s="565"/>
      <c r="W476" s="565"/>
      <c r="X476" s="565"/>
      <c r="Y476" t="str">
        <f t="shared" ca="1" si="23"/>
        <v>PAGO</v>
      </c>
      <c r="AA476" t="s">
        <v>403</v>
      </c>
    </row>
    <row r="477" spans="1:27" x14ac:dyDescent="0.3">
      <c r="A477" t="s">
        <v>210</v>
      </c>
      <c r="B477" s="562">
        <v>2026</v>
      </c>
      <c r="C477" t="s">
        <v>248</v>
      </c>
      <c r="D477">
        <v>21747</v>
      </c>
      <c r="E477">
        <v>3697</v>
      </c>
      <c r="F477" s="179">
        <v>46073</v>
      </c>
      <c r="G477" t="s">
        <v>236</v>
      </c>
      <c r="I477" t="s">
        <v>270</v>
      </c>
      <c r="J477" s="583">
        <v>0</v>
      </c>
      <c r="K477" s="583">
        <v>439.88</v>
      </c>
      <c r="L477" s="565">
        <f t="shared" si="21"/>
        <v>439.88</v>
      </c>
      <c r="M477" s="179">
        <v>46101</v>
      </c>
      <c r="N477" s="179">
        <v>46094</v>
      </c>
      <c r="O477" s="565">
        <v>439.87</v>
      </c>
      <c r="P477" s="565">
        <f t="shared" si="22"/>
        <v>9.9999999999909051E-3</v>
      </c>
      <c r="Q477" s="565"/>
      <c r="R477" s="565"/>
      <c r="S477" s="565"/>
      <c r="T477" s="565"/>
      <c r="U477" s="565"/>
      <c r="V477" s="565"/>
      <c r="W477" s="565"/>
      <c r="X477" s="565"/>
      <c r="Y477" t="str">
        <f t="shared" ca="1" si="23"/>
        <v>PAGO</v>
      </c>
      <c r="AA477" t="s">
        <v>403</v>
      </c>
    </row>
    <row r="478" spans="1:27" x14ac:dyDescent="0.3">
      <c r="A478" t="s">
        <v>210</v>
      </c>
      <c r="B478" s="562">
        <v>2026</v>
      </c>
      <c r="C478" t="s">
        <v>248</v>
      </c>
      <c r="D478">
        <v>21747</v>
      </c>
      <c r="E478">
        <v>3697</v>
      </c>
      <c r="F478" s="179">
        <v>46073</v>
      </c>
      <c r="G478" t="s">
        <v>236</v>
      </c>
      <c r="I478" t="s">
        <v>270</v>
      </c>
      <c r="J478" s="583">
        <v>0</v>
      </c>
      <c r="K478" s="583">
        <v>439.88</v>
      </c>
      <c r="L478" s="565">
        <f t="shared" si="21"/>
        <v>439.88</v>
      </c>
      <c r="M478" s="179">
        <v>46108</v>
      </c>
      <c r="N478" s="179">
        <v>46105</v>
      </c>
      <c r="O478" s="565">
        <v>439.87</v>
      </c>
      <c r="P478" s="565">
        <f t="shared" si="22"/>
        <v>9.9999999999909051E-3</v>
      </c>
      <c r="Q478" s="565"/>
      <c r="R478" s="565"/>
      <c r="S478" s="565"/>
      <c r="T478" s="565"/>
      <c r="U478" s="565"/>
      <c r="V478" s="565"/>
      <c r="W478" s="565"/>
      <c r="X478" s="565"/>
      <c r="Y478" t="str">
        <f t="shared" ca="1" si="23"/>
        <v>PAGO</v>
      </c>
      <c r="AA478" t="s">
        <v>403</v>
      </c>
    </row>
    <row r="479" spans="1:27" x14ac:dyDescent="0.3">
      <c r="A479" t="s">
        <v>210</v>
      </c>
      <c r="B479" s="562">
        <v>2026</v>
      </c>
      <c r="C479" t="s">
        <v>248</v>
      </c>
      <c r="D479">
        <v>21747</v>
      </c>
      <c r="E479">
        <v>3697</v>
      </c>
      <c r="F479" s="179">
        <v>46073</v>
      </c>
      <c r="G479" t="s">
        <v>236</v>
      </c>
      <c r="I479" t="s">
        <v>270</v>
      </c>
      <c r="J479" s="583">
        <v>0</v>
      </c>
      <c r="K479" s="583">
        <v>439.87</v>
      </c>
      <c r="L479" s="565">
        <f t="shared" si="21"/>
        <v>439.87</v>
      </c>
      <c r="M479" s="179">
        <v>46115</v>
      </c>
      <c r="N479" s="179">
        <v>46105</v>
      </c>
      <c r="O479" s="565">
        <v>439.88</v>
      </c>
      <c r="P479" s="565">
        <f t="shared" si="22"/>
        <v>-9.9999999999909051E-3</v>
      </c>
      <c r="Q479" s="565"/>
      <c r="R479" s="565"/>
      <c r="S479" s="565"/>
      <c r="T479" s="565"/>
      <c r="U479" s="565"/>
      <c r="V479" s="565"/>
      <c r="W479" s="565"/>
      <c r="X479" s="565"/>
      <c r="Y479" t="str">
        <f t="shared" ca="1" si="23"/>
        <v>PAGO</v>
      </c>
      <c r="AA479" t="s">
        <v>403</v>
      </c>
    </row>
    <row r="480" spans="1:27" x14ac:dyDescent="0.3">
      <c r="A480" t="s">
        <v>210</v>
      </c>
      <c r="B480" s="562">
        <v>2026</v>
      </c>
      <c r="C480" t="s">
        <v>248</v>
      </c>
      <c r="D480">
        <v>21753</v>
      </c>
      <c r="E480">
        <v>3697</v>
      </c>
      <c r="F480" s="179">
        <v>46073</v>
      </c>
      <c r="G480" t="s">
        <v>236</v>
      </c>
      <c r="I480" t="s">
        <v>270</v>
      </c>
      <c r="J480" s="583">
        <v>0</v>
      </c>
      <c r="K480" s="583">
        <v>226.55</v>
      </c>
      <c r="L480" s="565">
        <f t="shared" si="21"/>
        <v>226.55</v>
      </c>
      <c r="M480" s="179">
        <v>46101</v>
      </c>
      <c r="N480" s="179">
        <v>46094</v>
      </c>
      <c r="O480" s="565">
        <v>226.55</v>
      </c>
      <c r="P480" s="565">
        <f t="shared" si="22"/>
        <v>0</v>
      </c>
      <c r="Q480" s="565"/>
      <c r="R480" s="565"/>
      <c r="S480" s="565"/>
      <c r="T480" s="565"/>
      <c r="U480" s="565"/>
      <c r="V480" s="565"/>
      <c r="W480" s="565"/>
      <c r="X480" s="565"/>
      <c r="Y480" t="str">
        <f t="shared" ca="1" si="23"/>
        <v>PAGO</v>
      </c>
      <c r="AA480" t="s">
        <v>403</v>
      </c>
    </row>
    <row r="481" spans="1:27" x14ac:dyDescent="0.3">
      <c r="A481" t="s">
        <v>210</v>
      </c>
      <c r="B481" s="562">
        <v>2026</v>
      </c>
      <c r="C481" t="s">
        <v>248</v>
      </c>
      <c r="D481">
        <v>21753</v>
      </c>
      <c r="E481">
        <v>3697</v>
      </c>
      <c r="F481" s="179">
        <v>46073</v>
      </c>
      <c r="G481" t="s">
        <v>236</v>
      </c>
      <c r="I481" t="s">
        <v>270</v>
      </c>
      <c r="J481" s="583">
        <v>0</v>
      </c>
      <c r="K481" s="583">
        <v>226.55</v>
      </c>
      <c r="L481" s="565">
        <f t="shared" si="21"/>
        <v>226.55</v>
      </c>
      <c r="M481" s="179">
        <v>46108</v>
      </c>
      <c r="N481" s="179">
        <v>46105</v>
      </c>
      <c r="O481" s="565">
        <v>226.55</v>
      </c>
      <c r="P481" s="565">
        <f t="shared" si="22"/>
        <v>0</v>
      </c>
      <c r="Q481" s="565"/>
      <c r="R481" s="565"/>
      <c r="S481" s="565"/>
      <c r="T481" s="565"/>
      <c r="U481" s="565"/>
      <c r="V481" s="565"/>
      <c r="W481" s="565"/>
      <c r="X481" s="565"/>
      <c r="Y481" t="str">
        <f t="shared" ca="1" si="23"/>
        <v>PAGO</v>
      </c>
      <c r="AA481" t="s">
        <v>403</v>
      </c>
    </row>
    <row r="482" spans="1:27" x14ac:dyDescent="0.3">
      <c r="A482" t="s">
        <v>210</v>
      </c>
      <c r="B482" s="562">
        <v>2026</v>
      </c>
      <c r="C482" t="s">
        <v>248</v>
      </c>
      <c r="D482">
        <v>21753</v>
      </c>
      <c r="E482">
        <v>3697</v>
      </c>
      <c r="F482" s="179">
        <v>46073</v>
      </c>
      <c r="G482" t="s">
        <v>236</v>
      </c>
      <c r="I482" t="s">
        <v>270</v>
      </c>
      <c r="J482" s="583">
        <v>0</v>
      </c>
      <c r="K482" s="583">
        <v>226.55</v>
      </c>
      <c r="L482" s="565">
        <f t="shared" si="21"/>
        <v>226.55</v>
      </c>
      <c r="M482" s="179">
        <v>46115</v>
      </c>
      <c r="N482" s="179">
        <v>46106</v>
      </c>
      <c r="O482" s="565">
        <v>226.55</v>
      </c>
      <c r="P482" s="565">
        <f t="shared" si="22"/>
        <v>0</v>
      </c>
      <c r="Q482" s="565"/>
      <c r="R482" s="565"/>
      <c r="S482" s="565"/>
      <c r="T482" s="565"/>
      <c r="U482" s="565"/>
      <c r="V482" s="565"/>
      <c r="W482" s="565"/>
      <c r="X482" s="565"/>
      <c r="Y482" t="str">
        <f t="shared" ca="1" si="23"/>
        <v>PAGO</v>
      </c>
      <c r="AA482" t="s">
        <v>403</v>
      </c>
    </row>
    <row r="483" spans="1:27" x14ac:dyDescent="0.3">
      <c r="A483" t="s">
        <v>210</v>
      </c>
      <c r="B483" s="562">
        <v>2026</v>
      </c>
      <c r="C483" t="s">
        <v>248</v>
      </c>
      <c r="D483">
        <v>21758</v>
      </c>
      <c r="E483">
        <v>3700</v>
      </c>
      <c r="F483" s="179">
        <v>46076</v>
      </c>
      <c r="G483" t="s">
        <v>236</v>
      </c>
      <c r="I483" t="s">
        <v>270</v>
      </c>
      <c r="J483" s="583">
        <v>0</v>
      </c>
      <c r="K483" s="583">
        <v>265.66000000000003</v>
      </c>
      <c r="L483" s="565">
        <f t="shared" si="21"/>
        <v>265.66000000000003</v>
      </c>
      <c r="M483" s="179">
        <v>46104</v>
      </c>
      <c r="N483" s="179">
        <v>46098</v>
      </c>
      <c r="O483" s="565">
        <v>265.64</v>
      </c>
      <c r="P483" s="565">
        <f t="shared" si="22"/>
        <v>2.0000000000038654E-2</v>
      </c>
      <c r="Q483" s="565"/>
      <c r="R483" s="565"/>
      <c r="S483" s="565"/>
      <c r="T483" s="565"/>
      <c r="U483" s="565"/>
      <c r="V483" s="565"/>
      <c r="W483" s="565"/>
      <c r="X483" s="565"/>
      <c r="Y483" t="str">
        <f t="shared" ca="1" si="23"/>
        <v>VENCIDO</v>
      </c>
      <c r="AA483" t="s">
        <v>403</v>
      </c>
    </row>
    <row r="484" spans="1:27" x14ac:dyDescent="0.3">
      <c r="A484" t="s">
        <v>210</v>
      </c>
      <c r="B484" s="562">
        <v>2026</v>
      </c>
      <c r="C484" t="s">
        <v>248</v>
      </c>
      <c r="D484">
        <v>21759</v>
      </c>
      <c r="E484">
        <v>3697</v>
      </c>
      <c r="F484" s="179">
        <v>46076</v>
      </c>
      <c r="G484" t="s">
        <v>236</v>
      </c>
      <c r="I484" t="s">
        <v>270</v>
      </c>
      <c r="J484" s="583">
        <v>0</v>
      </c>
      <c r="K484" s="583">
        <v>410.55</v>
      </c>
      <c r="L484" s="565">
        <f t="shared" si="21"/>
        <v>410.55</v>
      </c>
      <c r="M484" s="179">
        <v>46104</v>
      </c>
      <c r="N484" s="179">
        <v>46098</v>
      </c>
      <c r="O484" s="565">
        <v>410.55</v>
      </c>
      <c r="P484" s="565">
        <f t="shared" si="22"/>
        <v>0</v>
      </c>
      <c r="Q484" s="565"/>
      <c r="R484" s="565"/>
      <c r="S484" s="565"/>
      <c r="T484" s="565"/>
      <c r="U484" s="565"/>
      <c r="V484" s="565"/>
      <c r="W484" s="565"/>
      <c r="X484" s="565"/>
      <c r="Y484" t="str">
        <f t="shared" ca="1" si="23"/>
        <v>PAGO</v>
      </c>
      <c r="AA484" t="s">
        <v>403</v>
      </c>
    </row>
    <row r="485" spans="1:27" x14ac:dyDescent="0.3">
      <c r="A485" t="s">
        <v>210</v>
      </c>
      <c r="B485" s="562">
        <v>2026</v>
      </c>
      <c r="C485" t="s">
        <v>249</v>
      </c>
      <c r="D485">
        <v>21795</v>
      </c>
      <c r="E485">
        <v>3804</v>
      </c>
      <c r="F485" s="179">
        <v>46077</v>
      </c>
      <c r="G485" t="s">
        <v>317</v>
      </c>
      <c r="I485" t="s">
        <v>272</v>
      </c>
      <c r="J485" s="583">
        <v>1753.2</v>
      </c>
      <c r="K485" s="583">
        <v>0</v>
      </c>
      <c r="L485" s="565">
        <f t="shared" si="21"/>
        <v>1753.2</v>
      </c>
      <c r="M485" s="179">
        <v>46107</v>
      </c>
      <c r="N485" s="179">
        <v>46097</v>
      </c>
      <c r="O485" s="565">
        <v>1753.2</v>
      </c>
      <c r="P485" s="565">
        <f t="shared" si="22"/>
        <v>0</v>
      </c>
      <c r="Q485" s="565"/>
      <c r="R485" s="565"/>
      <c r="S485" s="565"/>
      <c r="T485" s="565"/>
      <c r="U485" s="565"/>
      <c r="V485" s="565"/>
      <c r="W485" s="565"/>
      <c r="X485" s="565"/>
      <c r="Y485" t="str">
        <f t="shared" ca="1" si="23"/>
        <v>PAGO</v>
      </c>
      <c r="AA485" t="s">
        <v>403</v>
      </c>
    </row>
    <row r="486" spans="1:27" x14ac:dyDescent="0.3">
      <c r="A486" t="s">
        <v>210</v>
      </c>
      <c r="B486" s="562">
        <v>2026</v>
      </c>
      <c r="C486" t="s">
        <v>248</v>
      </c>
      <c r="D486">
        <v>21416</v>
      </c>
      <c r="E486" t="s">
        <v>322</v>
      </c>
      <c r="F486" s="179">
        <v>46055</v>
      </c>
      <c r="G486" t="s">
        <v>312</v>
      </c>
      <c r="I486" t="s">
        <v>270</v>
      </c>
      <c r="J486" s="583">
        <v>0</v>
      </c>
      <c r="K486" s="583">
        <v>5985</v>
      </c>
      <c r="L486" s="565">
        <f t="shared" si="21"/>
        <v>5985</v>
      </c>
      <c r="O486" s="565"/>
      <c r="P486" s="565">
        <f t="shared" si="22"/>
        <v>5985</v>
      </c>
      <c r="Q486" s="565"/>
      <c r="R486" s="565"/>
      <c r="S486" s="565"/>
      <c r="T486" s="565"/>
      <c r="U486" s="565"/>
      <c r="V486" s="565"/>
      <c r="W486" s="565"/>
      <c r="X486" s="565"/>
      <c r="Y486" t="str">
        <f t="shared" ca="1" si="23"/>
        <v>SEM VENCIMENTO</v>
      </c>
      <c r="AA486" t="s">
        <v>403</v>
      </c>
    </row>
    <row r="487" spans="1:27" x14ac:dyDescent="0.3">
      <c r="A487" t="s">
        <v>210</v>
      </c>
      <c r="B487" s="562">
        <v>2026</v>
      </c>
      <c r="C487" t="s">
        <v>248</v>
      </c>
      <c r="D487">
        <v>21636</v>
      </c>
      <c r="E487" t="s">
        <v>322</v>
      </c>
      <c r="F487" s="179">
        <v>46069</v>
      </c>
      <c r="G487" t="s">
        <v>312</v>
      </c>
      <c r="I487" t="s">
        <v>270</v>
      </c>
      <c r="J487" s="583">
        <v>0</v>
      </c>
      <c r="K487" s="583">
        <v>8013.6</v>
      </c>
      <c r="L487" s="565">
        <f>J487+K487</f>
        <v>8013.6</v>
      </c>
      <c r="O487" s="565"/>
      <c r="P487" s="565">
        <f>L487-O487</f>
        <v>8013.6</v>
      </c>
      <c r="Q487" s="565"/>
      <c r="R487" s="565"/>
      <c r="S487" s="565"/>
      <c r="T487" s="565"/>
      <c r="U487" s="565"/>
      <c r="V487" s="565"/>
      <c r="W487" s="565"/>
      <c r="X487" s="565"/>
      <c r="Y487" t="str">
        <f t="shared" ca="1" si="23"/>
        <v>SEM VENCIMENTO</v>
      </c>
      <c r="AA487" t="s">
        <v>403</v>
      </c>
    </row>
    <row r="488" spans="1:27" x14ac:dyDescent="0.3">
      <c r="A488" t="s">
        <v>210</v>
      </c>
      <c r="B488" s="562">
        <v>2026</v>
      </c>
      <c r="C488" t="s">
        <v>249</v>
      </c>
      <c r="D488">
        <v>21853</v>
      </c>
      <c r="E488">
        <v>3714</v>
      </c>
      <c r="F488" s="179">
        <v>46079</v>
      </c>
      <c r="G488" t="s">
        <v>254</v>
      </c>
      <c r="I488" t="s">
        <v>271</v>
      </c>
      <c r="J488" s="583">
        <v>2899.16</v>
      </c>
      <c r="K488" s="583">
        <v>0</v>
      </c>
      <c r="L488" s="565">
        <f t="shared" si="21"/>
        <v>2899.16</v>
      </c>
      <c r="M488" s="179">
        <v>46093</v>
      </c>
      <c r="N488" s="179">
        <v>46129</v>
      </c>
      <c r="O488" s="565">
        <v>2899.16</v>
      </c>
      <c r="P488" s="565">
        <f t="shared" si="22"/>
        <v>0</v>
      </c>
      <c r="Q488" s="565"/>
      <c r="R488" s="565"/>
      <c r="S488" s="565"/>
      <c r="T488" s="565"/>
      <c r="U488" s="565"/>
      <c r="V488" s="565"/>
      <c r="W488" s="565"/>
      <c r="X488" s="565"/>
      <c r="Y488" t="str">
        <f t="shared" ca="1" si="23"/>
        <v>PAGO</v>
      </c>
      <c r="AA488" t="s">
        <v>403</v>
      </c>
    </row>
    <row r="489" spans="1:27" x14ac:dyDescent="0.3">
      <c r="A489" t="s">
        <v>210</v>
      </c>
      <c r="B489" s="562">
        <v>2026</v>
      </c>
      <c r="C489" t="s">
        <v>249</v>
      </c>
      <c r="D489">
        <v>21883</v>
      </c>
      <c r="E489">
        <v>3868</v>
      </c>
      <c r="F489" s="179">
        <v>46080</v>
      </c>
      <c r="G489" t="s">
        <v>310</v>
      </c>
      <c r="I489" t="s">
        <v>272</v>
      </c>
      <c r="J489" s="583">
        <v>1417.95</v>
      </c>
      <c r="K489" s="583">
        <v>0</v>
      </c>
      <c r="L489" s="565">
        <f t="shared" si="21"/>
        <v>1417.95</v>
      </c>
      <c r="M489" s="179">
        <v>46125</v>
      </c>
      <c r="N489" s="179">
        <v>46080</v>
      </c>
      <c r="O489" s="565">
        <v>1417.95</v>
      </c>
      <c r="P489" s="565">
        <f t="shared" si="22"/>
        <v>0</v>
      </c>
      <c r="Q489" s="565"/>
      <c r="R489" s="565"/>
      <c r="S489" s="565"/>
      <c r="T489" s="565"/>
      <c r="U489" s="565"/>
      <c r="V489" s="565"/>
      <c r="W489" s="565"/>
      <c r="X489" s="565"/>
      <c r="Y489" t="str">
        <f t="shared" ca="1" si="23"/>
        <v>PAGO</v>
      </c>
      <c r="AA489" t="s">
        <v>403</v>
      </c>
    </row>
    <row r="490" spans="1:27" x14ac:dyDescent="0.3">
      <c r="A490" t="s">
        <v>210</v>
      </c>
      <c r="B490" s="562">
        <v>2026</v>
      </c>
      <c r="C490" t="s">
        <v>248</v>
      </c>
      <c r="D490">
        <v>21888</v>
      </c>
      <c r="E490">
        <v>3795</v>
      </c>
      <c r="F490" s="179">
        <v>46080</v>
      </c>
      <c r="G490" t="s">
        <v>236</v>
      </c>
      <c r="I490" t="s">
        <v>270</v>
      </c>
      <c r="J490" s="583">
        <v>0</v>
      </c>
      <c r="K490" s="583">
        <v>588.79999999999995</v>
      </c>
      <c r="L490" s="565">
        <f t="shared" si="21"/>
        <v>588.79999999999995</v>
      </c>
      <c r="M490" s="179">
        <v>46108</v>
      </c>
      <c r="N490" s="179">
        <v>46105</v>
      </c>
      <c r="O490" s="565">
        <v>588.79999999999995</v>
      </c>
      <c r="P490" s="565">
        <f t="shared" si="22"/>
        <v>0</v>
      </c>
      <c r="Q490" s="565"/>
      <c r="R490" s="565"/>
      <c r="S490" s="565"/>
      <c r="T490" s="565"/>
      <c r="U490" s="565"/>
      <c r="V490" s="565"/>
      <c r="W490" s="565"/>
      <c r="X490" s="565"/>
      <c r="Y490" t="str">
        <f t="shared" ca="1" si="23"/>
        <v>PAGO</v>
      </c>
      <c r="AA490" t="s">
        <v>403</v>
      </c>
    </row>
    <row r="491" spans="1:27" x14ac:dyDescent="0.3">
      <c r="A491" t="s">
        <v>210</v>
      </c>
      <c r="B491" s="562">
        <v>2026</v>
      </c>
      <c r="C491" t="s">
        <v>248</v>
      </c>
      <c r="D491">
        <v>21888</v>
      </c>
      <c r="E491">
        <v>3795</v>
      </c>
      <c r="F491" s="179">
        <v>46080</v>
      </c>
      <c r="G491" t="s">
        <v>236</v>
      </c>
      <c r="I491" t="s">
        <v>270</v>
      </c>
      <c r="J491" s="583">
        <v>0</v>
      </c>
      <c r="K491" s="583">
        <v>588.79999999999995</v>
      </c>
      <c r="L491" s="565">
        <f t="shared" si="21"/>
        <v>588.79999999999995</v>
      </c>
      <c r="M491" s="179">
        <v>46115</v>
      </c>
      <c r="N491" s="179">
        <v>46108</v>
      </c>
      <c r="O491" s="565">
        <v>588.79</v>
      </c>
      <c r="P491" s="565">
        <f t="shared" si="22"/>
        <v>9.9999999999909051E-3</v>
      </c>
      <c r="Q491" s="565"/>
      <c r="R491" s="565"/>
      <c r="S491" s="565"/>
      <c r="T491" s="565"/>
      <c r="U491" s="565"/>
      <c r="V491" s="565"/>
      <c r="W491" s="565"/>
      <c r="X491" s="565"/>
      <c r="Y491" t="str">
        <f t="shared" ca="1" si="23"/>
        <v>PAGO</v>
      </c>
      <c r="AA491" t="s">
        <v>403</v>
      </c>
    </row>
    <row r="492" spans="1:27" x14ac:dyDescent="0.3">
      <c r="A492" t="s">
        <v>210</v>
      </c>
      <c r="B492" s="562">
        <v>2026</v>
      </c>
      <c r="C492" t="s">
        <v>248</v>
      </c>
      <c r="D492">
        <v>21888</v>
      </c>
      <c r="E492">
        <v>3795</v>
      </c>
      <c r="F492" s="179">
        <v>46080</v>
      </c>
      <c r="G492" t="s">
        <v>236</v>
      </c>
      <c r="I492" t="s">
        <v>270</v>
      </c>
      <c r="J492" s="583">
        <v>0</v>
      </c>
      <c r="K492" s="583">
        <v>588.80999999999995</v>
      </c>
      <c r="L492" s="565">
        <f t="shared" si="21"/>
        <v>588.80999999999995</v>
      </c>
      <c r="M492" s="179">
        <v>46122</v>
      </c>
      <c r="N492" s="179">
        <v>46108</v>
      </c>
      <c r="O492" s="565">
        <v>588.79999999999995</v>
      </c>
      <c r="P492" s="565">
        <f t="shared" si="22"/>
        <v>9.9999999999909051E-3</v>
      </c>
      <c r="Q492" s="565"/>
      <c r="R492" s="565"/>
      <c r="S492" s="565"/>
      <c r="T492" s="565"/>
      <c r="U492" s="565"/>
      <c r="V492" s="565"/>
      <c r="W492" s="565"/>
      <c r="X492" s="565"/>
      <c r="Y492" t="str">
        <f t="shared" ca="1" si="23"/>
        <v>PAGO</v>
      </c>
      <c r="AA492" t="s">
        <v>403</v>
      </c>
    </row>
    <row r="493" spans="1:27" x14ac:dyDescent="0.3">
      <c r="A493" t="s">
        <v>216</v>
      </c>
      <c r="B493" s="562">
        <v>2026</v>
      </c>
      <c r="C493" t="s">
        <v>248</v>
      </c>
      <c r="D493">
        <v>21939</v>
      </c>
      <c r="E493">
        <v>3842</v>
      </c>
      <c r="F493" s="179">
        <v>46084</v>
      </c>
      <c r="G493" t="s">
        <v>236</v>
      </c>
      <c r="I493" t="s">
        <v>270</v>
      </c>
      <c r="J493" s="583">
        <v>0</v>
      </c>
      <c r="K493" s="583">
        <v>504.85</v>
      </c>
      <c r="L493" s="565">
        <f t="shared" si="21"/>
        <v>504.85</v>
      </c>
      <c r="M493" s="179">
        <v>46112</v>
      </c>
      <c r="N493" s="179">
        <v>46105</v>
      </c>
      <c r="O493" s="565">
        <v>504.85</v>
      </c>
      <c r="P493" s="565">
        <f t="shared" si="22"/>
        <v>0</v>
      </c>
      <c r="Q493" s="565"/>
      <c r="R493" s="565"/>
      <c r="S493" s="565"/>
      <c r="T493" s="565"/>
      <c r="U493" s="565"/>
      <c r="V493" s="565"/>
      <c r="W493" s="565"/>
      <c r="X493" s="565"/>
      <c r="Y493" t="str">
        <f t="shared" ca="1" si="23"/>
        <v>PAGO</v>
      </c>
      <c r="AA493" t="s">
        <v>404</v>
      </c>
    </row>
    <row r="494" spans="1:27" x14ac:dyDescent="0.3">
      <c r="A494" t="s">
        <v>216</v>
      </c>
      <c r="B494" s="562">
        <v>2026</v>
      </c>
      <c r="C494" t="s">
        <v>248</v>
      </c>
      <c r="D494">
        <v>21939</v>
      </c>
      <c r="E494">
        <v>3842</v>
      </c>
      <c r="F494" s="179">
        <v>46084</v>
      </c>
      <c r="G494" t="s">
        <v>236</v>
      </c>
      <c r="I494" t="s">
        <v>270</v>
      </c>
      <c r="J494" s="583">
        <v>0</v>
      </c>
      <c r="K494" s="583">
        <v>504.85</v>
      </c>
      <c r="L494" s="565">
        <f t="shared" si="21"/>
        <v>504.85</v>
      </c>
      <c r="M494" s="179">
        <v>46119</v>
      </c>
      <c r="N494" s="179">
        <v>46108</v>
      </c>
      <c r="O494" s="565">
        <v>504.85</v>
      </c>
      <c r="P494" s="565">
        <f t="shared" si="22"/>
        <v>0</v>
      </c>
      <c r="Q494" s="565"/>
      <c r="R494" s="565"/>
      <c r="S494" s="565"/>
      <c r="T494" s="565"/>
      <c r="U494" s="565"/>
      <c r="V494" s="565"/>
      <c r="W494" s="565"/>
      <c r="X494" s="565"/>
      <c r="Y494" t="str">
        <f t="shared" ca="1" si="23"/>
        <v>PAGO</v>
      </c>
      <c r="AA494" t="s">
        <v>404</v>
      </c>
    </row>
    <row r="495" spans="1:27" x14ac:dyDescent="0.3">
      <c r="A495" t="s">
        <v>216</v>
      </c>
      <c r="B495" s="562">
        <v>2026</v>
      </c>
      <c r="C495" t="s">
        <v>248</v>
      </c>
      <c r="D495">
        <v>21939</v>
      </c>
      <c r="E495">
        <v>3842</v>
      </c>
      <c r="F495" s="179">
        <v>46084</v>
      </c>
      <c r="G495" t="s">
        <v>236</v>
      </c>
      <c r="I495" t="s">
        <v>270</v>
      </c>
      <c r="J495" s="583">
        <v>0</v>
      </c>
      <c r="K495" s="583">
        <v>504.86</v>
      </c>
      <c r="L495" s="565">
        <f t="shared" si="21"/>
        <v>504.86</v>
      </c>
      <c r="M495" s="179">
        <v>46126</v>
      </c>
      <c r="N495" s="179">
        <v>46108</v>
      </c>
      <c r="O495" s="565">
        <v>504.84</v>
      </c>
      <c r="P495" s="565">
        <f t="shared" si="22"/>
        <v>2.0000000000038654E-2</v>
      </c>
      <c r="Q495" s="565"/>
      <c r="R495" s="565"/>
      <c r="S495" s="565"/>
      <c r="T495" s="565"/>
      <c r="U495" s="565"/>
      <c r="V495" s="565"/>
      <c r="W495" s="565"/>
      <c r="X495" s="565"/>
      <c r="Y495" t="str">
        <f t="shared" ca="1" si="23"/>
        <v>VENCIDO</v>
      </c>
      <c r="AA495" t="s">
        <v>404</v>
      </c>
    </row>
    <row r="496" spans="1:27" x14ac:dyDescent="0.3">
      <c r="A496" t="s">
        <v>216</v>
      </c>
      <c r="B496" s="562">
        <v>2026</v>
      </c>
      <c r="C496" t="s">
        <v>249</v>
      </c>
      <c r="D496">
        <v>21938</v>
      </c>
      <c r="E496">
        <v>3818</v>
      </c>
      <c r="F496" s="179">
        <v>46084</v>
      </c>
      <c r="G496" t="s">
        <v>254</v>
      </c>
      <c r="I496" t="s">
        <v>271</v>
      </c>
      <c r="J496" s="583">
        <v>9515.57</v>
      </c>
      <c r="K496" s="583">
        <v>0</v>
      </c>
      <c r="L496" s="565">
        <f t="shared" si="21"/>
        <v>9515.57</v>
      </c>
      <c r="M496" s="179">
        <v>46114</v>
      </c>
      <c r="N496" s="179">
        <v>46164</v>
      </c>
      <c r="O496" s="565">
        <v>9515.5700000000015</v>
      </c>
      <c r="P496" s="565">
        <f t="shared" si="22"/>
        <v>0</v>
      </c>
      <c r="Q496" s="565"/>
      <c r="R496" s="565"/>
      <c r="S496" s="565"/>
      <c r="T496" s="565"/>
      <c r="U496" s="565"/>
      <c r="V496" s="565"/>
      <c r="W496" s="565"/>
      <c r="X496" s="565"/>
      <c r="Y496" t="str">
        <f t="shared" ca="1" si="23"/>
        <v>PAGO</v>
      </c>
      <c r="AA496" t="s">
        <v>404</v>
      </c>
    </row>
    <row r="497" spans="1:27" x14ac:dyDescent="0.3">
      <c r="A497" t="s">
        <v>216</v>
      </c>
      <c r="B497" s="562">
        <v>2026</v>
      </c>
      <c r="C497" t="s">
        <v>249</v>
      </c>
      <c r="D497">
        <v>21938</v>
      </c>
      <c r="E497">
        <v>3818</v>
      </c>
      <c r="F497" s="179">
        <v>46084</v>
      </c>
      <c r="G497" t="s">
        <v>254</v>
      </c>
      <c r="I497" t="s">
        <v>271</v>
      </c>
      <c r="J497" s="583">
        <v>9515.56</v>
      </c>
      <c r="K497" s="583">
        <v>0</v>
      </c>
      <c r="L497" s="565">
        <f t="shared" si="21"/>
        <v>9515.56</v>
      </c>
      <c r="M497" s="179">
        <v>46144</v>
      </c>
      <c r="N497" s="179">
        <v>46164</v>
      </c>
      <c r="O497" s="565">
        <v>5775.9599999999991</v>
      </c>
      <c r="P497" s="565">
        <f t="shared" si="22"/>
        <v>3739.6000000000004</v>
      </c>
      <c r="Q497" s="565"/>
      <c r="R497" s="565"/>
      <c r="S497" s="565"/>
      <c r="T497" s="565"/>
      <c r="U497" s="565"/>
      <c r="V497" s="565"/>
      <c r="W497" s="565"/>
      <c r="X497" s="565"/>
      <c r="Y497" t="str">
        <f t="shared" ca="1" si="23"/>
        <v>VENCIDO</v>
      </c>
      <c r="AA497" t="s">
        <v>404</v>
      </c>
    </row>
    <row r="498" spans="1:27" x14ac:dyDescent="0.3">
      <c r="A498" t="s">
        <v>216</v>
      </c>
      <c r="B498" s="562">
        <v>2026</v>
      </c>
      <c r="C498" t="s">
        <v>248</v>
      </c>
      <c r="D498">
        <v>22025</v>
      </c>
      <c r="E498">
        <v>3907</v>
      </c>
      <c r="F498" s="179">
        <v>46084</v>
      </c>
      <c r="G498" t="s">
        <v>237</v>
      </c>
      <c r="I498" t="s">
        <v>270</v>
      </c>
      <c r="J498" s="583">
        <v>0</v>
      </c>
      <c r="K498" s="583">
        <v>686.12</v>
      </c>
      <c r="L498" s="565">
        <f t="shared" si="21"/>
        <v>686.12</v>
      </c>
      <c r="M498" s="179">
        <v>46125</v>
      </c>
      <c r="N498" s="179">
        <v>46125</v>
      </c>
      <c r="O498" s="565">
        <v>686.12</v>
      </c>
      <c r="P498" s="565">
        <f t="shared" si="22"/>
        <v>0</v>
      </c>
      <c r="Q498" s="565"/>
      <c r="R498" s="565"/>
      <c r="S498" s="565"/>
      <c r="T498" s="565"/>
      <c r="U498" s="565"/>
      <c r="V498" s="565"/>
      <c r="W498" s="565"/>
      <c r="X498" s="565"/>
      <c r="Y498" t="str">
        <f t="shared" ca="1" si="23"/>
        <v>PAGO</v>
      </c>
      <c r="AA498" t="s">
        <v>404</v>
      </c>
    </row>
    <row r="499" spans="1:27" x14ac:dyDescent="0.3">
      <c r="A499" t="s">
        <v>216</v>
      </c>
      <c r="B499" s="562">
        <v>2026</v>
      </c>
      <c r="C499" t="s">
        <v>249</v>
      </c>
      <c r="D499">
        <v>755</v>
      </c>
      <c r="E499">
        <v>707</v>
      </c>
      <c r="F499" s="179">
        <v>46091</v>
      </c>
      <c r="G499" t="s">
        <v>405</v>
      </c>
      <c r="I499" t="s">
        <v>372</v>
      </c>
      <c r="J499" s="583">
        <v>25920</v>
      </c>
      <c r="K499" s="583">
        <v>0</v>
      </c>
      <c r="L499" s="565">
        <f t="shared" si="21"/>
        <v>25920</v>
      </c>
      <c r="N499" s="179">
        <v>46090</v>
      </c>
      <c r="O499" s="565">
        <v>25920</v>
      </c>
      <c r="P499" s="565">
        <f t="shared" si="22"/>
        <v>0</v>
      </c>
      <c r="Q499" s="565"/>
      <c r="R499" s="565"/>
      <c r="S499" s="565"/>
      <c r="T499" s="565"/>
      <c r="U499" s="565"/>
      <c r="V499" s="565"/>
      <c r="W499" s="565"/>
      <c r="X499" s="565"/>
      <c r="Y499" t="str">
        <f t="shared" ca="1" si="23"/>
        <v>PAGO</v>
      </c>
      <c r="AA499" t="s">
        <v>404</v>
      </c>
    </row>
    <row r="500" spans="1:27" x14ac:dyDescent="0.3">
      <c r="A500" t="s">
        <v>216</v>
      </c>
      <c r="B500" s="562">
        <v>2026</v>
      </c>
      <c r="C500" t="s">
        <v>249</v>
      </c>
      <c r="D500">
        <v>22053</v>
      </c>
      <c r="E500">
        <v>3959</v>
      </c>
      <c r="F500" s="179">
        <v>46091</v>
      </c>
      <c r="G500" t="s">
        <v>325</v>
      </c>
      <c r="I500" t="s">
        <v>326</v>
      </c>
      <c r="J500" s="583">
        <v>2268</v>
      </c>
      <c r="K500" s="583">
        <v>0</v>
      </c>
      <c r="L500" s="565">
        <f t="shared" si="21"/>
        <v>2268</v>
      </c>
      <c r="M500" s="179">
        <v>46105</v>
      </c>
      <c r="N500" s="179">
        <v>46105</v>
      </c>
      <c r="O500" s="565">
        <v>2268</v>
      </c>
      <c r="P500" s="565">
        <f t="shared" si="22"/>
        <v>0</v>
      </c>
      <c r="Q500" s="565"/>
      <c r="R500" s="565"/>
      <c r="S500" s="565"/>
      <c r="T500" s="565"/>
      <c r="U500" s="565"/>
      <c r="V500" s="565"/>
      <c r="W500" s="565"/>
      <c r="X500" s="565"/>
      <c r="Y500" t="str">
        <f t="shared" ca="1" si="23"/>
        <v>PAGO</v>
      </c>
      <c r="AA500" t="s">
        <v>404</v>
      </c>
    </row>
    <row r="501" spans="1:27" x14ac:dyDescent="0.3">
      <c r="A501" t="s">
        <v>216</v>
      </c>
      <c r="B501" s="562">
        <v>2026</v>
      </c>
      <c r="C501" t="s">
        <v>249</v>
      </c>
      <c r="D501">
        <v>22053</v>
      </c>
      <c r="E501">
        <v>3959</v>
      </c>
      <c r="F501" s="179">
        <v>46091</v>
      </c>
      <c r="G501" t="s">
        <v>325</v>
      </c>
      <c r="I501" t="s">
        <v>326</v>
      </c>
      <c r="J501" s="583">
        <v>2268</v>
      </c>
      <c r="K501" s="583">
        <v>0</v>
      </c>
      <c r="L501" s="565">
        <f t="shared" si="21"/>
        <v>2268</v>
      </c>
      <c r="M501" s="179">
        <v>46112</v>
      </c>
      <c r="N501" s="179">
        <v>46112</v>
      </c>
      <c r="O501" s="565">
        <v>2268</v>
      </c>
      <c r="P501" s="565">
        <f t="shared" si="22"/>
        <v>0</v>
      </c>
      <c r="Q501" s="565"/>
      <c r="R501" s="565"/>
      <c r="S501" s="565"/>
      <c r="T501" s="565"/>
      <c r="U501" s="565"/>
      <c r="V501" s="565"/>
      <c r="W501" s="565"/>
      <c r="X501" s="565"/>
      <c r="Y501" t="str">
        <f t="shared" ca="1" si="23"/>
        <v>PAGO</v>
      </c>
      <c r="AA501" t="s">
        <v>404</v>
      </c>
    </row>
    <row r="502" spans="1:27" x14ac:dyDescent="0.3">
      <c r="A502" t="s">
        <v>216</v>
      </c>
      <c r="B502" s="562">
        <v>2026</v>
      </c>
      <c r="C502" t="s">
        <v>249</v>
      </c>
      <c r="D502">
        <v>22053</v>
      </c>
      <c r="E502">
        <v>3959</v>
      </c>
      <c r="F502" s="179">
        <v>46091</v>
      </c>
      <c r="G502" t="s">
        <v>325</v>
      </c>
      <c r="I502" t="s">
        <v>326</v>
      </c>
      <c r="J502" s="583">
        <v>2268</v>
      </c>
      <c r="K502" s="583">
        <v>0</v>
      </c>
      <c r="L502" s="565">
        <f t="shared" si="21"/>
        <v>2268</v>
      </c>
      <c r="M502" s="179">
        <v>46119</v>
      </c>
      <c r="N502" s="179">
        <v>46129</v>
      </c>
      <c r="O502" s="565">
        <v>2268</v>
      </c>
      <c r="P502" s="565">
        <f t="shared" si="22"/>
        <v>0</v>
      </c>
      <c r="Q502" s="565"/>
      <c r="R502" s="565"/>
      <c r="S502" s="565"/>
      <c r="T502" s="565"/>
      <c r="U502" s="565"/>
      <c r="V502" s="565"/>
      <c r="W502" s="565"/>
      <c r="X502" s="565"/>
      <c r="Y502" t="str">
        <f t="shared" ca="1" si="23"/>
        <v>PAGO</v>
      </c>
      <c r="AA502" t="s">
        <v>404</v>
      </c>
    </row>
    <row r="503" spans="1:27" x14ac:dyDescent="0.3">
      <c r="A503" t="s">
        <v>216</v>
      </c>
      <c r="B503" s="562">
        <v>2026</v>
      </c>
      <c r="C503" t="s">
        <v>249</v>
      </c>
      <c r="D503">
        <v>22053</v>
      </c>
      <c r="E503">
        <v>3959</v>
      </c>
      <c r="F503" s="179">
        <v>46091</v>
      </c>
      <c r="G503" t="s">
        <v>325</v>
      </c>
      <c r="I503" t="s">
        <v>326</v>
      </c>
      <c r="J503" s="583">
        <v>2268</v>
      </c>
      <c r="K503" s="583">
        <v>0</v>
      </c>
      <c r="L503" s="565">
        <f t="shared" si="21"/>
        <v>2268</v>
      </c>
      <c r="M503" s="179">
        <v>46133</v>
      </c>
      <c r="N503" s="179">
        <v>46134</v>
      </c>
      <c r="O503" s="565">
        <v>2268</v>
      </c>
      <c r="P503" s="565">
        <f t="shared" si="22"/>
        <v>0</v>
      </c>
      <c r="Q503" s="565"/>
      <c r="R503" s="565"/>
      <c r="S503" s="565"/>
      <c r="T503" s="565"/>
      <c r="U503" s="565"/>
      <c r="V503" s="565"/>
      <c r="W503" s="565"/>
      <c r="X503" s="565"/>
      <c r="Y503" t="str">
        <f t="shared" ca="1" si="23"/>
        <v>PAGO</v>
      </c>
      <c r="AA503" t="s">
        <v>404</v>
      </c>
    </row>
    <row r="504" spans="1:27" x14ac:dyDescent="0.3">
      <c r="A504" t="s">
        <v>216</v>
      </c>
      <c r="B504" s="562">
        <v>2026</v>
      </c>
      <c r="C504" t="s">
        <v>249</v>
      </c>
      <c r="D504">
        <v>22053</v>
      </c>
      <c r="E504">
        <v>3959</v>
      </c>
      <c r="F504" s="179">
        <v>46091</v>
      </c>
      <c r="G504" t="s">
        <v>325</v>
      </c>
      <c r="I504" t="s">
        <v>326</v>
      </c>
      <c r="J504" s="583">
        <v>2268</v>
      </c>
      <c r="K504" s="583">
        <v>0</v>
      </c>
      <c r="L504" s="565">
        <f t="shared" si="21"/>
        <v>2268</v>
      </c>
      <c r="M504" s="179">
        <v>46140</v>
      </c>
      <c r="N504" s="179">
        <v>46140</v>
      </c>
      <c r="O504" s="565">
        <v>2268</v>
      </c>
      <c r="P504" s="565">
        <f t="shared" si="22"/>
        <v>0</v>
      </c>
      <c r="Q504" s="565"/>
      <c r="R504" s="565"/>
      <c r="S504" s="565"/>
      <c r="T504" s="565"/>
      <c r="U504" s="565"/>
      <c r="V504" s="565"/>
      <c r="W504" s="565"/>
      <c r="X504" s="565"/>
      <c r="Y504" t="str">
        <f t="shared" ca="1" si="23"/>
        <v>PAGO</v>
      </c>
      <c r="AA504" t="s">
        <v>404</v>
      </c>
    </row>
    <row r="505" spans="1:27" x14ac:dyDescent="0.3">
      <c r="A505" t="s">
        <v>216</v>
      </c>
      <c r="B505" s="562">
        <v>2026</v>
      </c>
      <c r="C505" t="s">
        <v>249</v>
      </c>
      <c r="D505">
        <v>22053</v>
      </c>
      <c r="E505">
        <v>3959</v>
      </c>
      <c r="F505" s="179">
        <v>46091</v>
      </c>
      <c r="G505" t="s">
        <v>325</v>
      </c>
      <c r="I505" t="s">
        <v>326</v>
      </c>
      <c r="J505" s="583">
        <v>2268</v>
      </c>
      <c r="K505" s="583">
        <v>0</v>
      </c>
      <c r="L505" s="565">
        <f t="shared" si="21"/>
        <v>2268</v>
      </c>
      <c r="M505" s="179">
        <v>46147</v>
      </c>
      <c r="N505" s="179">
        <v>46147</v>
      </c>
      <c r="O505" s="565">
        <v>2268</v>
      </c>
      <c r="P505" s="565">
        <f t="shared" si="22"/>
        <v>0</v>
      </c>
      <c r="Q505" s="565"/>
      <c r="R505" s="565"/>
      <c r="S505" s="565"/>
      <c r="T505" s="565"/>
      <c r="U505" s="565"/>
      <c r="V505" s="565"/>
      <c r="W505" s="565"/>
      <c r="X505" s="565"/>
      <c r="Y505" t="str">
        <f t="shared" ca="1" si="23"/>
        <v>PAGO</v>
      </c>
      <c r="AA505" t="s">
        <v>404</v>
      </c>
    </row>
    <row r="506" spans="1:27" ht="14.55" x14ac:dyDescent="0.3">
      <c r="A506" t="s">
        <v>216</v>
      </c>
      <c r="B506" s="562">
        <v>2026</v>
      </c>
      <c r="C506" t="s">
        <v>249</v>
      </c>
      <c r="D506">
        <v>22064</v>
      </c>
      <c r="E506">
        <v>3961</v>
      </c>
      <c r="F506" s="179">
        <v>46091</v>
      </c>
      <c r="G506" t="s">
        <v>310</v>
      </c>
      <c r="I506" t="s">
        <v>272</v>
      </c>
      <c r="J506" s="583">
        <v>662.4</v>
      </c>
      <c r="K506" s="583">
        <v>0</v>
      </c>
      <c r="L506" s="565">
        <f t="shared" si="21"/>
        <v>662.4</v>
      </c>
      <c r="M506" s="179">
        <v>46136</v>
      </c>
      <c r="N506" s="179">
        <v>46163</v>
      </c>
      <c r="O506" s="565">
        <v>662.4</v>
      </c>
      <c r="P506" s="565">
        <f t="shared" si="22"/>
        <v>0</v>
      </c>
      <c r="Q506" s="565"/>
      <c r="R506" s="565"/>
      <c r="S506" s="565"/>
      <c r="T506" s="565"/>
      <c r="U506" s="565"/>
      <c r="V506" s="565"/>
      <c r="W506" s="565"/>
      <c r="X506" s="565"/>
      <c r="Y506" t="str">
        <f t="shared" ca="1" si="23"/>
        <v>PAGO</v>
      </c>
      <c r="AA506" t="s">
        <v>404</v>
      </c>
    </row>
    <row r="507" spans="1:27" ht="14.55" x14ac:dyDescent="0.3">
      <c r="A507" t="s">
        <v>216</v>
      </c>
      <c r="B507" s="562">
        <v>2026</v>
      </c>
      <c r="C507" t="s">
        <v>249</v>
      </c>
      <c r="D507">
        <v>22072</v>
      </c>
      <c r="E507">
        <v>3961</v>
      </c>
      <c r="F507" s="179">
        <v>46092</v>
      </c>
      <c r="G507" t="s">
        <v>338</v>
      </c>
      <c r="I507" t="s">
        <v>272</v>
      </c>
      <c r="J507" s="583">
        <v>594.29999999999995</v>
      </c>
      <c r="K507" s="583">
        <v>0</v>
      </c>
      <c r="L507" s="565">
        <f t="shared" si="21"/>
        <v>594.29999999999995</v>
      </c>
      <c r="M507" s="179">
        <v>46092</v>
      </c>
      <c r="N507" s="179">
        <v>46092</v>
      </c>
      <c r="O507" s="565">
        <v>594.29999999999995</v>
      </c>
      <c r="P507" s="565">
        <f t="shared" si="22"/>
        <v>0</v>
      </c>
      <c r="Q507" s="565"/>
      <c r="R507" s="565"/>
      <c r="S507" s="565"/>
      <c r="T507" s="565"/>
      <c r="U507" s="565"/>
      <c r="V507" s="565"/>
      <c r="W507" s="565"/>
      <c r="X507" s="565"/>
      <c r="Y507" t="str">
        <f t="shared" ca="1" si="23"/>
        <v>PAGO</v>
      </c>
      <c r="AA507" t="s">
        <v>404</v>
      </c>
    </row>
    <row r="508" spans="1:27" ht="14.55" x14ac:dyDescent="0.3">
      <c r="A508" t="s">
        <v>216</v>
      </c>
      <c r="B508" s="562">
        <v>2026</v>
      </c>
      <c r="C508" t="s">
        <v>249</v>
      </c>
      <c r="D508">
        <v>22115</v>
      </c>
      <c r="E508">
        <v>4018</v>
      </c>
      <c r="F508" s="179">
        <v>46093</v>
      </c>
      <c r="G508" t="s">
        <v>317</v>
      </c>
      <c r="I508" t="s">
        <v>272</v>
      </c>
      <c r="J508" s="583">
        <v>3098.62</v>
      </c>
      <c r="K508" s="583">
        <v>0</v>
      </c>
      <c r="L508" s="565">
        <f t="shared" si="21"/>
        <v>3098.62</v>
      </c>
      <c r="M508" s="179">
        <v>46114</v>
      </c>
      <c r="N508" s="179">
        <v>46132</v>
      </c>
      <c r="O508" s="565">
        <v>3098.62</v>
      </c>
      <c r="P508" s="565">
        <f t="shared" si="22"/>
        <v>0</v>
      </c>
      <c r="Q508" s="565"/>
      <c r="R508" s="565"/>
      <c r="S508" s="565"/>
      <c r="T508" s="565"/>
      <c r="U508" s="565"/>
      <c r="V508" s="565"/>
      <c r="W508" s="565"/>
      <c r="X508" s="565"/>
      <c r="Y508" t="str">
        <f t="shared" ca="1" si="23"/>
        <v>PAGO</v>
      </c>
      <c r="AA508" t="s">
        <v>404</v>
      </c>
    </row>
    <row r="509" spans="1:27" ht="14.55" x14ac:dyDescent="0.3">
      <c r="A509" t="s">
        <v>216</v>
      </c>
      <c r="B509" s="562">
        <v>2026</v>
      </c>
      <c r="C509" t="s">
        <v>249</v>
      </c>
      <c r="D509">
        <v>759</v>
      </c>
      <c r="E509">
        <v>709</v>
      </c>
      <c r="F509" s="179">
        <v>46092</v>
      </c>
      <c r="G509" t="s">
        <v>327</v>
      </c>
      <c r="I509" t="s">
        <v>272</v>
      </c>
      <c r="J509" s="583">
        <v>8785</v>
      </c>
      <c r="K509" s="583">
        <v>0</v>
      </c>
      <c r="L509" s="565">
        <f t="shared" si="21"/>
        <v>8785</v>
      </c>
      <c r="M509" s="179">
        <v>46113</v>
      </c>
      <c r="N509" s="179">
        <v>46122</v>
      </c>
      <c r="O509" s="565">
        <v>8785</v>
      </c>
      <c r="P509" s="565">
        <f t="shared" si="22"/>
        <v>0</v>
      </c>
      <c r="Q509" s="565"/>
      <c r="R509" s="565"/>
      <c r="S509" s="565"/>
      <c r="T509" s="565"/>
      <c r="U509" s="565"/>
      <c r="V509" s="565"/>
      <c r="W509" s="565"/>
      <c r="X509" s="565"/>
      <c r="Y509" t="str">
        <f t="shared" ca="1" si="23"/>
        <v>PAGO</v>
      </c>
      <c r="AA509" t="s">
        <v>404</v>
      </c>
    </row>
    <row r="510" spans="1:27" ht="14.55" x14ac:dyDescent="0.3">
      <c r="A510" t="s">
        <v>216</v>
      </c>
      <c r="B510" s="562">
        <v>2026</v>
      </c>
      <c r="C510" t="s">
        <v>249</v>
      </c>
      <c r="D510">
        <v>759</v>
      </c>
      <c r="E510">
        <v>709</v>
      </c>
      <c r="F510" s="179">
        <v>46092</v>
      </c>
      <c r="G510" t="s">
        <v>327</v>
      </c>
      <c r="I510" t="s">
        <v>272</v>
      </c>
      <c r="J510" s="583">
        <v>8783</v>
      </c>
      <c r="K510" s="583">
        <v>0</v>
      </c>
      <c r="L510" s="565">
        <f t="shared" si="21"/>
        <v>8783</v>
      </c>
      <c r="M510" s="179">
        <v>46120</v>
      </c>
      <c r="N510" s="179">
        <v>46150</v>
      </c>
      <c r="O510" s="565">
        <v>8783</v>
      </c>
      <c r="P510" s="565">
        <f t="shared" si="22"/>
        <v>0</v>
      </c>
      <c r="Q510" s="565"/>
      <c r="R510" s="565"/>
      <c r="S510" s="565"/>
      <c r="T510" s="565"/>
      <c r="U510" s="565"/>
      <c r="V510" s="565"/>
      <c r="W510" s="565"/>
      <c r="X510" s="565"/>
      <c r="Y510" t="str">
        <f t="shared" ca="1" si="23"/>
        <v>PAGO</v>
      </c>
      <c r="AA510" t="s">
        <v>404</v>
      </c>
    </row>
    <row r="511" spans="1:27" ht="14.55" x14ac:dyDescent="0.3">
      <c r="A511" t="s">
        <v>216</v>
      </c>
      <c r="B511" s="562">
        <v>2026</v>
      </c>
      <c r="C511" t="s">
        <v>249</v>
      </c>
      <c r="D511">
        <v>759</v>
      </c>
      <c r="E511">
        <v>709</v>
      </c>
      <c r="F511" s="179">
        <v>46092</v>
      </c>
      <c r="G511" t="s">
        <v>327</v>
      </c>
      <c r="I511" t="s">
        <v>272</v>
      </c>
      <c r="J511" s="583">
        <v>8783</v>
      </c>
      <c r="K511" s="583">
        <v>0</v>
      </c>
      <c r="L511" s="565">
        <f t="shared" si="21"/>
        <v>8783</v>
      </c>
      <c r="M511" s="179">
        <v>46127</v>
      </c>
      <c r="N511" s="179">
        <v>46160</v>
      </c>
      <c r="O511" s="565">
        <v>8783</v>
      </c>
      <c r="P511" s="565">
        <f t="shared" si="22"/>
        <v>0</v>
      </c>
      <c r="Q511" s="565"/>
      <c r="R511" s="565"/>
      <c r="S511" s="565"/>
      <c r="T511" s="565"/>
      <c r="U511" s="565"/>
      <c r="V511" s="565"/>
      <c r="W511" s="565"/>
      <c r="X511" s="565"/>
      <c r="Y511" t="str">
        <f t="shared" ca="1" si="23"/>
        <v>PAGO</v>
      </c>
      <c r="AA511" t="s">
        <v>404</v>
      </c>
    </row>
    <row r="512" spans="1:27" ht="14.55" x14ac:dyDescent="0.3">
      <c r="A512" t="s">
        <v>216</v>
      </c>
      <c r="B512" s="562">
        <v>2026</v>
      </c>
      <c r="C512" t="s">
        <v>249</v>
      </c>
      <c r="D512">
        <v>759</v>
      </c>
      <c r="E512">
        <v>709</v>
      </c>
      <c r="F512" s="179">
        <v>46092</v>
      </c>
      <c r="G512" t="s">
        <v>327</v>
      </c>
      <c r="I512" t="s">
        <v>272</v>
      </c>
      <c r="J512" s="583">
        <v>8783</v>
      </c>
      <c r="K512" s="583">
        <v>0</v>
      </c>
      <c r="L512" s="565">
        <f t="shared" si="21"/>
        <v>8783</v>
      </c>
      <c r="M512" s="179">
        <v>46134</v>
      </c>
      <c r="N512" s="179">
        <v>46176</v>
      </c>
      <c r="O512" s="565">
        <v>8783</v>
      </c>
      <c r="P512" s="565">
        <f t="shared" si="22"/>
        <v>0</v>
      </c>
      <c r="Q512" s="565"/>
      <c r="R512" s="565"/>
      <c r="S512" s="565"/>
      <c r="T512" s="565"/>
      <c r="U512" s="565"/>
      <c r="V512" s="565"/>
      <c r="W512" s="565"/>
      <c r="X512" s="565"/>
      <c r="Y512" t="str">
        <f t="shared" ca="1" si="23"/>
        <v>PAGO</v>
      </c>
      <c r="AA512" t="s">
        <v>404</v>
      </c>
    </row>
    <row r="513" spans="1:27" ht="14.55" x14ac:dyDescent="0.3">
      <c r="A513" t="s">
        <v>216</v>
      </c>
      <c r="B513" s="562">
        <v>2026</v>
      </c>
      <c r="C513" t="s">
        <v>249</v>
      </c>
      <c r="D513">
        <v>759</v>
      </c>
      <c r="E513">
        <v>709</v>
      </c>
      <c r="F513" s="179">
        <v>46092</v>
      </c>
      <c r="G513" t="s">
        <v>327</v>
      </c>
      <c r="I513" t="s">
        <v>272</v>
      </c>
      <c r="J513" s="583">
        <v>8783</v>
      </c>
      <c r="K513" s="583">
        <v>0</v>
      </c>
      <c r="L513" s="565">
        <f t="shared" si="21"/>
        <v>8783</v>
      </c>
      <c r="M513" s="179">
        <v>46141</v>
      </c>
      <c r="N513" s="179">
        <v>46176</v>
      </c>
      <c r="O513" s="565">
        <v>8783</v>
      </c>
      <c r="P513" s="565">
        <f t="shared" si="22"/>
        <v>0</v>
      </c>
      <c r="Q513" s="565"/>
      <c r="R513" s="565"/>
      <c r="S513" s="565"/>
      <c r="T513" s="565"/>
      <c r="U513" s="565"/>
      <c r="V513" s="565"/>
      <c r="W513" s="565"/>
      <c r="X513" s="565"/>
      <c r="Y513" t="str">
        <f t="shared" ca="1" si="23"/>
        <v>PAGO</v>
      </c>
      <c r="AA513" t="s">
        <v>404</v>
      </c>
    </row>
    <row r="514" spans="1:27" ht="14.55" x14ac:dyDescent="0.3">
      <c r="A514" t="s">
        <v>216</v>
      </c>
      <c r="B514" s="562">
        <v>2026</v>
      </c>
      <c r="C514" t="s">
        <v>249</v>
      </c>
      <c r="D514">
        <v>759</v>
      </c>
      <c r="E514">
        <v>709</v>
      </c>
      <c r="F514" s="179">
        <v>46092</v>
      </c>
      <c r="G514" t="s">
        <v>327</v>
      </c>
      <c r="I514" t="s">
        <v>272</v>
      </c>
      <c r="J514" s="583">
        <v>8783</v>
      </c>
      <c r="K514" s="583">
        <v>0</v>
      </c>
      <c r="L514" s="565">
        <f t="shared" si="21"/>
        <v>8783</v>
      </c>
      <c r="M514" s="179">
        <v>46148</v>
      </c>
      <c r="N514" s="179">
        <v>46189</v>
      </c>
      <c r="O514" s="565">
        <v>8783</v>
      </c>
      <c r="P514" s="565">
        <f t="shared" si="22"/>
        <v>0</v>
      </c>
      <c r="Q514" s="565"/>
      <c r="R514" s="565"/>
      <c r="S514" s="565"/>
      <c r="T514" s="565"/>
      <c r="U514" s="565"/>
      <c r="V514" s="565"/>
      <c r="W514" s="565"/>
      <c r="X514" s="565"/>
      <c r="Y514" t="str">
        <f t="shared" ca="1" si="23"/>
        <v>PAGO</v>
      </c>
      <c r="AA514" t="s">
        <v>404</v>
      </c>
    </row>
    <row r="515" spans="1:27" ht="14.55" x14ac:dyDescent="0.3">
      <c r="A515" t="s">
        <v>216</v>
      </c>
      <c r="B515" s="562">
        <v>2026</v>
      </c>
      <c r="C515" t="s">
        <v>249</v>
      </c>
      <c r="D515">
        <v>760</v>
      </c>
      <c r="E515">
        <v>711</v>
      </c>
      <c r="F515" s="179">
        <v>46092</v>
      </c>
      <c r="G515" t="s">
        <v>406</v>
      </c>
      <c r="I515" t="s">
        <v>272</v>
      </c>
      <c r="J515" s="583">
        <v>6100</v>
      </c>
      <c r="K515" s="583">
        <v>0</v>
      </c>
      <c r="L515" s="565">
        <f t="shared" ref="L515:L578" si="24">J515+K515</f>
        <v>6100</v>
      </c>
      <c r="M515" s="179">
        <v>46113</v>
      </c>
      <c r="N515" s="179">
        <v>46150</v>
      </c>
      <c r="O515" s="565">
        <v>6100</v>
      </c>
      <c r="P515" s="565">
        <f t="shared" ref="P515:P578" si="25">L515-O515</f>
        <v>0</v>
      </c>
      <c r="Q515" s="565"/>
      <c r="R515" s="565"/>
      <c r="S515" s="565"/>
      <c r="T515" s="565"/>
      <c r="U515" s="565"/>
      <c r="V515" s="565"/>
      <c r="W515" s="565"/>
      <c r="X515" s="565"/>
      <c r="Y515" t="str">
        <f t="shared" ref="Y515:Y578" ca="1" si="26">IF(L515=0,"SEM VALOR",IF(P515&lt;=0.01,"PAGO",IF(M515="","SEM VENCIMENTO",IF(M515&lt;TODAY(),"VENCIDO","A VENCER"))))</f>
        <v>PAGO</v>
      </c>
      <c r="AA515" t="s">
        <v>404</v>
      </c>
    </row>
    <row r="516" spans="1:27" ht="14.55" x14ac:dyDescent="0.3">
      <c r="A516" t="s">
        <v>216</v>
      </c>
      <c r="B516" s="562">
        <v>2026</v>
      </c>
      <c r="C516" t="s">
        <v>249</v>
      </c>
      <c r="D516">
        <v>760</v>
      </c>
      <c r="E516">
        <v>711</v>
      </c>
      <c r="F516" s="179">
        <v>46092</v>
      </c>
      <c r="G516" t="s">
        <v>406</v>
      </c>
      <c r="I516" t="s">
        <v>272</v>
      </c>
      <c r="J516" s="583">
        <v>6096</v>
      </c>
      <c r="K516" s="583">
        <v>0</v>
      </c>
      <c r="L516" s="565">
        <f t="shared" si="24"/>
        <v>6096</v>
      </c>
      <c r="M516" s="179">
        <v>46120</v>
      </c>
      <c r="N516" s="179">
        <v>46150</v>
      </c>
      <c r="O516" s="565">
        <v>6096</v>
      </c>
      <c r="P516" s="565">
        <f t="shared" si="25"/>
        <v>0</v>
      </c>
      <c r="Q516" s="565"/>
      <c r="R516" s="565"/>
      <c r="S516" s="565"/>
      <c r="T516" s="565"/>
      <c r="U516" s="565"/>
      <c r="V516" s="565"/>
      <c r="W516" s="565"/>
      <c r="X516" s="565"/>
      <c r="Y516" t="str">
        <f t="shared" ca="1" si="26"/>
        <v>PAGO</v>
      </c>
      <c r="AA516" t="s">
        <v>404</v>
      </c>
    </row>
    <row r="517" spans="1:27" ht="14.55" x14ac:dyDescent="0.3">
      <c r="A517" t="s">
        <v>216</v>
      </c>
      <c r="B517" s="562">
        <v>2026</v>
      </c>
      <c r="C517" t="s">
        <v>249</v>
      </c>
      <c r="D517">
        <v>760</v>
      </c>
      <c r="E517">
        <v>711</v>
      </c>
      <c r="F517" s="179">
        <v>46092</v>
      </c>
      <c r="G517" t="s">
        <v>406</v>
      </c>
      <c r="I517" t="s">
        <v>272</v>
      </c>
      <c r="J517" s="583">
        <v>6096</v>
      </c>
      <c r="K517" s="583">
        <v>0</v>
      </c>
      <c r="L517" s="565">
        <f t="shared" si="24"/>
        <v>6096</v>
      </c>
      <c r="M517" s="179">
        <v>46127</v>
      </c>
      <c r="N517" s="179">
        <v>46160</v>
      </c>
      <c r="O517" s="565">
        <v>6096</v>
      </c>
      <c r="P517" s="565">
        <f t="shared" si="25"/>
        <v>0</v>
      </c>
      <c r="Q517" s="565"/>
      <c r="R517" s="565"/>
      <c r="S517" s="565"/>
      <c r="T517" s="565"/>
      <c r="U517" s="565"/>
      <c r="V517" s="565"/>
      <c r="W517" s="565"/>
      <c r="X517" s="565"/>
      <c r="Y517" t="str">
        <f t="shared" ca="1" si="26"/>
        <v>PAGO</v>
      </c>
      <c r="AA517" t="s">
        <v>404</v>
      </c>
    </row>
    <row r="518" spans="1:27" ht="14.55" x14ac:dyDescent="0.3">
      <c r="A518" t="s">
        <v>216</v>
      </c>
      <c r="B518" s="562">
        <v>2026</v>
      </c>
      <c r="C518" t="s">
        <v>249</v>
      </c>
      <c r="D518">
        <v>760</v>
      </c>
      <c r="E518">
        <v>711</v>
      </c>
      <c r="F518" s="179">
        <v>46092</v>
      </c>
      <c r="G518" t="s">
        <v>406</v>
      </c>
      <c r="I518" t="s">
        <v>272</v>
      </c>
      <c r="J518" s="583">
        <v>6096</v>
      </c>
      <c r="K518" s="583">
        <v>0</v>
      </c>
      <c r="L518" s="565">
        <f t="shared" si="24"/>
        <v>6096</v>
      </c>
      <c r="M518" s="179">
        <v>46134</v>
      </c>
      <c r="N518" s="179">
        <v>46160</v>
      </c>
      <c r="O518" s="565">
        <v>6096.01</v>
      </c>
      <c r="P518" s="565">
        <f t="shared" si="25"/>
        <v>-1.0000000000218279E-2</v>
      </c>
      <c r="Q518" s="565"/>
      <c r="R518" s="565"/>
      <c r="S518" s="565"/>
      <c r="T518" s="565"/>
      <c r="U518" s="565"/>
      <c r="V518" s="565"/>
      <c r="W518" s="565"/>
      <c r="X518" s="565"/>
      <c r="Y518" t="str">
        <f t="shared" ca="1" si="26"/>
        <v>PAGO</v>
      </c>
      <c r="AA518" t="s">
        <v>404</v>
      </c>
    </row>
    <row r="519" spans="1:27" ht="14.55" x14ac:dyDescent="0.3">
      <c r="A519" t="s">
        <v>216</v>
      </c>
      <c r="B519" s="562">
        <v>2026</v>
      </c>
      <c r="C519" t="s">
        <v>249</v>
      </c>
      <c r="D519">
        <v>760</v>
      </c>
      <c r="E519">
        <v>711</v>
      </c>
      <c r="F519" s="179">
        <v>46092</v>
      </c>
      <c r="G519" t="s">
        <v>406</v>
      </c>
      <c r="I519" t="s">
        <v>272</v>
      </c>
      <c r="J519" s="583">
        <v>6096</v>
      </c>
      <c r="K519" s="583">
        <v>0</v>
      </c>
      <c r="L519" s="565">
        <f t="shared" si="24"/>
        <v>6096</v>
      </c>
      <c r="M519" s="179">
        <v>46141</v>
      </c>
      <c r="N519" s="179">
        <v>46176</v>
      </c>
      <c r="O519" s="565">
        <v>6096</v>
      </c>
      <c r="P519" s="565">
        <f t="shared" si="25"/>
        <v>0</v>
      </c>
      <c r="Q519" s="565"/>
      <c r="R519" s="565"/>
      <c r="S519" s="565"/>
      <c r="T519" s="565"/>
      <c r="U519" s="565"/>
      <c r="V519" s="565"/>
      <c r="W519" s="565"/>
      <c r="X519" s="565"/>
      <c r="Y519" t="str">
        <f t="shared" ca="1" si="26"/>
        <v>PAGO</v>
      </c>
      <c r="AA519" t="s">
        <v>404</v>
      </c>
    </row>
    <row r="520" spans="1:27" ht="14.55" x14ac:dyDescent="0.3">
      <c r="A520" t="s">
        <v>216</v>
      </c>
      <c r="B520" s="562">
        <v>2026</v>
      </c>
      <c r="C520" t="s">
        <v>249</v>
      </c>
      <c r="D520">
        <v>760</v>
      </c>
      <c r="E520">
        <v>711</v>
      </c>
      <c r="F520" s="179">
        <v>46092</v>
      </c>
      <c r="G520" t="s">
        <v>406</v>
      </c>
      <c r="I520" t="s">
        <v>272</v>
      </c>
      <c r="J520" s="583">
        <v>6096</v>
      </c>
      <c r="K520" s="583">
        <v>0</v>
      </c>
      <c r="L520" s="565">
        <f t="shared" si="24"/>
        <v>6096</v>
      </c>
      <c r="M520" s="179">
        <v>46148</v>
      </c>
      <c r="N520" s="179">
        <v>46176</v>
      </c>
      <c r="O520" s="565">
        <v>6096</v>
      </c>
      <c r="P520" s="565">
        <f t="shared" si="25"/>
        <v>0</v>
      </c>
      <c r="Q520" s="565"/>
      <c r="R520" s="565"/>
      <c r="S520" s="565"/>
      <c r="T520" s="565"/>
      <c r="U520" s="565"/>
      <c r="V520" s="565"/>
      <c r="W520" s="565"/>
      <c r="X520" s="565"/>
      <c r="Y520" t="str">
        <f t="shared" ca="1" si="26"/>
        <v>PAGO</v>
      </c>
      <c r="AA520" t="s">
        <v>404</v>
      </c>
    </row>
    <row r="521" spans="1:27" ht="14.55" x14ac:dyDescent="0.3">
      <c r="A521" t="s">
        <v>216</v>
      </c>
      <c r="B521" s="562">
        <v>2026</v>
      </c>
      <c r="C521" t="s">
        <v>249</v>
      </c>
      <c r="D521">
        <v>761</v>
      </c>
      <c r="E521">
        <v>712</v>
      </c>
      <c r="F521" s="179">
        <v>46092</v>
      </c>
      <c r="G521" t="s">
        <v>330</v>
      </c>
      <c r="I521" t="s">
        <v>272</v>
      </c>
      <c r="J521" s="583">
        <v>9045</v>
      </c>
      <c r="K521" s="583">
        <v>0</v>
      </c>
      <c r="L521" s="565">
        <f t="shared" si="24"/>
        <v>9045</v>
      </c>
      <c r="M521" s="179">
        <v>46113</v>
      </c>
      <c r="N521" s="179">
        <v>46142</v>
      </c>
      <c r="O521" s="565">
        <v>9045</v>
      </c>
      <c r="P521" s="565">
        <f t="shared" si="25"/>
        <v>0</v>
      </c>
      <c r="Q521" s="565"/>
      <c r="R521" s="565"/>
      <c r="S521" s="565"/>
      <c r="T521" s="565"/>
      <c r="U521" s="565"/>
      <c r="V521" s="565"/>
      <c r="W521" s="565"/>
      <c r="X521" s="565"/>
      <c r="Y521" t="str">
        <f t="shared" ca="1" si="26"/>
        <v>PAGO</v>
      </c>
      <c r="AA521" t="s">
        <v>404</v>
      </c>
    </row>
    <row r="522" spans="1:27" ht="14.55" x14ac:dyDescent="0.3">
      <c r="A522" t="s">
        <v>216</v>
      </c>
      <c r="B522" s="562">
        <v>2026</v>
      </c>
      <c r="C522" t="s">
        <v>249</v>
      </c>
      <c r="D522">
        <v>761</v>
      </c>
      <c r="E522">
        <v>712</v>
      </c>
      <c r="F522" s="179">
        <v>46092</v>
      </c>
      <c r="G522" t="s">
        <v>330</v>
      </c>
      <c r="I522" t="s">
        <v>272</v>
      </c>
      <c r="J522" s="583">
        <v>9041</v>
      </c>
      <c r="K522" s="583">
        <v>0</v>
      </c>
      <c r="L522" s="565">
        <f t="shared" si="24"/>
        <v>9041</v>
      </c>
      <c r="M522" s="179">
        <v>46120</v>
      </c>
      <c r="N522" s="179">
        <v>46150</v>
      </c>
      <c r="O522" s="565">
        <v>9041</v>
      </c>
      <c r="P522" s="565">
        <f t="shared" si="25"/>
        <v>0</v>
      </c>
      <c r="Q522" s="565"/>
      <c r="R522" s="565"/>
      <c r="S522" s="565"/>
      <c r="T522" s="565"/>
      <c r="U522" s="565"/>
      <c r="V522" s="565"/>
      <c r="W522" s="565"/>
      <c r="X522" s="565"/>
      <c r="Y522" t="str">
        <f t="shared" ca="1" si="26"/>
        <v>PAGO</v>
      </c>
      <c r="AA522" t="s">
        <v>404</v>
      </c>
    </row>
    <row r="523" spans="1:27" ht="14.55" x14ac:dyDescent="0.3">
      <c r="A523" t="s">
        <v>216</v>
      </c>
      <c r="B523" s="562">
        <v>2026</v>
      </c>
      <c r="C523" t="s">
        <v>249</v>
      </c>
      <c r="D523">
        <v>761</v>
      </c>
      <c r="E523">
        <v>712</v>
      </c>
      <c r="F523" s="179">
        <v>46092</v>
      </c>
      <c r="G523" t="s">
        <v>330</v>
      </c>
      <c r="I523" t="s">
        <v>272</v>
      </c>
      <c r="J523" s="583">
        <v>9041</v>
      </c>
      <c r="K523" s="583">
        <v>0</v>
      </c>
      <c r="L523" s="565">
        <f t="shared" si="24"/>
        <v>9041</v>
      </c>
      <c r="M523" s="179">
        <v>46127</v>
      </c>
      <c r="N523" s="179">
        <v>46150</v>
      </c>
      <c r="O523" s="565">
        <v>9041</v>
      </c>
      <c r="P523" s="565">
        <f t="shared" si="25"/>
        <v>0</v>
      </c>
      <c r="Q523" s="565"/>
      <c r="R523" s="565"/>
      <c r="S523" s="565"/>
      <c r="T523" s="565"/>
      <c r="U523" s="565"/>
      <c r="V523" s="565"/>
      <c r="W523" s="565"/>
      <c r="X523" s="565"/>
      <c r="Y523" t="str">
        <f t="shared" ca="1" si="26"/>
        <v>PAGO</v>
      </c>
      <c r="AA523" t="s">
        <v>404</v>
      </c>
    </row>
    <row r="524" spans="1:27" ht="14.55" x14ac:dyDescent="0.3">
      <c r="A524" t="s">
        <v>216</v>
      </c>
      <c r="B524" s="562">
        <v>2026</v>
      </c>
      <c r="C524" t="s">
        <v>249</v>
      </c>
      <c r="D524">
        <v>761</v>
      </c>
      <c r="E524">
        <v>712</v>
      </c>
      <c r="F524" s="179">
        <v>46092</v>
      </c>
      <c r="G524" t="s">
        <v>330</v>
      </c>
      <c r="I524" t="s">
        <v>272</v>
      </c>
      <c r="J524" s="583">
        <v>9041</v>
      </c>
      <c r="K524" s="583">
        <v>0</v>
      </c>
      <c r="L524" s="565">
        <f t="shared" si="24"/>
        <v>9041</v>
      </c>
      <c r="M524" s="179">
        <v>46134</v>
      </c>
      <c r="N524" s="179">
        <v>46176</v>
      </c>
      <c r="O524" s="565">
        <v>9041</v>
      </c>
      <c r="P524" s="565">
        <f t="shared" si="25"/>
        <v>0</v>
      </c>
      <c r="Q524" s="565"/>
      <c r="R524" s="565"/>
      <c r="S524" s="565"/>
      <c r="T524" s="565"/>
      <c r="U524" s="565"/>
      <c r="V524" s="565"/>
      <c r="W524" s="565"/>
      <c r="X524" s="565"/>
      <c r="Y524" t="str">
        <f t="shared" ca="1" si="26"/>
        <v>PAGO</v>
      </c>
      <c r="AA524" t="s">
        <v>404</v>
      </c>
    </row>
    <row r="525" spans="1:27" ht="14.55" x14ac:dyDescent="0.3">
      <c r="A525" t="s">
        <v>216</v>
      </c>
      <c r="B525" s="562">
        <v>2026</v>
      </c>
      <c r="C525" t="s">
        <v>249</v>
      </c>
      <c r="D525">
        <v>761</v>
      </c>
      <c r="E525">
        <v>712</v>
      </c>
      <c r="F525" s="179">
        <v>46092</v>
      </c>
      <c r="G525" t="s">
        <v>330</v>
      </c>
      <c r="I525" t="s">
        <v>272</v>
      </c>
      <c r="J525" s="583">
        <v>9041</v>
      </c>
      <c r="K525" s="583">
        <v>0</v>
      </c>
      <c r="L525" s="565">
        <f t="shared" si="24"/>
        <v>9041</v>
      </c>
      <c r="M525" s="179">
        <v>46141</v>
      </c>
      <c r="N525" s="179">
        <v>46176</v>
      </c>
      <c r="O525" s="565">
        <v>9041</v>
      </c>
      <c r="P525" s="565">
        <f t="shared" si="25"/>
        <v>0</v>
      </c>
      <c r="Q525" s="565"/>
      <c r="R525" s="565"/>
      <c r="S525" s="565"/>
      <c r="T525" s="565"/>
      <c r="U525" s="565"/>
      <c r="V525" s="565"/>
      <c r="W525" s="565"/>
      <c r="X525" s="565"/>
      <c r="Y525" t="str">
        <f t="shared" ca="1" si="26"/>
        <v>PAGO</v>
      </c>
      <c r="AA525" t="s">
        <v>404</v>
      </c>
    </row>
    <row r="526" spans="1:27" ht="14.55" x14ac:dyDescent="0.3">
      <c r="A526" t="s">
        <v>216</v>
      </c>
      <c r="B526" s="562">
        <v>2026</v>
      </c>
      <c r="C526" t="s">
        <v>249</v>
      </c>
      <c r="D526">
        <v>761</v>
      </c>
      <c r="E526">
        <v>712</v>
      </c>
      <c r="F526" s="179">
        <v>46092</v>
      </c>
      <c r="G526" t="s">
        <v>330</v>
      </c>
      <c r="I526" t="s">
        <v>272</v>
      </c>
      <c r="J526" s="583">
        <v>9041</v>
      </c>
      <c r="K526" s="583">
        <v>0</v>
      </c>
      <c r="L526" s="565">
        <f t="shared" si="24"/>
        <v>9041</v>
      </c>
      <c r="M526" s="179">
        <v>46148</v>
      </c>
      <c r="N526" s="179">
        <v>46189</v>
      </c>
      <c r="O526" s="565">
        <v>9041</v>
      </c>
      <c r="P526" s="565">
        <f t="shared" si="25"/>
        <v>0</v>
      </c>
      <c r="Q526" s="565"/>
      <c r="R526" s="565"/>
      <c r="S526" s="565"/>
      <c r="T526" s="565"/>
      <c r="U526" s="565"/>
      <c r="V526" s="565"/>
      <c r="W526" s="565"/>
      <c r="X526" s="565"/>
      <c r="Y526" t="str">
        <f t="shared" ca="1" si="26"/>
        <v>PAGO</v>
      </c>
      <c r="AA526" t="s">
        <v>404</v>
      </c>
    </row>
    <row r="527" spans="1:27" ht="14.55" x14ac:dyDescent="0.3">
      <c r="A527" t="s">
        <v>216</v>
      </c>
      <c r="B527" s="562">
        <v>2026</v>
      </c>
      <c r="C527" t="s">
        <v>249</v>
      </c>
      <c r="D527">
        <v>762</v>
      </c>
      <c r="E527">
        <v>713</v>
      </c>
      <c r="F527" s="179">
        <v>46092</v>
      </c>
      <c r="G527" t="s">
        <v>407</v>
      </c>
      <c r="I527" t="s">
        <v>272</v>
      </c>
      <c r="J527" s="583">
        <v>7767.5</v>
      </c>
      <c r="K527" s="583">
        <v>0</v>
      </c>
      <c r="L527" s="565">
        <f t="shared" si="24"/>
        <v>7767.5</v>
      </c>
      <c r="M527" s="179">
        <v>46113</v>
      </c>
      <c r="N527" s="179">
        <v>46142</v>
      </c>
      <c r="O527" s="565">
        <v>7767.5</v>
      </c>
      <c r="P527" s="565">
        <f t="shared" si="25"/>
        <v>0</v>
      </c>
      <c r="Q527" s="565"/>
      <c r="R527" s="565"/>
      <c r="S527" s="565"/>
      <c r="T527" s="565"/>
      <c r="U527" s="565"/>
      <c r="V527" s="565"/>
      <c r="W527" s="565"/>
      <c r="X527" s="565"/>
      <c r="Y527" t="str">
        <f t="shared" ca="1" si="26"/>
        <v>PAGO</v>
      </c>
      <c r="AA527" t="s">
        <v>404</v>
      </c>
    </row>
    <row r="528" spans="1:27" ht="14.55" x14ac:dyDescent="0.3">
      <c r="A528" t="s">
        <v>216</v>
      </c>
      <c r="B528" s="562">
        <v>2026</v>
      </c>
      <c r="C528" t="s">
        <v>249</v>
      </c>
      <c r="D528">
        <v>762</v>
      </c>
      <c r="E528">
        <v>713</v>
      </c>
      <c r="F528" s="179">
        <v>46092</v>
      </c>
      <c r="G528" t="s">
        <v>407</v>
      </c>
      <c r="I528" t="s">
        <v>272</v>
      </c>
      <c r="J528" s="583">
        <v>7762</v>
      </c>
      <c r="K528" s="583">
        <v>0</v>
      </c>
      <c r="L528" s="565">
        <f t="shared" si="24"/>
        <v>7762</v>
      </c>
      <c r="M528" s="179">
        <v>46120</v>
      </c>
      <c r="N528" s="179">
        <v>46150</v>
      </c>
      <c r="O528" s="565">
        <v>7762</v>
      </c>
      <c r="P528" s="565">
        <f t="shared" si="25"/>
        <v>0</v>
      </c>
      <c r="Q528" s="565"/>
      <c r="R528" s="565"/>
      <c r="S528" s="565"/>
      <c r="T528" s="565"/>
      <c r="U528" s="565"/>
      <c r="V528" s="565"/>
      <c r="W528" s="565"/>
      <c r="X528" s="565"/>
      <c r="Y528" t="str">
        <f t="shared" ca="1" si="26"/>
        <v>PAGO</v>
      </c>
      <c r="AA528" t="s">
        <v>404</v>
      </c>
    </row>
    <row r="529" spans="1:27" ht="14.55" x14ac:dyDescent="0.3">
      <c r="A529" t="s">
        <v>216</v>
      </c>
      <c r="B529" s="562">
        <v>2026</v>
      </c>
      <c r="C529" t="s">
        <v>249</v>
      </c>
      <c r="D529">
        <v>762</v>
      </c>
      <c r="E529">
        <v>713</v>
      </c>
      <c r="F529" s="179">
        <v>46092</v>
      </c>
      <c r="G529" t="s">
        <v>407</v>
      </c>
      <c r="I529" t="s">
        <v>272</v>
      </c>
      <c r="J529" s="583">
        <v>7762</v>
      </c>
      <c r="K529" s="583">
        <v>0</v>
      </c>
      <c r="L529" s="565">
        <f t="shared" si="24"/>
        <v>7762</v>
      </c>
      <c r="M529" s="179">
        <v>46127</v>
      </c>
      <c r="N529" s="179">
        <v>46160</v>
      </c>
      <c r="O529" s="565">
        <v>7762</v>
      </c>
      <c r="P529" s="565">
        <f t="shared" si="25"/>
        <v>0</v>
      </c>
      <c r="Q529" s="565"/>
      <c r="R529" s="565"/>
      <c r="S529" s="565"/>
      <c r="T529" s="565"/>
      <c r="U529" s="565"/>
      <c r="V529" s="565"/>
      <c r="W529" s="565"/>
      <c r="X529" s="565"/>
      <c r="Y529" t="str">
        <f t="shared" ca="1" si="26"/>
        <v>PAGO</v>
      </c>
      <c r="AA529" t="s">
        <v>404</v>
      </c>
    </row>
    <row r="530" spans="1:27" ht="14.55" x14ac:dyDescent="0.3">
      <c r="A530" t="s">
        <v>216</v>
      </c>
      <c r="B530" s="562">
        <v>2026</v>
      </c>
      <c r="C530" t="s">
        <v>249</v>
      </c>
      <c r="D530">
        <v>762</v>
      </c>
      <c r="E530">
        <v>713</v>
      </c>
      <c r="F530" s="179">
        <v>46092</v>
      </c>
      <c r="G530" t="s">
        <v>407</v>
      </c>
      <c r="I530" t="s">
        <v>272</v>
      </c>
      <c r="J530" s="583">
        <v>7762</v>
      </c>
      <c r="K530" s="583">
        <v>0</v>
      </c>
      <c r="L530" s="565">
        <f t="shared" si="24"/>
        <v>7762</v>
      </c>
      <c r="M530" s="179">
        <v>46134</v>
      </c>
      <c r="N530" s="179">
        <v>46176</v>
      </c>
      <c r="O530" s="565">
        <v>7762</v>
      </c>
      <c r="P530" s="565">
        <f t="shared" si="25"/>
        <v>0</v>
      </c>
      <c r="Q530" s="565"/>
      <c r="R530" s="565"/>
      <c r="S530" s="565"/>
      <c r="T530" s="565"/>
      <c r="U530" s="565"/>
      <c r="V530" s="565"/>
      <c r="W530" s="565"/>
      <c r="X530" s="565"/>
      <c r="Y530" t="str">
        <f t="shared" ca="1" si="26"/>
        <v>PAGO</v>
      </c>
      <c r="AA530" t="s">
        <v>404</v>
      </c>
    </row>
    <row r="531" spans="1:27" ht="14.55" x14ac:dyDescent="0.3">
      <c r="A531" t="s">
        <v>216</v>
      </c>
      <c r="B531" s="562">
        <v>2026</v>
      </c>
      <c r="C531" t="s">
        <v>249</v>
      </c>
      <c r="D531">
        <v>762</v>
      </c>
      <c r="E531">
        <v>713</v>
      </c>
      <c r="F531" s="179">
        <v>46092</v>
      </c>
      <c r="G531" t="s">
        <v>407</v>
      </c>
      <c r="I531" t="s">
        <v>272</v>
      </c>
      <c r="J531" s="583">
        <v>7762</v>
      </c>
      <c r="K531" s="583">
        <v>0</v>
      </c>
      <c r="L531" s="565">
        <f t="shared" si="24"/>
        <v>7762</v>
      </c>
      <c r="M531" s="179">
        <v>46141</v>
      </c>
      <c r="N531" s="179">
        <v>46176</v>
      </c>
      <c r="O531" s="565">
        <v>7762</v>
      </c>
      <c r="P531" s="565">
        <f t="shared" si="25"/>
        <v>0</v>
      </c>
      <c r="Q531" s="565"/>
      <c r="R531" s="565"/>
      <c r="S531" s="565"/>
      <c r="T531" s="565"/>
      <c r="U531" s="565"/>
      <c r="V531" s="565"/>
      <c r="W531" s="565"/>
      <c r="X531" s="565"/>
      <c r="Y531" t="str">
        <f t="shared" ca="1" si="26"/>
        <v>PAGO</v>
      </c>
      <c r="AA531" t="s">
        <v>404</v>
      </c>
    </row>
    <row r="532" spans="1:27" ht="14.55" x14ac:dyDescent="0.3">
      <c r="A532" t="s">
        <v>216</v>
      </c>
      <c r="B532" s="562">
        <v>2026</v>
      </c>
      <c r="C532" t="s">
        <v>249</v>
      </c>
      <c r="D532">
        <v>762</v>
      </c>
      <c r="E532">
        <v>713</v>
      </c>
      <c r="F532" s="179">
        <v>46092</v>
      </c>
      <c r="G532" t="s">
        <v>407</v>
      </c>
      <c r="I532" t="s">
        <v>272</v>
      </c>
      <c r="J532" s="583">
        <v>7762</v>
      </c>
      <c r="K532" s="583">
        <v>0</v>
      </c>
      <c r="L532" s="565">
        <f t="shared" si="24"/>
        <v>7762</v>
      </c>
      <c r="M532" s="179">
        <v>46148</v>
      </c>
      <c r="N532" s="179">
        <v>46190</v>
      </c>
      <c r="O532" s="565">
        <v>7762</v>
      </c>
      <c r="P532" s="565">
        <f t="shared" si="25"/>
        <v>0</v>
      </c>
      <c r="Q532" s="565"/>
      <c r="R532" s="565"/>
      <c r="S532" s="565"/>
      <c r="T532" s="565"/>
      <c r="U532" s="565"/>
      <c r="V532" s="565"/>
      <c r="W532" s="565"/>
      <c r="X532" s="565"/>
      <c r="Y532" t="str">
        <f t="shared" ca="1" si="26"/>
        <v>PAGO</v>
      </c>
      <c r="AA532" t="s">
        <v>404</v>
      </c>
    </row>
    <row r="533" spans="1:27" x14ac:dyDescent="0.3">
      <c r="A533" t="s">
        <v>216</v>
      </c>
      <c r="B533" s="562">
        <v>2026</v>
      </c>
      <c r="C533" t="s">
        <v>248</v>
      </c>
      <c r="D533">
        <v>22138</v>
      </c>
      <c r="E533">
        <v>4017</v>
      </c>
      <c r="F533" s="179">
        <v>46094</v>
      </c>
      <c r="G533" t="s">
        <v>236</v>
      </c>
      <c r="I533" t="s">
        <v>270</v>
      </c>
      <c r="J533" s="583">
        <v>0</v>
      </c>
      <c r="K533" s="583">
        <v>411.93</v>
      </c>
      <c r="L533" s="565">
        <f t="shared" si="24"/>
        <v>411.93</v>
      </c>
      <c r="M533" s="179">
        <v>46122</v>
      </c>
      <c r="N533" s="179">
        <v>46108</v>
      </c>
      <c r="O533" s="565">
        <v>411.93</v>
      </c>
      <c r="P533" s="565">
        <f t="shared" si="25"/>
        <v>0</v>
      </c>
      <c r="Q533" s="565"/>
      <c r="R533" s="565"/>
      <c r="S533" s="565"/>
      <c r="T533" s="565"/>
      <c r="U533" s="565"/>
      <c r="V533" s="565"/>
      <c r="W533" s="565"/>
      <c r="X533" s="565"/>
      <c r="Y533" t="str">
        <f t="shared" ca="1" si="26"/>
        <v>PAGO</v>
      </c>
      <c r="AA533" t="s">
        <v>404</v>
      </c>
    </row>
    <row r="534" spans="1:27" x14ac:dyDescent="0.3">
      <c r="A534" t="s">
        <v>216</v>
      </c>
      <c r="B534" s="562">
        <v>2026</v>
      </c>
      <c r="C534" t="s">
        <v>248</v>
      </c>
      <c r="D534">
        <v>22138</v>
      </c>
      <c r="E534">
        <v>4017</v>
      </c>
      <c r="F534" s="179">
        <v>46094</v>
      </c>
      <c r="G534" t="s">
        <v>236</v>
      </c>
      <c r="I534" t="s">
        <v>270</v>
      </c>
      <c r="J534" s="583">
        <v>0</v>
      </c>
      <c r="K534" s="583">
        <v>411.93</v>
      </c>
      <c r="L534" s="565">
        <f t="shared" si="24"/>
        <v>411.93</v>
      </c>
      <c r="M534" s="179">
        <v>46129</v>
      </c>
      <c r="N534" s="179">
        <v>46108</v>
      </c>
      <c r="O534" s="565">
        <v>411.93</v>
      </c>
      <c r="P534" s="565">
        <f t="shared" si="25"/>
        <v>0</v>
      </c>
      <c r="Q534" s="565"/>
      <c r="R534" s="565"/>
      <c r="S534" s="565"/>
      <c r="T534" s="565"/>
      <c r="U534" s="565"/>
      <c r="V534" s="565"/>
      <c r="W534" s="565"/>
      <c r="X534" s="565"/>
      <c r="Y534" t="str">
        <f t="shared" ca="1" si="26"/>
        <v>PAGO</v>
      </c>
      <c r="AA534" t="s">
        <v>404</v>
      </c>
    </row>
    <row r="535" spans="1:27" x14ac:dyDescent="0.3">
      <c r="A535" t="s">
        <v>216</v>
      </c>
      <c r="B535" s="562">
        <v>2026</v>
      </c>
      <c r="C535" t="s">
        <v>248</v>
      </c>
      <c r="D535">
        <v>22140</v>
      </c>
      <c r="E535">
        <v>3949</v>
      </c>
      <c r="F535" s="179">
        <v>46094</v>
      </c>
      <c r="G535" t="s">
        <v>236</v>
      </c>
      <c r="I535" t="s">
        <v>270</v>
      </c>
      <c r="J535" s="583">
        <v>0</v>
      </c>
      <c r="K535" s="583">
        <v>686.78</v>
      </c>
      <c r="L535" s="565">
        <f t="shared" si="24"/>
        <v>686.78</v>
      </c>
      <c r="M535" s="179">
        <v>46122</v>
      </c>
      <c r="N535" s="179">
        <v>46108</v>
      </c>
      <c r="O535" s="565">
        <v>686.78</v>
      </c>
      <c r="P535" s="565">
        <f t="shared" si="25"/>
        <v>0</v>
      </c>
      <c r="Q535" s="565"/>
      <c r="R535" s="565"/>
      <c r="S535" s="565"/>
      <c r="T535" s="565"/>
      <c r="U535" s="565"/>
      <c r="V535" s="565"/>
      <c r="W535" s="565"/>
      <c r="X535" s="565"/>
      <c r="Y535" t="str">
        <f t="shared" ca="1" si="26"/>
        <v>PAGO</v>
      </c>
      <c r="AA535" t="s">
        <v>404</v>
      </c>
    </row>
    <row r="536" spans="1:27" x14ac:dyDescent="0.3">
      <c r="A536" t="s">
        <v>216</v>
      </c>
      <c r="B536" s="562">
        <v>2026</v>
      </c>
      <c r="C536" t="s">
        <v>248</v>
      </c>
      <c r="D536">
        <v>22140</v>
      </c>
      <c r="E536">
        <v>3949</v>
      </c>
      <c r="F536" s="179">
        <v>46094</v>
      </c>
      <c r="G536" t="s">
        <v>236</v>
      </c>
      <c r="I536" t="s">
        <v>270</v>
      </c>
      <c r="J536" s="583">
        <v>0</v>
      </c>
      <c r="K536" s="583">
        <v>686.78</v>
      </c>
      <c r="L536" s="565">
        <f t="shared" si="24"/>
        <v>686.78</v>
      </c>
      <c r="M536" s="179">
        <v>46129</v>
      </c>
      <c r="N536" s="179">
        <v>46108</v>
      </c>
      <c r="O536" s="565">
        <v>686.78</v>
      </c>
      <c r="P536" s="565">
        <f t="shared" si="25"/>
        <v>0</v>
      </c>
      <c r="Q536" s="565"/>
      <c r="R536" s="565"/>
      <c r="S536" s="565"/>
      <c r="T536" s="565"/>
      <c r="U536" s="565"/>
      <c r="V536" s="565"/>
      <c r="W536" s="565"/>
      <c r="X536" s="565"/>
      <c r="Y536" t="str">
        <f t="shared" ca="1" si="26"/>
        <v>PAGO</v>
      </c>
      <c r="AA536" t="s">
        <v>404</v>
      </c>
    </row>
    <row r="537" spans="1:27" x14ac:dyDescent="0.3">
      <c r="A537" t="s">
        <v>216</v>
      </c>
      <c r="B537" s="562">
        <v>2026</v>
      </c>
      <c r="C537" t="s">
        <v>248</v>
      </c>
      <c r="D537">
        <v>22140</v>
      </c>
      <c r="E537">
        <v>3949</v>
      </c>
      <c r="F537" s="179">
        <v>46094</v>
      </c>
      <c r="G537" t="s">
        <v>236</v>
      </c>
      <c r="I537" t="s">
        <v>270</v>
      </c>
      <c r="J537" s="583">
        <v>0</v>
      </c>
      <c r="K537" s="583">
        <v>686.77</v>
      </c>
      <c r="L537" s="565">
        <f t="shared" si="24"/>
        <v>686.77</v>
      </c>
      <c r="M537" s="179">
        <v>46136</v>
      </c>
      <c r="N537" s="179">
        <v>46136</v>
      </c>
      <c r="O537" s="565">
        <v>686.79</v>
      </c>
      <c r="P537" s="565">
        <f t="shared" si="25"/>
        <v>-1.999999999998181E-2</v>
      </c>
      <c r="Q537" s="565"/>
      <c r="R537" s="565"/>
      <c r="S537" s="565"/>
      <c r="T537" s="565"/>
      <c r="U537" s="565"/>
      <c r="V537" s="565"/>
      <c r="W537" s="565"/>
      <c r="X537" s="565"/>
      <c r="Y537" t="str">
        <f t="shared" ca="1" si="26"/>
        <v>PAGO</v>
      </c>
      <c r="AA537" t="s">
        <v>404</v>
      </c>
    </row>
    <row r="538" spans="1:27" x14ac:dyDescent="0.3">
      <c r="A538" t="s">
        <v>216</v>
      </c>
      <c r="B538" s="562">
        <v>2026</v>
      </c>
      <c r="C538" t="s">
        <v>249</v>
      </c>
      <c r="D538">
        <v>775</v>
      </c>
      <c r="E538">
        <v>730</v>
      </c>
      <c r="F538" s="179">
        <v>46097</v>
      </c>
      <c r="G538" t="s">
        <v>264</v>
      </c>
      <c r="I538" t="s">
        <v>372</v>
      </c>
      <c r="J538" s="583">
        <v>12866.4</v>
      </c>
      <c r="K538" s="583">
        <v>0</v>
      </c>
      <c r="L538" s="565">
        <f t="shared" si="24"/>
        <v>12866.4</v>
      </c>
      <c r="M538" s="179">
        <v>46111</v>
      </c>
      <c r="N538" s="179">
        <v>46111</v>
      </c>
      <c r="O538" s="565">
        <v>12866.4</v>
      </c>
      <c r="P538" s="565">
        <f t="shared" si="25"/>
        <v>0</v>
      </c>
      <c r="Q538" s="565"/>
      <c r="R538" s="565"/>
      <c r="S538" s="565"/>
      <c r="T538" s="565"/>
      <c r="U538" s="565"/>
      <c r="V538" s="565"/>
      <c r="W538" s="565"/>
      <c r="X538" s="565"/>
      <c r="Y538" t="str">
        <f t="shared" ca="1" si="26"/>
        <v>PAGO</v>
      </c>
      <c r="AA538" t="s">
        <v>404</v>
      </c>
    </row>
    <row r="539" spans="1:27" x14ac:dyDescent="0.3">
      <c r="A539" t="s">
        <v>216</v>
      </c>
      <c r="B539" s="562">
        <v>2026</v>
      </c>
      <c r="C539" t="s">
        <v>249</v>
      </c>
      <c r="D539">
        <v>22158</v>
      </c>
      <c r="E539">
        <v>4059</v>
      </c>
      <c r="F539" s="179">
        <v>46097</v>
      </c>
      <c r="G539" t="s">
        <v>315</v>
      </c>
      <c r="I539" t="s">
        <v>372</v>
      </c>
      <c r="J539" s="583">
        <v>1113</v>
      </c>
      <c r="K539" s="583">
        <v>0</v>
      </c>
      <c r="L539" s="565">
        <f t="shared" si="24"/>
        <v>1113</v>
      </c>
      <c r="M539" s="179">
        <v>46127</v>
      </c>
      <c r="N539" s="179">
        <v>46127</v>
      </c>
      <c r="O539" s="565">
        <v>1113</v>
      </c>
      <c r="P539" s="565">
        <f t="shared" si="25"/>
        <v>0</v>
      </c>
      <c r="Q539" s="565"/>
      <c r="R539" s="565"/>
      <c r="S539" s="565"/>
      <c r="T539" s="565"/>
      <c r="U539" s="565"/>
      <c r="V539" s="565"/>
      <c r="W539" s="565"/>
      <c r="X539" s="565"/>
      <c r="Y539" t="str">
        <f t="shared" ca="1" si="26"/>
        <v>PAGO</v>
      </c>
      <c r="AA539" t="s">
        <v>404</v>
      </c>
    </row>
    <row r="540" spans="1:27" x14ac:dyDescent="0.3">
      <c r="A540" t="s">
        <v>216</v>
      </c>
      <c r="B540" s="562">
        <v>2026</v>
      </c>
      <c r="C540" t="s">
        <v>249</v>
      </c>
      <c r="D540">
        <v>22158</v>
      </c>
      <c r="E540">
        <v>4059</v>
      </c>
      <c r="F540" s="179">
        <v>46097</v>
      </c>
      <c r="G540" t="s">
        <v>315</v>
      </c>
      <c r="I540" t="s">
        <v>372</v>
      </c>
      <c r="J540" s="583">
        <v>1113</v>
      </c>
      <c r="K540" s="583">
        <v>0</v>
      </c>
      <c r="L540" s="565">
        <f t="shared" si="24"/>
        <v>1113</v>
      </c>
      <c r="M540" s="179">
        <v>46142</v>
      </c>
      <c r="N540" s="179">
        <v>46142</v>
      </c>
      <c r="O540" s="565">
        <v>1113</v>
      </c>
      <c r="P540" s="565">
        <f t="shared" si="25"/>
        <v>0</v>
      </c>
      <c r="Q540" s="565"/>
      <c r="R540" s="565"/>
      <c r="S540" s="565"/>
      <c r="T540" s="565"/>
      <c r="U540" s="565"/>
      <c r="V540" s="565"/>
      <c r="W540" s="565"/>
      <c r="X540" s="565"/>
      <c r="Y540" t="str">
        <f t="shared" ca="1" si="26"/>
        <v>PAGO</v>
      </c>
      <c r="AA540" t="s">
        <v>404</v>
      </c>
    </row>
    <row r="541" spans="1:27" x14ac:dyDescent="0.3">
      <c r="A541" t="s">
        <v>216</v>
      </c>
      <c r="B541" s="562">
        <v>2026</v>
      </c>
      <c r="C541" t="s">
        <v>249</v>
      </c>
      <c r="D541">
        <v>22158</v>
      </c>
      <c r="E541">
        <v>4059</v>
      </c>
      <c r="F541" s="179">
        <v>46097</v>
      </c>
      <c r="G541" t="s">
        <v>315</v>
      </c>
      <c r="I541" t="s">
        <v>372</v>
      </c>
      <c r="J541" s="583">
        <v>1124.1300000000001</v>
      </c>
      <c r="K541" s="583">
        <v>0</v>
      </c>
      <c r="L541" s="565">
        <f t="shared" si="24"/>
        <v>1124.1300000000001</v>
      </c>
      <c r="M541" s="179">
        <v>46157</v>
      </c>
      <c r="N541" s="179">
        <v>46157</v>
      </c>
      <c r="O541" s="565">
        <v>1113</v>
      </c>
      <c r="P541" s="565">
        <f t="shared" si="25"/>
        <v>11.130000000000109</v>
      </c>
      <c r="Q541" s="565"/>
      <c r="R541" s="565"/>
      <c r="S541" s="565"/>
      <c r="T541" s="565"/>
      <c r="U541" s="565"/>
      <c r="V541" s="565"/>
      <c r="W541" s="565"/>
      <c r="X541" s="565"/>
      <c r="Y541" t="str">
        <f t="shared" ca="1" si="26"/>
        <v>VENCIDO</v>
      </c>
      <c r="AA541" t="s">
        <v>404</v>
      </c>
    </row>
    <row r="542" spans="1:27" x14ac:dyDescent="0.3">
      <c r="A542" t="s">
        <v>216</v>
      </c>
      <c r="B542" s="562">
        <v>2026</v>
      </c>
      <c r="C542" t="s">
        <v>249</v>
      </c>
      <c r="D542">
        <v>22157</v>
      </c>
      <c r="E542">
        <v>4059</v>
      </c>
      <c r="F542" s="179">
        <v>46097</v>
      </c>
      <c r="G542" t="s">
        <v>333</v>
      </c>
      <c r="I542" t="s">
        <v>372</v>
      </c>
      <c r="J542" s="583">
        <v>8281.75</v>
      </c>
      <c r="K542" s="583">
        <v>0</v>
      </c>
      <c r="L542" s="565">
        <f t="shared" si="24"/>
        <v>8281.75</v>
      </c>
      <c r="M542" s="179">
        <v>46127</v>
      </c>
      <c r="N542" s="179">
        <v>46134</v>
      </c>
      <c r="O542" s="565">
        <v>8281.75</v>
      </c>
      <c r="P542" s="565">
        <f t="shared" si="25"/>
        <v>0</v>
      </c>
      <c r="Q542" s="565"/>
      <c r="R542" s="565"/>
      <c r="S542" s="565"/>
      <c r="T542" s="565"/>
      <c r="U542" s="565"/>
      <c r="V542" s="565"/>
      <c r="W542" s="565"/>
      <c r="X542" s="565"/>
      <c r="Y542" t="str">
        <f t="shared" ca="1" si="26"/>
        <v>PAGO</v>
      </c>
      <c r="AA542" t="s">
        <v>404</v>
      </c>
    </row>
    <row r="543" spans="1:27" x14ac:dyDescent="0.3">
      <c r="A543" t="s">
        <v>216</v>
      </c>
      <c r="B543" s="562">
        <v>2026</v>
      </c>
      <c r="C543" t="s">
        <v>249</v>
      </c>
      <c r="D543">
        <v>22157</v>
      </c>
      <c r="E543">
        <v>4059</v>
      </c>
      <c r="F543" s="179">
        <v>46097</v>
      </c>
      <c r="G543" t="s">
        <v>333</v>
      </c>
      <c r="I543" t="s">
        <v>372</v>
      </c>
      <c r="J543" s="583">
        <v>8281.75</v>
      </c>
      <c r="K543" s="583">
        <v>0</v>
      </c>
      <c r="L543" s="565">
        <f t="shared" si="24"/>
        <v>8281.75</v>
      </c>
      <c r="M543" s="179">
        <v>46146</v>
      </c>
      <c r="N543" s="179">
        <v>46155</v>
      </c>
      <c r="O543" s="565">
        <v>8281.75</v>
      </c>
      <c r="P543" s="565">
        <f t="shared" si="25"/>
        <v>0</v>
      </c>
      <c r="Q543" s="565"/>
      <c r="R543" s="565"/>
      <c r="S543" s="565"/>
      <c r="T543" s="565"/>
      <c r="U543" s="565"/>
      <c r="V543" s="565"/>
      <c r="W543" s="565"/>
      <c r="X543" s="565"/>
      <c r="Y543" t="str">
        <f t="shared" ca="1" si="26"/>
        <v>PAGO</v>
      </c>
      <c r="AA543" t="s">
        <v>404</v>
      </c>
    </row>
    <row r="544" spans="1:27" x14ac:dyDescent="0.3">
      <c r="A544" t="s">
        <v>216</v>
      </c>
      <c r="B544" s="562">
        <v>2026</v>
      </c>
      <c r="C544" t="s">
        <v>334</v>
      </c>
      <c r="D544">
        <v>22157</v>
      </c>
      <c r="E544">
        <v>4059</v>
      </c>
      <c r="F544" s="179">
        <v>46097</v>
      </c>
      <c r="G544" t="s">
        <v>333</v>
      </c>
      <c r="I544" t="s">
        <v>372</v>
      </c>
      <c r="J544" s="583">
        <v>8281.75</v>
      </c>
      <c r="K544" s="583">
        <v>0</v>
      </c>
      <c r="L544" s="565">
        <f t="shared" si="24"/>
        <v>8281.75</v>
      </c>
      <c r="M544" s="179">
        <v>46160</v>
      </c>
      <c r="N544" s="179">
        <v>46160</v>
      </c>
      <c r="O544" s="565">
        <v>8281.75</v>
      </c>
      <c r="P544" s="565">
        <f t="shared" si="25"/>
        <v>0</v>
      </c>
      <c r="Q544" s="565"/>
      <c r="R544" s="565"/>
      <c r="S544" s="565"/>
      <c r="T544" s="565"/>
      <c r="U544" s="565"/>
      <c r="V544" s="565"/>
      <c r="W544" s="565"/>
      <c r="X544" s="565"/>
      <c r="Y544" t="str">
        <f t="shared" ca="1" si="26"/>
        <v>PAGO</v>
      </c>
      <c r="AA544" t="s">
        <v>404</v>
      </c>
    </row>
    <row r="545" spans="1:27" x14ac:dyDescent="0.3">
      <c r="A545" t="s">
        <v>216</v>
      </c>
      <c r="B545" s="562">
        <v>2026</v>
      </c>
      <c r="C545" t="s">
        <v>334</v>
      </c>
      <c r="D545">
        <v>22157</v>
      </c>
      <c r="E545">
        <v>4059</v>
      </c>
      <c r="F545" s="179">
        <v>46097</v>
      </c>
      <c r="G545" t="s">
        <v>333</v>
      </c>
      <c r="I545" t="s">
        <v>372</v>
      </c>
      <c r="J545" s="583">
        <v>8281.75</v>
      </c>
      <c r="K545" s="583">
        <v>0</v>
      </c>
      <c r="L545" s="565">
        <f t="shared" si="24"/>
        <v>8281.75</v>
      </c>
      <c r="M545" s="179">
        <v>46178</v>
      </c>
      <c r="N545" s="179">
        <v>46178</v>
      </c>
      <c r="O545" s="565">
        <v>8281.75</v>
      </c>
      <c r="P545" s="565">
        <f t="shared" si="25"/>
        <v>0</v>
      </c>
      <c r="Q545" s="565"/>
      <c r="R545" s="565"/>
      <c r="S545" s="565"/>
      <c r="T545" s="565"/>
      <c r="U545" s="565"/>
      <c r="V545" s="565"/>
      <c r="W545" s="565"/>
      <c r="X545" s="565"/>
      <c r="Y545" t="str">
        <f t="shared" ca="1" si="26"/>
        <v>PAGO</v>
      </c>
      <c r="AA545" t="s">
        <v>404</v>
      </c>
    </row>
    <row r="546" spans="1:27" x14ac:dyDescent="0.3">
      <c r="A546" t="s">
        <v>216</v>
      </c>
      <c r="B546" s="562">
        <v>2026</v>
      </c>
      <c r="C546" t="s">
        <v>248</v>
      </c>
      <c r="D546">
        <v>22262</v>
      </c>
      <c r="E546">
        <v>4040</v>
      </c>
      <c r="F546" s="179">
        <v>46101</v>
      </c>
      <c r="G546" t="s">
        <v>237</v>
      </c>
      <c r="I546" t="s">
        <v>270</v>
      </c>
      <c r="J546" s="583">
        <v>0</v>
      </c>
      <c r="K546" s="583">
        <v>6361.74</v>
      </c>
      <c r="L546" s="565">
        <f t="shared" si="24"/>
        <v>6361.74</v>
      </c>
      <c r="M546" s="179">
        <v>46122</v>
      </c>
      <c r="N546" s="179">
        <v>46122</v>
      </c>
      <c r="O546" s="565">
        <v>6361.74</v>
      </c>
      <c r="P546" s="565">
        <f t="shared" si="25"/>
        <v>0</v>
      </c>
      <c r="Q546" s="565"/>
      <c r="R546" s="565"/>
      <c r="S546" s="565"/>
      <c r="T546" s="565"/>
      <c r="U546" s="565"/>
      <c r="V546" s="565"/>
      <c r="W546" s="565"/>
      <c r="X546" s="565"/>
      <c r="Y546" t="str">
        <f t="shared" ca="1" si="26"/>
        <v>PAGO</v>
      </c>
      <c r="AA546" t="s">
        <v>404</v>
      </c>
    </row>
    <row r="547" spans="1:27" x14ac:dyDescent="0.3">
      <c r="A547" t="s">
        <v>216</v>
      </c>
      <c r="B547" s="562">
        <v>2026</v>
      </c>
      <c r="C547" t="s">
        <v>249</v>
      </c>
      <c r="D547">
        <v>22243</v>
      </c>
      <c r="E547">
        <v>3370</v>
      </c>
      <c r="F547" s="179">
        <v>46101</v>
      </c>
      <c r="G547" t="s">
        <v>254</v>
      </c>
      <c r="I547" t="s">
        <v>271</v>
      </c>
      <c r="J547" s="583">
        <v>1025.48</v>
      </c>
      <c r="K547" s="583">
        <v>0</v>
      </c>
      <c r="L547" s="565">
        <f t="shared" si="24"/>
        <v>1025.48</v>
      </c>
      <c r="M547" s="179">
        <v>46115</v>
      </c>
      <c r="O547" s="565"/>
      <c r="P547" s="565">
        <f t="shared" si="25"/>
        <v>1025.48</v>
      </c>
      <c r="Q547" s="565"/>
      <c r="R547" s="565"/>
      <c r="S547" s="565"/>
      <c r="T547" s="565"/>
      <c r="U547" s="565"/>
      <c r="V547" s="565"/>
      <c r="W547" s="565"/>
      <c r="X547" s="565"/>
      <c r="Y547" t="str">
        <f t="shared" ca="1" si="26"/>
        <v>VENCIDO</v>
      </c>
      <c r="AA547" t="s">
        <v>404</v>
      </c>
    </row>
    <row r="548" spans="1:27" x14ac:dyDescent="0.3">
      <c r="A548" t="s">
        <v>216</v>
      </c>
      <c r="B548" s="562">
        <v>2026</v>
      </c>
      <c r="C548" t="s">
        <v>249</v>
      </c>
      <c r="D548">
        <v>22243</v>
      </c>
      <c r="E548">
        <v>3370</v>
      </c>
      <c r="F548" s="179">
        <v>46101</v>
      </c>
      <c r="G548" t="s">
        <v>254</v>
      </c>
      <c r="I548" t="s">
        <v>271</v>
      </c>
      <c r="J548" s="583">
        <v>1025.48</v>
      </c>
      <c r="K548" s="583">
        <v>0</v>
      </c>
      <c r="L548" s="565">
        <f t="shared" si="24"/>
        <v>1025.48</v>
      </c>
      <c r="M548" s="179">
        <v>46122</v>
      </c>
      <c r="O548" s="565"/>
      <c r="P548" s="565">
        <f t="shared" si="25"/>
        <v>1025.48</v>
      </c>
      <c r="Q548" s="565"/>
      <c r="R548" s="565"/>
      <c r="S548" s="565"/>
      <c r="T548" s="565"/>
      <c r="U548" s="565"/>
      <c r="V548" s="565"/>
      <c r="W548" s="565"/>
      <c r="X548" s="565"/>
      <c r="Y548" t="str">
        <f t="shared" ca="1" si="26"/>
        <v>VENCIDO</v>
      </c>
      <c r="AA548" t="s">
        <v>404</v>
      </c>
    </row>
    <row r="549" spans="1:27" x14ac:dyDescent="0.3">
      <c r="A549" t="s">
        <v>216</v>
      </c>
      <c r="B549" s="562">
        <v>2026</v>
      </c>
      <c r="C549" t="s">
        <v>249</v>
      </c>
      <c r="D549">
        <v>22243</v>
      </c>
      <c r="E549">
        <v>3370</v>
      </c>
      <c r="F549" s="179">
        <v>46101</v>
      </c>
      <c r="G549" t="s">
        <v>254</v>
      </c>
      <c r="I549" t="s">
        <v>271</v>
      </c>
      <c r="J549" s="583">
        <v>1025.48</v>
      </c>
      <c r="K549" s="583">
        <v>0</v>
      </c>
      <c r="L549" s="565">
        <f t="shared" si="24"/>
        <v>1025.48</v>
      </c>
      <c r="M549" s="179">
        <v>46129</v>
      </c>
      <c r="O549" s="565"/>
      <c r="P549" s="565">
        <f t="shared" si="25"/>
        <v>1025.48</v>
      </c>
      <c r="Q549" s="565"/>
      <c r="R549" s="565"/>
      <c r="S549" s="565"/>
      <c r="T549" s="565"/>
      <c r="U549" s="565"/>
      <c r="V549" s="565"/>
      <c r="W549" s="565"/>
      <c r="X549" s="565"/>
      <c r="Y549" t="str">
        <f t="shared" ca="1" si="26"/>
        <v>VENCIDO</v>
      </c>
      <c r="AA549" t="s">
        <v>404</v>
      </c>
    </row>
    <row r="550" spans="1:27" x14ac:dyDescent="0.3">
      <c r="A550" t="s">
        <v>216</v>
      </c>
      <c r="B550" s="562">
        <v>2026</v>
      </c>
      <c r="C550" t="s">
        <v>249</v>
      </c>
      <c r="D550">
        <v>22243</v>
      </c>
      <c r="E550">
        <v>3370</v>
      </c>
      <c r="F550" s="179">
        <v>46101</v>
      </c>
      <c r="G550" t="s">
        <v>254</v>
      </c>
      <c r="I550" t="s">
        <v>271</v>
      </c>
      <c r="J550" s="583">
        <v>1025.48</v>
      </c>
      <c r="K550" s="583">
        <v>0</v>
      </c>
      <c r="L550" s="565">
        <f t="shared" si="24"/>
        <v>1025.48</v>
      </c>
      <c r="M550" s="179">
        <v>46136</v>
      </c>
      <c r="O550" s="565"/>
      <c r="P550" s="565">
        <f t="shared" si="25"/>
        <v>1025.48</v>
      </c>
      <c r="Q550" s="565"/>
      <c r="R550" s="565"/>
      <c r="S550" s="565"/>
      <c r="T550" s="565"/>
      <c r="U550" s="565"/>
      <c r="V550" s="565"/>
      <c r="W550" s="565"/>
      <c r="X550" s="565"/>
      <c r="Y550" t="str">
        <f t="shared" ca="1" si="26"/>
        <v>VENCIDO</v>
      </c>
      <c r="AA550" t="s">
        <v>404</v>
      </c>
    </row>
    <row r="551" spans="1:27" x14ac:dyDescent="0.3">
      <c r="A551" t="s">
        <v>216</v>
      </c>
      <c r="B551" s="562">
        <v>2026</v>
      </c>
      <c r="C551" t="s">
        <v>249</v>
      </c>
      <c r="D551">
        <v>22243</v>
      </c>
      <c r="E551">
        <v>3370</v>
      </c>
      <c r="F551" s="179">
        <v>46101</v>
      </c>
      <c r="G551" t="s">
        <v>254</v>
      </c>
      <c r="I551" t="s">
        <v>271</v>
      </c>
      <c r="J551" s="583">
        <v>1025.48</v>
      </c>
      <c r="K551" s="583">
        <v>0</v>
      </c>
      <c r="L551" s="565">
        <f t="shared" si="24"/>
        <v>1025.48</v>
      </c>
      <c r="M551" s="179">
        <v>46143</v>
      </c>
      <c r="O551" s="565"/>
      <c r="P551" s="565">
        <f t="shared" si="25"/>
        <v>1025.48</v>
      </c>
      <c r="Q551" s="565"/>
      <c r="R551" s="565"/>
      <c r="S551" s="565"/>
      <c r="T551" s="565"/>
      <c r="U551" s="565"/>
      <c r="V551" s="565"/>
      <c r="W551" s="565"/>
      <c r="X551" s="565"/>
      <c r="Y551" t="str">
        <f t="shared" ca="1" si="26"/>
        <v>VENCIDO</v>
      </c>
      <c r="AA551" t="s">
        <v>404</v>
      </c>
    </row>
    <row r="552" spans="1:27" ht="14.55" x14ac:dyDescent="0.3">
      <c r="A552" t="s">
        <v>216</v>
      </c>
      <c r="B552" s="562">
        <v>2026</v>
      </c>
      <c r="C552" t="s">
        <v>249</v>
      </c>
      <c r="D552">
        <v>22263</v>
      </c>
      <c r="E552">
        <v>4018</v>
      </c>
      <c r="F552" s="179">
        <v>46101</v>
      </c>
      <c r="G552" t="s">
        <v>317</v>
      </c>
      <c r="I552" t="s">
        <v>272</v>
      </c>
      <c r="J552" s="583">
        <v>2214.8200000000002</v>
      </c>
      <c r="K552" s="583">
        <v>0</v>
      </c>
      <c r="L552" s="565">
        <f t="shared" si="24"/>
        <v>2214.8200000000002</v>
      </c>
      <c r="M552" s="179">
        <v>46131</v>
      </c>
      <c r="N552" s="179">
        <v>46132</v>
      </c>
      <c r="O552" s="565">
        <v>2214.8200000000002</v>
      </c>
      <c r="P552" s="565">
        <f t="shared" si="25"/>
        <v>0</v>
      </c>
      <c r="Q552" s="565"/>
      <c r="R552" s="565"/>
      <c r="S552" s="565"/>
      <c r="T552" s="565"/>
      <c r="U552" s="565"/>
      <c r="V552" s="565"/>
      <c r="W552" s="565"/>
      <c r="X552" s="565"/>
      <c r="Y552" t="str">
        <f t="shared" ca="1" si="26"/>
        <v>PAGO</v>
      </c>
      <c r="AA552" t="s">
        <v>404</v>
      </c>
    </row>
    <row r="553" spans="1:27" ht="14.55" x14ac:dyDescent="0.3">
      <c r="A553" t="s">
        <v>216</v>
      </c>
      <c r="B553" s="562">
        <v>2026</v>
      </c>
      <c r="C553" t="s">
        <v>249</v>
      </c>
      <c r="D553">
        <v>22263</v>
      </c>
      <c r="E553">
        <v>4018</v>
      </c>
      <c r="F553" s="179">
        <v>46101</v>
      </c>
      <c r="G553" t="s">
        <v>317</v>
      </c>
      <c r="I553" t="s">
        <v>272</v>
      </c>
      <c r="J553" s="583">
        <v>2214.81</v>
      </c>
      <c r="K553" s="583">
        <v>0</v>
      </c>
      <c r="L553" s="565">
        <f t="shared" si="24"/>
        <v>2214.81</v>
      </c>
      <c r="M553" s="179">
        <v>46146</v>
      </c>
      <c r="N553" s="179">
        <v>46132</v>
      </c>
      <c r="O553" s="565">
        <v>2247.59</v>
      </c>
      <c r="P553" s="565">
        <f t="shared" si="25"/>
        <v>-32.7800000000002</v>
      </c>
      <c r="Q553" s="565"/>
      <c r="R553" s="565"/>
      <c r="S553" s="565"/>
      <c r="T553" s="565"/>
      <c r="U553" s="565"/>
      <c r="V553" s="565"/>
      <c r="W553" s="565"/>
      <c r="X553" s="565"/>
      <c r="Y553" t="str">
        <f t="shared" ca="1" si="26"/>
        <v>PAGO</v>
      </c>
      <c r="AA553" t="s">
        <v>404</v>
      </c>
    </row>
    <row r="554" spans="1:27" x14ac:dyDescent="0.3">
      <c r="A554" t="s">
        <v>216</v>
      </c>
      <c r="B554" s="562">
        <v>2026</v>
      </c>
      <c r="C554" t="s">
        <v>248</v>
      </c>
      <c r="D554">
        <v>22292</v>
      </c>
      <c r="E554">
        <v>4042</v>
      </c>
      <c r="F554" s="179">
        <v>46104</v>
      </c>
      <c r="G554" t="s">
        <v>237</v>
      </c>
      <c r="I554" t="s">
        <v>270</v>
      </c>
      <c r="J554" s="583">
        <v>0</v>
      </c>
      <c r="K554" s="583">
        <v>694.98</v>
      </c>
      <c r="L554" s="565">
        <f t="shared" si="24"/>
        <v>694.98</v>
      </c>
      <c r="M554" s="179">
        <v>46125</v>
      </c>
      <c r="N554" s="179">
        <v>46125</v>
      </c>
      <c r="O554" s="565">
        <v>694.98</v>
      </c>
      <c r="P554" s="565">
        <f t="shared" si="25"/>
        <v>0</v>
      </c>
      <c r="Q554" s="565"/>
      <c r="R554" s="565"/>
      <c r="S554" s="565"/>
      <c r="T554" s="565"/>
      <c r="U554" s="565"/>
      <c r="V554" s="565"/>
      <c r="W554" s="565"/>
      <c r="X554" s="565"/>
      <c r="Y554" t="str">
        <f t="shared" ca="1" si="26"/>
        <v>PAGO</v>
      </c>
      <c r="AA554" t="s">
        <v>404</v>
      </c>
    </row>
    <row r="555" spans="1:27" x14ac:dyDescent="0.3">
      <c r="A555" t="s">
        <v>216</v>
      </c>
      <c r="B555" s="562">
        <v>2026</v>
      </c>
      <c r="C555" t="s">
        <v>248</v>
      </c>
      <c r="D555">
        <v>22293</v>
      </c>
      <c r="E555">
        <v>4043</v>
      </c>
      <c r="F555" s="179">
        <v>46104</v>
      </c>
      <c r="G555" t="s">
        <v>236</v>
      </c>
      <c r="I555" t="s">
        <v>270</v>
      </c>
      <c r="J555" s="583">
        <v>0</v>
      </c>
      <c r="K555" s="583">
        <v>138</v>
      </c>
      <c r="L555" s="565">
        <f t="shared" si="24"/>
        <v>138</v>
      </c>
      <c r="M555" s="179">
        <v>46132</v>
      </c>
      <c r="N555" s="179">
        <v>46136</v>
      </c>
      <c r="O555" s="565">
        <v>138</v>
      </c>
      <c r="P555" s="565">
        <f t="shared" si="25"/>
        <v>0</v>
      </c>
      <c r="Q555" s="565"/>
      <c r="R555" s="565"/>
      <c r="S555" s="565"/>
      <c r="T555" s="565"/>
      <c r="U555" s="565"/>
      <c r="V555" s="565"/>
      <c r="W555" s="565"/>
      <c r="X555" s="565"/>
      <c r="Y555" t="str">
        <f t="shared" ca="1" si="26"/>
        <v>PAGO</v>
      </c>
      <c r="AA555" t="s">
        <v>404</v>
      </c>
    </row>
    <row r="556" spans="1:27" x14ac:dyDescent="0.3">
      <c r="A556" t="s">
        <v>216</v>
      </c>
      <c r="B556" s="562">
        <v>2026</v>
      </c>
      <c r="C556" t="s">
        <v>248</v>
      </c>
      <c r="D556">
        <v>22311</v>
      </c>
      <c r="E556">
        <v>4095</v>
      </c>
      <c r="F556" s="179">
        <v>46105</v>
      </c>
      <c r="G556" t="s">
        <v>236</v>
      </c>
      <c r="I556" t="s">
        <v>270</v>
      </c>
      <c r="J556" s="583">
        <v>0</v>
      </c>
      <c r="K556" s="583">
        <v>1128.49</v>
      </c>
      <c r="L556" s="565">
        <f t="shared" si="24"/>
        <v>1128.49</v>
      </c>
      <c r="M556" s="179">
        <v>46133</v>
      </c>
      <c r="N556" s="179">
        <v>46108</v>
      </c>
      <c r="O556" s="565">
        <v>1128.5</v>
      </c>
      <c r="P556" s="565">
        <f t="shared" si="25"/>
        <v>-9.9999999999909051E-3</v>
      </c>
      <c r="Q556" s="565"/>
      <c r="R556" s="565"/>
      <c r="S556" s="565"/>
      <c r="T556" s="565"/>
      <c r="U556" s="565"/>
      <c r="V556" s="565"/>
      <c r="W556" s="565"/>
      <c r="X556" s="565"/>
      <c r="Y556" t="str">
        <f t="shared" ca="1" si="26"/>
        <v>PAGO</v>
      </c>
      <c r="AA556" t="s">
        <v>404</v>
      </c>
    </row>
    <row r="557" spans="1:27" x14ac:dyDescent="0.3">
      <c r="A557" t="s">
        <v>216</v>
      </c>
      <c r="B557" s="562">
        <v>2026</v>
      </c>
      <c r="C557" t="s">
        <v>248</v>
      </c>
      <c r="D557">
        <v>22311</v>
      </c>
      <c r="E557">
        <v>4095</v>
      </c>
      <c r="F557" s="179">
        <v>46105</v>
      </c>
      <c r="G557" t="s">
        <v>236</v>
      </c>
      <c r="I557" t="s">
        <v>270</v>
      </c>
      <c r="J557" s="583">
        <v>0</v>
      </c>
      <c r="K557" s="583">
        <v>1128.49</v>
      </c>
      <c r="L557" s="565">
        <f t="shared" si="24"/>
        <v>1128.49</v>
      </c>
      <c r="M557" s="179">
        <v>46140</v>
      </c>
      <c r="N557" s="179">
        <v>46139</v>
      </c>
      <c r="O557" s="565">
        <v>1128.5</v>
      </c>
      <c r="P557" s="565">
        <f t="shared" si="25"/>
        <v>-9.9999999999909051E-3</v>
      </c>
      <c r="Q557" s="565"/>
      <c r="R557" s="565"/>
      <c r="S557" s="565"/>
      <c r="T557" s="565"/>
      <c r="U557" s="565"/>
      <c r="V557" s="565"/>
      <c r="W557" s="565"/>
      <c r="X557" s="565"/>
      <c r="Y557" t="str">
        <f t="shared" ca="1" si="26"/>
        <v>PAGO</v>
      </c>
      <c r="AA557" t="s">
        <v>404</v>
      </c>
    </row>
    <row r="558" spans="1:27" x14ac:dyDescent="0.3">
      <c r="A558" t="s">
        <v>216</v>
      </c>
      <c r="B558" s="562">
        <v>2026</v>
      </c>
      <c r="C558" t="s">
        <v>248</v>
      </c>
      <c r="D558">
        <v>22311</v>
      </c>
      <c r="E558">
        <v>4095</v>
      </c>
      <c r="F558" s="179">
        <v>46105</v>
      </c>
      <c r="G558" t="s">
        <v>236</v>
      </c>
      <c r="I558" t="s">
        <v>270</v>
      </c>
      <c r="J558" s="583">
        <v>0</v>
      </c>
      <c r="K558" s="583">
        <v>1128.48</v>
      </c>
      <c r="L558" s="565">
        <f t="shared" si="24"/>
        <v>1128.48</v>
      </c>
      <c r="M558" s="179">
        <v>46147</v>
      </c>
      <c r="N558" s="179">
        <v>46139</v>
      </c>
      <c r="O558" s="565">
        <v>1128.51</v>
      </c>
      <c r="P558" s="565">
        <f t="shared" si="25"/>
        <v>-2.9999999999972715E-2</v>
      </c>
      <c r="Q558" s="565"/>
      <c r="R558" s="565"/>
      <c r="S558" s="565"/>
      <c r="T558" s="565"/>
      <c r="U558" s="565"/>
      <c r="V558" s="565"/>
      <c r="W558" s="565"/>
      <c r="X558" s="565"/>
      <c r="Y558" t="str">
        <f t="shared" ca="1" si="26"/>
        <v>PAGO</v>
      </c>
      <c r="AA558" t="s">
        <v>404</v>
      </c>
    </row>
    <row r="559" spans="1:27" ht="14.55" x14ac:dyDescent="0.3">
      <c r="A559" t="s">
        <v>216</v>
      </c>
      <c r="B559" s="562">
        <v>2026</v>
      </c>
      <c r="C559" t="s">
        <v>249</v>
      </c>
      <c r="D559">
        <v>22345</v>
      </c>
      <c r="E559">
        <v>4199</v>
      </c>
      <c r="F559" s="179">
        <v>46107</v>
      </c>
      <c r="G559" t="s">
        <v>310</v>
      </c>
      <c r="I559" t="s">
        <v>272</v>
      </c>
      <c r="J559" s="583">
        <v>828</v>
      </c>
      <c r="K559" s="583">
        <v>0</v>
      </c>
      <c r="L559" s="565">
        <f t="shared" si="24"/>
        <v>828</v>
      </c>
      <c r="M559" s="179">
        <v>46152</v>
      </c>
      <c r="N559" s="179">
        <v>46107</v>
      </c>
      <c r="O559" s="565">
        <v>828</v>
      </c>
      <c r="P559" s="565">
        <f t="shared" si="25"/>
        <v>0</v>
      </c>
      <c r="Q559" s="565"/>
      <c r="R559" s="565"/>
      <c r="S559" s="565"/>
      <c r="T559" s="565"/>
      <c r="U559" s="565"/>
      <c r="V559" s="565"/>
      <c r="W559" s="565"/>
      <c r="X559" s="565"/>
      <c r="Y559" t="str">
        <f t="shared" ca="1" si="26"/>
        <v>PAGO</v>
      </c>
      <c r="AA559" t="s">
        <v>404</v>
      </c>
    </row>
    <row r="560" spans="1:27" x14ac:dyDescent="0.3">
      <c r="A560" t="s">
        <v>216</v>
      </c>
      <c r="B560" s="562">
        <v>2026</v>
      </c>
      <c r="C560" t="s">
        <v>249</v>
      </c>
      <c r="D560">
        <v>22381</v>
      </c>
      <c r="E560">
        <v>4184</v>
      </c>
      <c r="F560" s="179">
        <v>46108</v>
      </c>
      <c r="G560" t="s">
        <v>254</v>
      </c>
      <c r="I560" t="s">
        <v>271</v>
      </c>
      <c r="J560" s="583">
        <v>573.84</v>
      </c>
      <c r="K560" s="583">
        <v>0</v>
      </c>
      <c r="L560" s="565">
        <f t="shared" si="24"/>
        <v>573.84</v>
      </c>
      <c r="M560" s="179">
        <v>46122</v>
      </c>
      <c r="O560" s="565"/>
      <c r="P560" s="565">
        <f t="shared" si="25"/>
        <v>573.84</v>
      </c>
      <c r="Q560" s="565"/>
      <c r="R560" s="565"/>
      <c r="S560" s="565"/>
      <c r="T560" s="565"/>
      <c r="U560" s="565"/>
      <c r="V560" s="565"/>
      <c r="W560" s="565"/>
      <c r="X560" s="565"/>
      <c r="Y560" t="str">
        <f t="shared" ca="1" si="26"/>
        <v>VENCIDO</v>
      </c>
      <c r="AA560" t="s">
        <v>404</v>
      </c>
    </row>
    <row r="561" spans="1:27" x14ac:dyDescent="0.3">
      <c r="A561" t="s">
        <v>216</v>
      </c>
      <c r="B561" s="562">
        <v>2026</v>
      </c>
      <c r="C561" t="s">
        <v>249</v>
      </c>
      <c r="D561">
        <v>22381</v>
      </c>
      <c r="E561">
        <v>4184</v>
      </c>
      <c r="F561" s="179">
        <v>46108</v>
      </c>
      <c r="G561" t="s">
        <v>254</v>
      </c>
      <c r="I561" t="s">
        <v>271</v>
      </c>
      <c r="J561" s="583">
        <v>573.84</v>
      </c>
      <c r="K561" s="583">
        <v>0</v>
      </c>
      <c r="L561" s="565">
        <f t="shared" si="24"/>
        <v>573.84</v>
      </c>
      <c r="M561" s="179">
        <v>46129</v>
      </c>
      <c r="O561" s="565"/>
      <c r="P561" s="565">
        <f t="shared" si="25"/>
        <v>573.84</v>
      </c>
      <c r="Q561" s="565"/>
      <c r="R561" s="565"/>
      <c r="S561" s="565"/>
      <c r="T561" s="565"/>
      <c r="U561" s="565"/>
      <c r="V561" s="565"/>
      <c r="W561" s="565"/>
      <c r="X561" s="565"/>
      <c r="Y561" t="str">
        <f t="shared" ca="1" si="26"/>
        <v>VENCIDO</v>
      </c>
      <c r="AA561" t="s">
        <v>404</v>
      </c>
    </row>
    <row r="562" spans="1:27" x14ac:dyDescent="0.3">
      <c r="A562" t="s">
        <v>216</v>
      </c>
      <c r="B562" s="562">
        <v>2026</v>
      </c>
      <c r="C562" t="s">
        <v>249</v>
      </c>
      <c r="D562">
        <v>22381</v>
      </c>
      <c r="E562">
        <v>4184</v>
      </c>
      <c r="F562" s="179">
        <v>46108</v>
      </c>
      <c r="G562" t="s">
        <v>254</v>
      </c>
      <c r="I562" t="s">
        <v>271</v>
      </c>
      <c r="J562" s="583">
        <v>573.84</v>
      </c>
      <c r="K562" s="583">
        <v>0</v>
      </c>
      <c r="L562" s="565">
        <f t="shared" si="24"/>
        <v>573.84</v>
      </c>
      <c r="M562" s="179">
        <v>46136</v>
      </c>
      <c r="O562" s="565"/>
      <c r="P562" s="565">
        <f t="shared" si="25"/>
        <v>573.84</v>
      </c>
      <c r="Q562" s="565"/>
      <c r="R562" s="565"/>
      <c r="S562" s="565"/>
      <c r="T562" s="565"/>
      <c r="U562" s="565"/>
      <c r="V562" s="565"/>
      <c r="W562" s="565"/>
      <c r="X562" s="565"/>
      <c r="Y562" t="str">
        <f t="shared" ca="1" si="26"/>
        <v>VENCIDO</v>
      </c>
      <c r="AA562" t="s">
        <v>404</v>
      </c>
    </row>
    <row r="563" spans="1:27" x14ac:dyDescent="0.3">
      <c r="A563" t="s">
        <v>216</v>
      </c>
      <c r="B563" s="562">
        <v>2026</v>
      </c>
      <c r="C563" t="s">
        <v>249</v>
      </c>
      <c r="D563">
        <v>22381</v>
      </c>
      <c r="E563">
        <v>4184</v>
      </c>
      <c r="F563" s="179">
        <v>46108</v>
      </c>
      <c r="G563" t="s">
        <v>254</v>
      </c>
      <c r="I563" t="s">
        <v>271</v>
      </c>
      <c r="J563" s="583">
        <v>573.84</v>
      </c>
      <c r="K563" s="583">
        <v>0</v>
      </c>
      <c r="L563" s="565">
        <f t="shared" si="24"/>
        <v>573.84</v>
      </c>
      <c r="M563" s="179">
        <v>46143</v>
      </c>
      <c r="O563" s="565"/>
      <c r="P563" s="565">
        <f t="shared" si="25"/>
        <v>573.84</v>
      </c>
      <c r="Q563" s="565"/>
      <c r="R563" s="565"/>
      <c r="S563" s="565"/>
      <c r="T563" s="565"/>
      <c r="U563" s="565"/>
      <c r="V563" s="565"/>
      <c r="W563" s="565"/>
      <c r="X563" s="565"/>
      <c r="Y563" t="str">
        <f t="shared" ca="1" si="26"/>
        <v>VENCIDO</v>
      </c>
      <c r="AA563" t="s">
        <v>404</v>
      </c>
    </row>
    <row r="564" spans="1:27" x14ac:dyDescent="0.3">
      <c r="A564" t="s">
        <v>216</v>
      </c>
      <c r="B564" s="562">
        <v>2026</v>
      </c>
      <c r="C564" t="s">
        <v>249</v>
      </c>
      <c r="D564">
        <v>22381</v>
      </c>
      <c r="E564">
        <v>4184</v>
      </c>
      <c r="F564" s="179">
        <v>46108</v>
      </c>
      <c r="G564" t="s">
        <v>254</v>
      </c>
      <c r="I564" t="s">
        <v>271</v>
      </c>
      <c r="J564" s="583">
        <v>573.84</v>
      </c>
      <c r="K564" s="583">
        <v>0</v>
      </c>
      <c r="L564" s="565">
        <f t="shared" si="24"/>
        <v>573.84</v>
      </c>
      <c r="M564" s="179">
        <v>46150</v>
      </c>
      <c r="O564" s="565"/>
      <c r="P564" s="565">
        <f t="shared" si="25"/>
        <v>573.84</v>
      </c>
      <c r="Q564" s="565"/>
      <c r="R564" s="565"/>
      <c r="S564" s="565"/>
      <c r="T564" s="565"/>
      <c r="U564" s="565"/>
      <c r="V564" s="565"/>
      <c r="W564" s="565"/>
      <c r="X564" s="565"/>
      <c r="Y564" t="str">
        <f t="shared" ca="1" si="26"/>
        <v>VENCIDO</v>
      </c>
      <c r="AA564" t="s">
        <v>404</v>
      </c>
    </row>
    <row r="565" spans="1:27" x14ac:dyDescent="0.3">
      <c r="A565" t="s">
        <v>216</v>
      </c>
      <c r="B565" s="562">
        <v>2026</v>
      </c>
      <c r="C565" t="s">
        <v>248</v>
      </c>
      <c r="D565">
        <v>22385</v>
      </c>
      <c r="E565">
        <v>4200</v>
      </c>
      <c r="F565" s="179">
        <v>46108</v>
      </c>
      <c r="G565" t="s">
        <v>237</v>
      </c>
      <c r="I565" t="s">
        <v>270</v>
      </c>
      <c r="J565" s="583">
        <v>0</v>
      </c>
      <c r="K565" s="583">
        <v>821.21</v>
      </c>
      <c r="L565" s="565">
        <f t="shared" si="24"/>
        <v>821.21</v>
      </c>
      <c r="M565" s="179">
        <v>46129</v>
      </c>
      <c r="N565" s="179">
        <v>46129</v>
      </c>
      <c r="O565" s="565">
        <v>821.21</v>
      </c>
      <c r="P565" s="565">
        <f t="shared" si="25"/>
        <v>0</v>
      </c>
      <c r="Q565" s="565"/>
      <c r="R565" s="565"/>
      <c r="S565" s="565"/>
      <c r="T565" s="565"/>
      <c r="U565" s="565"/>
      <c r="V565" s="565"/>
      <c r="W565" s="565"/>
      <c r="X565" s="565"/>
      <c r="Y565" t="str">
        <f t="shared" ca="1" si="26"/>
        <v>PAGO</v>
      </c>
      <c r="AA565" t="s">
        <v>404</v>
      </c>
    </row>
    <row r="566" spans="1:27" x14ac:dyDescent="0.3">
      <c r="A566" t="s">
        <v>216</v>
      </c>
      <c r="B566" s="562">
        <v>2026</v>
      </c>
      <c r="C566" t="s">
        <v>249</v>
      </c>
      <c r="D566">
        <v>22371</v>
      </c>
      <c r="E566">
        <v>4207</v>
      </c>
      <c r="F566" s="179">
        <v>46108</v>
      </c>
      <c r="G566" t="s">
        <v>264</v>
      </c>
      <c r="I566" t="s">
        <v>271</v>
      </c>
      <c r="J566" s="583">
        <v>1892.4</v>
      </c>
      <c r="K566" s="583">
        <v>0</v>
      </c>
      <c r="L566" s="565">
        <f t="shared" si="24"/>
        <v>1892.4</v>
      </c>
      <c r="M566" s="179">
        <v>46122</v>
      </c>
      <c r="N566" s="179">
        <v>46125</v>
      </c>
      <c r="O566" s="565">
        <v>1892.4</v>
      </c>
      <c r="P566" s="565">
        <f t="shared" si="25"/>
        <v>0</v>
      </c>
      <c r="Q566" s="565"/>
      <c r="R566" s="565"/>
      <c r="S566" s="565"/>
      <c r="T566" s="565"/>
      <c r="U566" s="565"/>
      <c r="V566" s="565"/>
      <c r="W566" s="565"/>
      <c r="X566" s="565"/>
      <c r="Y566" t="str">
        <f t="shared" ca="1" si="26"/>
        <v>PAGO</v>
      </c>
      <c r="AA566" t="s">
        <v>404</v>
      </c>
    </row>
    <row r="567" spans="1:27" x14ac:dyDescent="0.3">
      <c r="A567" t="s">
        <v>216</v>
      </c>
      <c r="B567" s="562">
        <v>2026</v>
      </c>
      <c r="C567" t="s">
        <v>249</v>
      </c>
      <c r="D567">
        <v>22371</v>
      </c>
      <c r="E567">
        <v>4207</v>
      </c>
      <c r="F567" s="179">
        <v>46108</v>
      </c>
      <c r="G567" t="s">
        <v>264</v>
      </c>
      <c r="I567" t="s">
        <v>271</v>
      </c>
      <c r="J567" s="583">
        <v>1892.4</v>
      </c>
      <c r="K567" s="583">
        <v>0</v>
      </c>
      <c r="L567" s="565">
        <f t="shared" si="24"/>
        <v>1892.4</v>
      </c>
      <c r="M567" s="179">
        <v>46129</v>
      </c>
      <c r="N567" s="179">
        <v>46129</v>
      </c>
      <c r="O567" s="565">
        <v>1892.4</v>
      </c>
      <c r="P567" s="565">
        <f t="shared" si="25"/>
        <v>0</v>
      </c>
      <c r="Q567" s="565"/>
      <c r="R567" s="565"/>
      <c r="S567" s="565"/>
      <c r="T567" s="565"/>
      <c r="U567" s="565"/>
      <c r="V567" s="565"/>
      <c r="W567" s="565"/>
      <c r="X567" s="565"/>
      <c r="Y567" t="str">
        <f t="shared" ca="1" si="26"/>
        <v>PAGO</v>
      </c>
      <c r="AA567" t="s">
        <v>404</v>
      </c>
    </row>
    <row r="568" spans="1:27" x14ac:dyDescent="0.3">
      <c r="A568" t="s">
        <v>216</v>
      </c>
      <c r="B568" s="562">
        <v>2026</v>
      </c>
      <c r="C568" t="s">
        <v>249</v>
      </c>
      <c r="D568">
        <v>22371</v>
      </c>
      <c r="E568">
        <v>4207</v>
      </c>
      <c r="F568" s="179">
        <v>46108</v>
      </c>
      <c r="G568" t="s">
        <v>264</v>
      </c>
      <c r="I568" t="s">
        <v>271</v>
      </c>
      <c r="J568" s="583">
        <v>1892.4</v>
      </c>
      <c r="K568" s="583">
        <v>0</v>
      </c>
      <c r="L568" s="565">
        <f t="shared" si="24"/>
        <v>1892.4</v>
      </c>
      <c r="M568" s="179">
        <v>46136</v>
      </c>
      <c r="N568" s="179">
        <v>46136</v>
      </c>
      <c r="O568" s="565">
        <v>1892.4</v>
      </c>
      <c r="P568" s="565">
        <f t="shared" si="25"/>
        <v>0</v>
      </c>
      <c r="Q568" s="565"/>
      <c r="R568" s="565"/>
      <c r="S568" s="565"/>
      <c r="T568" s="565"/>
      <c r="U568" s="565"/>
      <c r="V568" s="565"/>
      <c r="W568" s="565"/>
      <c r="X568" s="565"/>
      <c r="Y568" t="str">
        <f t="shared" ca="1" si="26"/>
        <v>PAGO</v>
      </c>
      <c r="AA568" t="s">
        <v>404</v>
      </c>
    </row>
    <row r="569" spans="1:27" x14ac:dyDescent="0.3">
      <c r="A569" t="s">
        <v>216</v>
      </c>
      <c r="B569" s="562">
        <v>2026</v>
      </c>
      <c r="C569" t="s">
        <v>249</v>
      </c>
      <c r="D569">
        <v>22379</v>
      </c>
      <c r="E569">
        <v>4208</v>
      </c>
      <c r="F569" s="179">
        <v>46108</v>
      </c>
      <c r="G569" t="s">
        <v>264</v>
      </c>
      <c r="I569" t="s">
        <v>271</v>
      </c>
      <c r="J569" s="583">
        <v>942.66666666666697</v>
      </c>
      <c r="K569" s="583">
        <v>0</v>
      </c>
      <c r="L569" s="565">
        <f t="shared" si="24"/>
        <v>942.66666666666697</v>
      </c>
      <c r="M569" s="179">
        <v>46125</v>
      </c>
      <c r="N569" s="179">
        <v>46125</v>
      </c>
      <c r="O569" s="565">
        <v>942.66</v>
      </c>
      <c r="P569" s="565">
        <f t="shared" si="25"/>
        <v>6.6666666670016639E-3</v>
      </c>
      <c r="Q569" s="565"/>
      <c r="R569" s="565"/>
      <c r="S569" s="565"/>
      <c r="T569" s="565"/>
      <c r="U569" s="565"/>
      <c r="V569" s="565"/>
      <c r="W569" s="565"/>
      <c r="X569" s="565"/>
      <c r="Y569" t="str">
        <f t="shared" ca="1" si="26"/>
        <v>PAGO</v>
      </c>
      <c r="AA569" t="s">
        <v>404</v>
      </c>
    </row>
    <row r="570" spans="1:27" x14ac:dyDescent="0.3">
      <c r="A570" t="s">
        <v>216</v>
      </c>
      <c r="B570" s="562">
        <v>2026</v>
      </c>
      <c r="C570" t="s">
        <v>249</v>
      </c>
      <c r="D570">
        <v>22379</v>
      </c>
      <c r="E570">
        <v>4208</v>
      </c>
      <c r="F570" s="179">
        <v>46108</v>
      </c>
      <c r="G570" t="s">
        <v>264</v>
      </c>
      <c r="I570" t="s">
        <v>271</v>
      </c>
      <c r="J570" s="583">
        <v>942.66666666666697</v>
      </c>
      <c r="K570" s="583">
        <v>0</v>
      </c>
      <c r="L570" s="565">
        <f t="shared" si="24"/>
        <v>942.66666666666697</v>
      </c>
      <c r="M570" s="179">
        <v>46132</v>
      </c>
      <c r="N570" s="179">
        <v>46132</v>
      </c>
      <c r="O570" s="565">
        <v>942.66</v>
      </c>
      <c r="P570" s="565">
        <f t="shared" si="25"/>
        <v>6.6666666670016639E-3</v>
      </c>
      <c r="Q570" s="565"/>
      <c r="R570" s="565"/>
      <c r="S570" s="565"/>
      <c r="T570" s="565"/>
      <c r="U570" s="565"/>
      <c r="V570" s="565"/>
      <c r="W570" s="565"/>
      <c r="X570" s="565"/>
      <c r="Y570" t="str">
        <f t="shared" ca="1" si="26"/>
        <v>PAGO</v>
      </c>
      <c r="AA570" t="s">
        <v>404</v>
      </c>
    </row>
    <row r="571" spans="1:27" x14ac:dyDescent="0.3">
      <c r="A571" t="s">
        <v>216</v>
      </c>
      <c r="B571" s="562">
        <v>2026</v>
      </c>
      <c r="C571" t="s">
        <v>249</v>
      </c>
      <c r="D571">
        <v>22379</v>
      </c>
      <c r="E571">
        <v>4208</v>
      </c>
      <c r="F571" s="179">
        <v>46108</v>
      </c>
      <c r="G571" t="s">
        <v>264</v>
      </c>
      <c r="I571" t="s">
        <v>271</v>
      </c>
      <c r="J571" s="583">
        <v>942.66666666666697</v>
      </c>
      <c r="K571" s="583">
        <v>0</v>
      </c>
      <c r="L571" s="565">
        <f t="shared" si="24"/>
        <v>942.66666666666697</v>
      </c>
      <c r="M571" s="179">
        <v>46139</v>
      </c>
      <c r="N571" s="179">
        <v>46139</v>
      </c>
      <c r="O571" s="565">
        <v>942.66</v>
      </c>
      <c r="P571" s="565">
        <f t="shared" si="25"/>
        <v>6.6666666670016639E-3</v>
      </c>
      <c r="Q571" s="565"/>
      <c r="R571" s="565"/>
      <c r="S571" s="565"/>
      <c r="T571" s="565"/>
      <c r="U571" s="565"/>
      <c r="V571" s="565"/>
      <c r="W571" s="565"/>
      <c r="X571" s="565"/>
      <c r="Y571" t="str">
        <f t="shared" ca="1" si="26"/>
        <v>PAGO</v>
      </c>
      <c r="AA571" t="s">
        <v>404</v>
      </c>
    </row>
    <row r="572" spans="1:27" x14ac:dyDescent="0.3">
      <c r="A572" t="s">
        <v>216</v>
      </c>
      <c r="B572" s="562">
        <v>2026</v>
      </c>
      <c r="C572" t="s">
        <v>249</v>
      </c>
      <c r="D572">
        <v>22368</v>
      </c>
      <c r="E572">
        <v>4205</v>
      </c>
      <c r="F572" s="179">
        <v>46108</v>
      </c>
      <c r="G572" t="s">
        <v>264</v>
      </c>
      <c r="I572" t="s">
        <v>271</v>
      </c>
      <c r="J572" s="583">
        <v>4990</v>
      </c>
      <c r="K572" s="583">
        <v>0</v>
      </c>
      <c r="L572" s="565">
        <f t="shared" si="24"/>
        <v>4990</v>
      </c>
      <c r="M572" s="179">
        <v>46122</v>
      </c>
      <c r="N572" s="179">
        <v>46122</v>
      </c>
      <c r="O572" s="565">
        <v>4990</v>
      </c>
      <c r="P572" s="565">
        <f t="shared" si="25"/>
        <v>0</v>
      </c>
      <c r="Q572" s="565"/>
      <c r="R572" s="565"/>
      <c r="S572" s="565"/>
      <c r="T572" s="565"/>
      <c r="U572" s="565"/>
      <c r="V572" s="565"/>
      <c r="W572" s="565"/>
      <c r="X572" s="565"/>
      <c r="Y572" t="str">
        <f t="shared" ca="1" si="26"/>
        <v>PAGO</v>
      </c>
      <c r="AA572" t="s">
        <v>404</v>
      </c>
    </row>
    <row r="573" spans="1:27" x14ac:dyDescent="0.3">
      <c r="A573" t="s">
        <v>216</v>
      </c>
      <c r="B573" s="562">
        <v>2026</v>
      </c>
      <c r="C573" t="s">
        <v>249</v>
      </c>
      <c r="D573">
        <v>22368</v>
      </c>
      <c r="E573">
        <v>4205</v>
      </c>
      <c r="F573" s="179">
        <v>46108</v>
      </c>
      <c r="G573" t="s">
        <v>264</v>
      </c>
      <c r="I573" t="s">
        <v>271</v>
      </c>
      <c r="J573" s="583">
        <v>4990</v>
      </c>
      <c r="K573" s="583">
        <v>0</v>
      </c>
      <c r="L573" s="565">
        <f t="shared" si="24"/>
        <v>4990</v>
      </c>
      <c r="M573" s="179">
        <v>46129</v>
      </c>
      <c r="N573" s="179">
        <v>46129</v>
      </c>
      <c r="O573" s="565">
        <v>4990</v>
      </c>
      <c r="P573" s="565">
        <f t="shared" si="25"/>
        <v>0</v>
      </c>
      <c r="Q573" s="565"/>
      <c r="R573" s="565"/>
      <c r="S573" s="565"/>
      <c r="T573" s="565"/>
      <c r="U573" s="565"/>
      <c r="V573" s="565"/>
      <c r="W573" s="565"/>
      <c r="X573" s="565"/>
      <c r="Y573" t="str">
        <f t="shared" ca="1" si="26"/>
        <v>PAGO</v>
      </c>
      <c r="AA573" t="s">
        <v>404</v>
      </c>
    </row>
    <row r="574" spans="1:27" x14ac:dyDescent="0.3">
      <c r="A574" t="s">
        <v>216</v>
      </c>
      <c r="B574" s="562">
        <v>2026</v>
      </c>
      <c r="C574" t="s">
        <v>249</v>
      </c>
      <c r="D574">
        <v>22368</v>
      </c>
      <c r="E574">
        <v>4205</v>
      </c>
      <c r="F574" s="179">
        <v>46108</v>
      </c>
      <c r="G574" t="s">
        <v>264</v>
      </c>
      <c r="I574" t="s">
        <v>271</v>
      </c>
      <c r="J574" s="583">
        <v>4990</v>
      </c>
      <c r="K574" s="583">
        <v>0</v>
      </c>
      <c r="L574" s="565">
        <f t="shared" si="24"/>
        <v>4990</v>
      </c>
      <c r="M574" s="179">
        <v>46136</v>
      </c>
      <c r="N574" s="179">
        <v>46136</v>
      </c>
      <c r="O574" s="565">
        <v>4990</v>
      </c>
      <c r="P574" s="565">
        <f t="shared" si="25"/>
        <v>0</v>
      </c>
      <c r="Q574" s="565"/>
      <c r="R574" s="565"/>
      <c r="S574" s="565"/>
      <c r="T574" s="565"/>
      <c r="U574" s="565"/>
      <c r="V574" s="565"/>
      <c r="W574" s="565"/>
      <c r="X574" s="565"/>
      <c r="Y574" t="str">
        <f t="shared" ca="1" si="26"/>
        <v>PAGO</v>
      </c>
      <c r="AA574" t="s">
        <v>404</v>
      </c>
    </row>
    <row r="575" spans="1:27" x14ac:dyDescent="0.3">
      <c r="A575" t="s">
        <v>216</v>
      </c>
      <c r="B575" s="562">
        <v>2026</v>
      </c>
      <c r="C575" t="s">
        <v>248</v>
      </c>
      <c r="D575">
        <v>22432</v>
      </c>
      <c r="E575">
        <v>4193</v>
      </c>
      <c r="F575" s="179">
        <v>46112</v>
      </c>
      <c r="G575" t="s">
        <v>236</v>
      </c>
      <c r="I575" t="s">
        <v>270</v>
      </c>
      <c r="J575" s="583">
        <v>1583.89</v>
      </c>
      <c r="K575" s="583">
        <v>0</v>
      </c>
      <c r="L575" s="565">
        <f t="shared" si="24"/>
        <v>1583.89</v>
      </c>
      <c r="M575" s="179">
        <v>46140</v>
      </c>
      <c r="N575" s="179">
        <v>46139</v>
      </c>
      <c r="O575" s="565">
        <v>1583.9</v>
      </c>
      <c r="P575" s="565">
        <f t="shared" si="25"/>
        <v>-9.9999999999909051E-3</v>
      </c>
      <c r="Q575" s="565"/>
      <c r="R575" s="565"/>
      <c r="S575" s="565"/>
      <c r="T575" s="565"/>
      <c r="U575" s="565"/>
      <c r="V575" s="565"/>
      <c r="W575" s="565"/>
      <c r="X575" s="565"/>
      <c r="Y575" t="str">
        <f t="shared" ca="1" si="26"/>
        <v>PAGO</v>
      </c>
      <c r="AA575" t="s">
        <v>404</v>
      </c>
    </row>
    <row r="576" spans="1:27" x14ac:dyDescent="0.3">
      <c r="A576" t="s">
        <v>216</v>
      </c>
      <c r="B576" s="562">
        <v>2026</v>
      </c>
      <c r="C576" t="s">
        <v>248</v>
      </c>
      <c r="D576">
        <v>22432</v>
      </c>
      <c r="E576">
        <v>4193</v>
      </c>
      <c r="F576" s="179">
        <v>46112</v>
      </c>
      <c r="G576" t="s">
        <v>236</v>
      </c>
      <c r="I576" t="s">
        <v>270</v>
      </c>
      <c r="J576" s="583">
        <v>1583.89</v>
      </c>
      <c r="K576" s="583">
        <v>0</v>
      </c>
      <c r="L576" s="565">
        <f t="shared" si="24"/>
        <v>1583.89</v>
      </c>
      <c r="M576" s="179">
        <v>46147</v>
      </c>
      <c r="N576" s="179">
        <v>46139</v>
      </c>
      <c r="O576" s="565">
        <v>1583.9</v>
      </c>
      <c r="P576" s="565">
        <f t="shared" si="25"/>
        <v>-9.9999999999909051E-3</v>
      </c>
      <c r="Q576" s="565"/>
      <c r="R576" s="565"/>
      <c r="S576" s="565"/>
      <c r="T576" s="565"/>
      <c r="U576" s="565"/>
      <c r="V576" s="565"/>
      <c r="W576" s="565"/>
      <c r="X576" s="565"/>
      <c r="Y576" t="str">
        <f t="shared" ca="1" si="26"/>
        <v>PAGO</v>
      </c>
      <c r="AA576" t="s">
        <v>404</v>
      </c>
    </row>
    <row r="577" spans="1:27" x14ac:dyDescent="0.3">
      <c r="A577" t="s">
        <v>216</v>
      </c>
      <c r="B577" s="562">
        <v>2026</v>
      </c>
      <c r="C577" t="s">
        <v>248</v>
      </c>
      <c r="D577">
        <v>22432</v>
      </c>
      <c r="E577">
        <v>4193</v>
      </c>
      <c r="F577" s="179">
        <v>46112</v>
      </c>
      <c r="G577" t="s">
        <v>236</v>
      </c>
      <c r="I577" t="s">
        <v>270</v>
      </c>
      <c r="J577" s="583">
        <v>1583.89</v>
      </c>
      <c r="K577" s="583">
        <v>0</v>
      </c>
      <c r="L577" s="565">
        <f t="shared" si="24"/>
        <v>1583.89</v>
      </c>
      <c r="M577" s="179">
        <v>46154</v>
      </c>
      <c r="N577" s="179">
        <v>46139</v>
      </c>
      <c r="O577" s="565">
        <v>1583.9</v>
      </c>
      <c r="P577" s="565">
        <f t="shared" si="25"/>
        <v>-9.9999999999909051E-3</v>
      </c>
      <c r="Q577" s="565"/>
      <c r="R577" s="565"/>
      <c r="S577" s="565"/>
      <c r="T577" s="565"/>
      <c r="U577" s="565"/>
      <c r="V577" s="565"/>
      <c r="W577" s="565"/>
      <c r="X577" s="565"/>
      <c r="Y577" t="str">
        <f t="shared" ca="1" si="26"/>
        <v>PAGO</v>
      </c>
      <c r="AA577" t="s">
        <v>404</v>
      </c>
    </row>
    <row r="578" spans="1:27" x14ac:dyDescent="0.3">
      <c r="A578" t="s">
        <v>217</v>
      </c>
      <c r="B578" s="562">
        <v>2026</v>
      </c>
      <c r="C578" t="s">
        <v>249</v>
      </c>
      <c r="D578">
        <v>826</v>
      </c>
      <c r="E578">
        <v>784</v>
      </c>
      <c r="F578" s="179">
        <v>46114</v>
      </c>
      <c r="G578" t="s">
        <v>264</v>
      </c>
      <c r="I578" t="s">
        <v>271</v>
      </c>
      <c r="J578" s="583">
        <v>5867.2</v>
      </c>
      <c r="K578" s="583">
        <v>0</v>
      </c>
      <c r="L578" s="565">
        <f t="shared" si="24"/>
        <v>5867.2</v>
      </c>
      <c r="M578" s="179">
        <v>46142</v>
      </c>
      <c r="N578" s="179">
        <v>46141</v>
      </c>
      <c r="O578" s="565">
        <v>5867.2</v>
      </c>
      <c r="P578" s="565">
        <f t="shared" si="25"/>
        <v>0</v>
      </c>
      <c r="Q578" s="565"/>
      <c r="R578" s="565"/>
      <c r="S578" s="565"/>
      <c r="T578" s="565"/>
      <c r="U578" s="565"/>
      <c r="V578" s="565"/>
      <c r="W578" s="565"/>
      <c r="X578" s="565"/>
      <c r="Y578" t="str">
        <f t="shared" ca="1" si="26"/>
        <v>PAGO</v>
      </c>
      <c r="AA578" t="s">
        <v>408</v>
      </c>
    </row>
    <row r="579" spans="1:27" x14ac:dyDescent="0.3">
      <c r="A579" t="s">
        <v>217</v>
      </c>
      <c r="B579" s="562">
        <v>2026</v>
      </c>
      <c r="C579" t="s">
        <v>249</v>
      </c>
      <c r="D579">
        <v>826</v>
      </c>
      <c r="E579">
        <v>784</v>
      </c>
      <c r="F579" s="179">
        <v>46114</v>
      </c>
      <c r="G579" t="s">
        <v>264</v>
      </c>
      <c r="I579" t="s">
        <v>271</v>
      </c>
      <c r="J579" s="583">
        <v>5867.2</v>
      </c>
      <c r="K579" s="583">
        <v>0</v>
      </c>
      <c r="L579" s="565">
        <f t="shared" ref="L579:L642" si="27">J579+K579</f>
        <v>5867.2</v>
      </c>
      <c r="M579" s="179">
        <v>46149</v>
      </c>
      <c r="N579" s="179">
        <v>46150</v>
      </c>
      <c r="O579" s="565">
        <v>5867.2</v>
      </c>
      <c r="P579" s="565">
        <f t="shared" ref="P579:P642" si="28">L579-O579</f>
        <v>0</v>
      </c>
      <c r="Q579" s="565"/>
      <c r="R579" s="565"/>
      <c r="S579" s="565"/>
      <c r="T579" s="565"/>
      <c r="U579" s="565"/>
      <c r="V579" s="565"/>
      <c r="W579" s="565"/>
      <c r="X579" s="565"/>
      <c r="Y579" t="str">
        <f t="shared" ref="Y579:Y642" ca="1" si="29">IF(L579=0,"SEM VALOR",IF(P579&lt;=0.01,"PAGO",IF(M579="","SEM VENCIMENTO",IF(M579&lt;TODAY(),"VENCIDO","A VENCER"))))</f>
        <v>PAGO</v>
      </c>
      <c r="AA579" t="s">
        <v>408</v>
      </c>
    </row>
    <row r="580" spans="1:27" x14ac:dyDescent="0.3">
      <c r="A580" t="s">
        <v>217</v>
      </c>
      <c r="B580" s="562">
        <v>2026</v>
      </c>
      <c r="C580" t="s">
        <v>249</v>
      </c>
      <c r="D580">
        <v>826</v>
      </c>
      <c r="E580">
        <v>784</v>
      </c>
      <c r="F580" s="179">
        <v>46114</v>
      </c>
      <c r="G580" t="s">
        <v>264</v>
      </c>
      <c r="I580" t="s">
        <v>271</v>
      </c>
      <c r="J580" s="583">
        <v>5867.2</v>
      </c>
      <c r="K580" s="583">
        <v>0</v>
      </c>
      <c r="L580" s="565">
        <f t="shared" si="27"/>
        <v>5867.2</v>
      </c>
      <c r="M580" s="179">
        <v>46156</v>
      </c>
      <c r="N580" s="179">
        <v>46157</v>
      </c>
      <c r="O580" s="565">
        <v>5867.2</v>
      </c>
      <c r="P580" s="565">
        <f t="shared" si="28"/>
        <v>0</v>
      </c>
      <c r="Q580" s="565"/>
      <c r="R580" s="565"/>
      <c r="S580" s="565"/>
      <c r="T580" s="565"/>
      <c r="U580" s="565"/>
      <c r="V580" s="565"/>
      <c r="W580" s="565"/>
      <c r="X580" s="565"/>
      <c r="Y580" t="str">
        <f t="shared" ca="1" si="29"/>
        <v>PAGO</v>
      </c>
      <c r="AA580" t="s">
        <v>408</v>
      </c>
    </row>
    <row r="581" spans="1:27" x14ac:dyDescent="0.3">
      <c r="A581" t="s">
        <v>217</v>
      </c>
      <c r="B581" s="562">
        <v>2026</v>
      </c>
      <c r="C581" t="s">
        <v>249</v>
      </c>
      <c r="D581">
        <v>829</v>
      </c>
      <c r="E581">
        <v>756</v>
      </c>
      <c r="F581" s="179">
        <v>46118</v>
      </c>
      <c r="G581" t="s">
        <v>339</v>
      </c>
      <c r="I581" t="s">
        <v>273</v>
      </c>
      <c r="J581" s="583">
        <v>2633.5</v>
      </c>
      <c r="K581" s="583">
        <v>0</v>
      </c>
      <c r="L581" s="565">
        <f t="shared" si="27"/>
        <v>2633.5</v>
      </c>
      <c r="M581" s="179">
        <v>46125</v>
      </c>
      <c r="N581" s="179">
        <v>46126</v>
      </c>
      <c r="O581" s="565">
        <v>2633.5</v>
      </c>
      <c r="P581" s="565">
        <f t="shared" si="28"/>
        <v>0</v>
      </c>
      <c r="Q581" s="565"/>
      <c r="R581" s="565"/>
      <c r="S581" s="565"/>
      <c r="T581" s="565"/>
      <c r="U581" s="565"/>
      <c r="V581" s="565"/>
      <c r="W581" s="565"/>
      <c r="X581" s="565"/>
      <c r="Y581" t="str">
        <f t="shared" ca="1" si="29"/>
        <v>PAGO</v>
      </c>
      <c r="AA581" t="s">
        <v>408</v>
      </c>
    </row>
    <row r="582" spans="1:27" x14ac:dyDescent="0.3">
      <c r="A582" t="s">
        <v>217</v>
      </c>
      <c r="B582" s="562">
        <v>2026</v>
      </c>
      <c r="C582" t="s">
        <v>249</v>
      </c>
      <c r="D582">
        <v>829</v>
      </c>
      <c r="E582">
        <v>756</v>
      </c>
      <c r="F582" s="179">
        <v>46118</v>
      </c>
      <c r="G582" t="s">
        <v>339</v>
      </c>
      <c r="I582" t="s">
        <v>273</v>
      </c>
      <c r="J582" s="583">
        <v>2632</v>
      </c>
      <c r="K582" s="583">
        <v>0</v>
      </c>
      <c r="L582" s="565">
        <f t="shared" si="27"/>
        <v>2632</v>
      </c>
      <c r="M582" s="179">
        <v>46132</v>
      </c>
      <c r="N582" s="179">
        <v>46126</v>
      </c>
      <c r="O582" s="565">
        <v>2632</v>
      </c>
      <c r="P582" s="565">
        <f t="shared" si="28"/>
        <v>0</v>
      </c>
      <c r="Q582" s="565"/>
      <c r="R582" s="565"/>
      <c r="S582" s="565"/>
      <c r="T582" s="565"/>
      <c r="U582" s="565"/>
      <c r="V582" s="565"/>
      <c r="W582" s="565"/>
      <c r="X582" s="565"/>
      <c r="Y582" t="str">
        <f t="shared" ca="1" si="29"/>
        <v>PAGO</v>
      </c>
      <c r="AA582" t="s">
        <v>408</v>
      </c>
    </row>
    <row r="583" spans="1:27" x14ac:dyDescent="0.3">
      <c r="A583" t="s">
        <v>217</v>
      </c>
      <c r="B583" s="562">
        <v>2026</v>
      </c>
      <c r="C583" t="s">
        <v>249</v>
      </c>
      <c r="D583">
        <v>829</v>
      </c>
      <c r="E583">
        <v>756</v>
      </c>
      <c r="F583" s="179">
        <v>46118</v>
      </c>
      <c r="G583" t="s">
        <v>339</v>
      </c>
      <c r="I583" t="s">
        <v>273</v>
      </c>
      <c r="J583" s="583">
        <v>2632</v>
      </c>
      <c r="K583" s="583">
        <v>0</v>
      </c>
      <c r="L583" s="565">
        <f t="shared" si="27"/>
        <v>2632</v>
      </c>
      <c r="M583" s="179">
        <v>46139</v>
      </c>
      <c r="N583" s="179">
        <v>46126</v>
      </c>
      <c r="O583" s="565">
        <v>2632</v>
      </c>
      <c r="P583" s="565">
        <f t="shared" si="28"/>
        <v>0</v>
      </c>
      <c r="Q583" s="565"/>
      <c r="R583" s="565"/>
      <c r="S583" s="565"/>
      <c r="T583" s="565"/>
      <c r="U583" s="565"/>
      <c r="V583" s="565"/>
      <c r="W583" s="565"/>
      <c r="X583" s="565"/>
      <c r="Y583" t="str">
        <f t="shared" ca="1" si="29"/>
        <v>PAGO</v>
      </c>
      <c r="AA583" t="s">
        <v>408</v>
      </c>
    </row>
    <row r="584" spans="1:27" x14ac:dyDescent="0.3">
      <c r="A584" t="s">
        <v>217</v>
      </c>
      <c r="B584" s="562">
        <v>2026</v>
      </c>
      <c r="C584" t="s">
        <v>249</v>
      </c>
      <c r="D584">
        <v>834</v>
      </c>
      <c r="E584">
        <v>795</v>
      </c>
      <c r="F584" s="179">
        <v>46119</v>
      </c>
      <c r="G584" t="s">
        <v>264</v>
      </c>
      <c r="I584" t="s">
        <v>271</v>
      </c>
      <c r="J584" s="583">
        <v>2828</v>
      </c>
      <c r="K584" s="583">
        <v>0</v>
      </c>
      <c r="L584" s="565">
        <f t="shared" si="27"/>
        <v>2828</v>
      </c>
      <c r="M584" s="179">
        <v>46133</v>
      </c>
      <c r="N584" s="179">
        <v>46134</v>
      </c>
      <c r="O584" s="565">
        <v>2828</v>
      </c>
      <c r="P584" s="565">
        <f t="shared" si="28"/>
        <v>0</v>
      </c>
      <c r="Q584" s="565"/>
      <c r="R584" s="565"/>
      <c r="S584" s="565"/>
      <c r="T584" s="565"/>
      <c r="U584" s="565"/>
      <c r="V584" s="565"/>
      <c r="W584" s="565"/>
      <c r="X584" s="565"/>
      <c r="Y584" t="str">
        <f t="shared" ca="1" si="29"/>
        <v>PAGO</v>
      </c>
      <c r="AA584" t="s">
        <v>408</v>
      </c>
    </row>
    <row r="585" spans="1:27" x14ac:dyDescent="0.3">
      <c r="A585" t="s">
        <v>217</v>
      </c>
      <c r="B585" s="562">
        <v>2026</v>
      </c>
      <c r="C585" t="s">
        <v>249</v>
      </c>
      <c r="D585">
        <v>834</v>
      </c>
      <c r="E585">
        <v>795</v>
      </c>
      <c r="F585" s="179">
        <v>46119</v>
      </c>
      <c r="G585" t="s">
        <v>264</v>
      </c>
      <c r="I585" t="s">
        <v>271</v>
      </c>
      <c r="J585" s="583">
        <v>2828</v>
      </c>
      <c r="K585" s="583">
        <v>0</v>
      </c>
      <c r="L585" s="565">
        <f t="shared" si="27"/>
        <v>2828</v>
      </c>
      <c r="M585" s="179">
        <v>46140</v>
      </c>
      <c r="N585" s="179">
        <v>46140</v>
      </c>
      <c r="O585" s="565">
        <v>2828</v>
      </c>
      <c r="P585" s="565">
        <f t="shared" si="28"/>
        <v>0</v>
      </c>
      <c r="Q585" s="565"/>
      <c r="R585" s="565"/>
      <c r="S585" s="565"/>
      <c r="T585" s="565"/>
      <c r="U585" s="565"/>
      <c r="V585" s="565"/>
      <c r="W585" s="565"/>
      <c r="X585" s="565"/>
      <c r="Y585" t="str">
        <f t="shared" ca="1" si="29"/>
        <v>PAGO</v>
      </c>
      <c r="AA585" t="s">
        <v>408</v>
      </c>
    </row>
    <row r="586" spans="1:27" x14ac:dyDescent="0.3">
      <c r="A586" t="s">
        <v>217</v>
      </c>
      <c r="B586" s="562">
        <v>2026</v>
      </c>
      <c r="C586" t="s">
        <v>248</v>
      </c>
      <c r="D586">
        <v>22542</v>
      </c>
      <c r="E586" t="s">
        <v>319</v>
      </c>
      <c r="F586" s="179">
        <v>46120</v>
      </c>
      <c r="G586" t="s">
        <v>338</v>
      </c>
      <c r="I586" t="s">
        <v>319</v>
      </c>
      <c r="J586" s="583">
        <v>534.79999999999995</v>
      </c>
      <c r="K586" s="583">
        <v>0</v>
      </c>
      <c r="L586" s="565">
        <f t="shared" si="27"/>
        <v>534.79999999999995</v>
      </c>
      <c r="N586" s="179">
        <v>46120</v>
      </c>
      <c r="O586" s="565">
        <v>534.79999999999995</v>
      </c>
      <c r="P586" s="565">
        <f t="shared" si="28"/>
        <v>0</v>
      </c>
      <c r="Q586" s="565"/>
      <c r="R586" s="565"/>
      <c r="S586" s="565"/>
      <c r="T586" s="565"/>
      <c r="U586" s="565"/>
      <c r="V586" s="565"/>
      <c r="W586" s="565"/>
      <c r="X586" s="565"/>
      <c r="Y586" t="str">
        <f t="shared" ca="1" si="29"/>
        <v>PAGO</v>
      </c>
      <c r="AA586" t="s">
        <v>408</v>
      </c>
    </row>
    <row r="587" spans="1:27" x14ac:dyDescent="0.3">
      <c r="A587" t="s">
        <v>217</v>
      </c>
      <c r="B587" s="562">
        <v>2026</v>
      </c>
      <c r="C587" t="s">
        <v>248</v>
      </c>
      <c r="D587">
        <v>22556</v>
      </c>
      <c r="E587">
        <v>4280</v>
      </c>
      <c r="F587" s="179">
        <v>46120</v>
      </c>
      <c r="G587" t="s">
        <v>236</v>
      </c>
      <c r="I587" t="s">
        <v>270</v>
      </c>
      <c r="J587" s="583">
        <v>0</v>
      </c>
      <c r="K587" s="583">
        <v>366.85</v>
      </c>
      <c r="L587" s="565">
        <f t="shared" si="27"/>
        <v>366.85</v>
      </c>
      <c r="M587" s="179">
        <v>46148</v>
      </c>
      <c r="N587" s="179">
        <v>46139</v>
      </c>
      <c r="O587" s="565">
        <v>366.85</v>
      </c>
      <c r="P587" s="565">
        <f t="shared" si="28"/>
        <v>0</v>
      </c>
      <c r="Q587" s="565"/>
      <c r="R587" s="565"/>
      <c r="S587" s="565"/>
      <c r="T587" s="565"/>
      <c r="U587" s="565"/>
      <c r="V587" s="565"/>
      <c r="W587" s="565"/>
      <c r="X587" s="565"/>
      <c r="Y587" t="str">
        <f t="shared" ca="1" si="29"/>
        <v>PAGO</v>
      </c>
      <c r="AA587" t="s">
        <v>408</v>
      </c>
    </row>
    <row r="588" spans="1:27" x14ac:dyDescent="0.3">
      <c r="A588" t="s">
        <v>217</v>
      </c>
      <c r="B588" s="562">
        <v>2026</v>
      </c>
      <c r="C588" t="s">
        <v>248</v>
      </c>
      <c r="D588">
        <v>22556</v>
      </c>
      <c r="E588">
        <v>4280</v>
      </c>
      <c r="F588" s="179">
        <v>46120</v>
      </c>
      <c r="G588" t="s">
        <v>236</v>
      </c>
      <c r="I588" t="s">
        <v>270</v>
      </c>
      <c r="J588" s="583">
        <v>0</v>
      </c>
      <c r="K588" s="583">
        <v>366.85</v>
      </c>
      <c r="L588" s="565">
        <f t="shared" si="27"/>
        <v>366.85</v>
      </c>
      <c r="M588" s="179">
        <v>46155</v>
      </c>
      <c r="N588" s="179">
        <v>46139</v>
      </c>
      <c r="O588" s="565">
        <v>366.85</v>
      </c>
      <c r="P588" s="565">
        <f t="shared" si="28"/>
        <v>0</v>
      </c>
      <c r="Q588" s="565"/>
      <c r="R588" s="565"/>
      <c r="S588" s="565"/>
      <c r="T588" s="565"/>
      <c r="U588" s="565"/>
      <c r="V588" s="565"/>
      <c r="W588" s="565"/>
      <c r="X588" s="565"/>
      <c r="Y588" t="str">
        <f t="shared" ca="1" si="29"/>
        <v>PAGO</v>
      </c>
      <c r="AA588" t="s">
        <v>408</v>
      </c>
    </row>
    <row r="589" spans="1:27" x14ac:dyDescent="0.3">
      <c r="A589" t="s">
        <v>217</v>
      </c>
      <c r="B589" s="562">
        <v>2026</v>
      </c>
      <c r="C589" t="s">
        <v>248</v>
      </c>
      <c r="D589">
        <v>22556</v>
      </c>
      <c r="E589">
        <v>4280</v>
      </c>
      <c r="F589" s="179">
        <v>46120</v>
      </c>
      <c r="G589" t="s">
        <v>236</v>
      </c>
      <c r="I589" t="s">
        <v>270</v>
      </c>
      <c r="J589" s="583">
        <v>0</v>
      </c>
      <c r="K589" s="583">
        <v>366.84</v>
      </c>
      <c r="L589" s="565">
        <f t="shared" si="27"/>
        <v>366.84</v>
      </c>
      <c r="M589" s="179">
        <v>46162</v>
      </c>
      <c r="N589" s="179">
        <v>46162</v>
      </c>
      <c r="O589" s="565">
        <v>366.86</v>
      </c>
      <c r="P589" s="565">
        <f t="shared" si="28"/>
        <v>-2.0000000000038654E-2</v>
      </c>
      <c r="Q589" s="565"/>
      <c r="R589" s="565"/>
      <c r="S589" s="565"/>
      <c r="T589" s="565"/>
      <c r="U589" s="565"/>
      <c r="V589" s="565"/>
      <c r="W589" s="565"/>
      <c r="X589" s="565"/>
      <c r="Y589" t="str">
        <f t="shared" ca="1" si="29"/>
        <v>PAGO</v>
      </c>
      <c r="AA589" t="s">
        <v>408</v>
      </c>
    </row>
    <row r="590" spans="1:27" x14ac:dyDescent="0.3">
      <c r="A590" t="s">
        <v>217</v>
      </c>
      <c r="B590" s="562">
        <v>2026</v>
      </c>
      <c r="C590" t="s">
        <v>249</v>
      </c>
      <c r="D590">
        <v>22591</v>
      </c>
      <c r="E590">
        <v>4318</v>
      </c>
      <c r="F590" s="179">
        <v>46122</v>
      </c>
      <c r="G590" t="s">
        <v>264</v>
      </c>
      <c r="I590" t="s">
        <v>271</v>
      </c>
      <c r="J590" s="583">
        <v>4990</v>
      </c>
      <c r="K590" s="583">
        <v>0</v>
      </c>
      <c r="L590" s="565">
        <f t="shared" si="27"/>
        <v>4990</v>
      </c>
      <c r="M590" s="179">
        <v>46129</v>
      </c>
      <c r="N590" s="179">
        <v>46129</v>
      </c>
      <c r="O590" s="565">
        <v>4990</v>
      </c>
      <c r="P590" s="565">
        <f t="shared" si="28"/>
        <v>0</v>
      </c>
      <c r="Q590" s="565"/>
      <c r="R590" s="565"/>
      <c r="S590" s="565"/>
      <c r="T590" s="565"/>
      <c r="U590" s="565"/>
      <c r="V590" s="565"/>
      <c r="W590" s="565"/>
      <c r="X590" s="565"/>
      <c r="Y590" t="str">
        <f t="shared" ca="1" si="29"/>
        <v>PAGO</v>
      </c>
      <c r="AA590" t="s">
        <v>408</v>
      </c>
    </row>
    <row r="591" spans="1:27" x14ac:dyDescent="0.3">
      <c r="A591" t="s">
        <v>217</v>
      </c>
      <c r="B591" s="562">
        <v>2026</v>
      </c>
      <c r="C591" t="s">
        <v>249</v>
      </c>
      <c r="D591">
        <v>22591</v>
      </c>
      <c r="E591">
        <v>4318</v>
      </c>
      <c r="F591" s="179">
        <v>46122</v>
      </c>
      <c r="G591" t="s">
        <v>264</v>
      </c>
      <c r="I591" t="s">
        <v>271</v>
      </c>
      <c r="J591" s="583">
        <v>4990</v>
      </c>
      <c r="K591" s="583">
        <v>0</v>
      </c>
      <c r="L591" s="565">
        <f t="shared" si="27"/>
        <v>4990</v>
      </c>
      <c r="M591" s="179">
        <v>46136</v>
      </c>
      <c r="N591" s="179">
        <v>46136</v>
      </c>
      <c r="O591" s="565">
        <v>4990</v>
      </c>
      <c r="P591" s="565">
        <f t="shared" si="28"/>
        <v>0</v>
      </c>
      <c r="Q591" s="565"/>
      <c r="R591" s="565"/>
      <c r="S591" s="565"/>
      <c r="T591" s="565"/>
      <c r="U591" s="565"/>
      <c r="V591" s="565"/>
      <c r="W591" s="565"/>
      <c r="X591" s="565"/>
      <c r="Y591" t="str">
        <f t="shared" ca="1" si="29"/>
        <v>PAGO</v>
      </c>
      <c r="AA591" t="s">
        <v>408</v>
      </c>
    </row>
    <row r="592" spans="1:27" x14ac:dyDescent="0.3">
      <c r="A592" t="s">
        <v>217</v>
      </c>
      <c r="B592" s="562">
        <v>2026</v>
      </c>
      <c r="C592" t="s">
        <v>249</v>
      </c>
      <c r="D592">
        <v>22591</v>
      </c>
      <c r="E592">
        <v>4318</v>
      </c>
      <c r="F592" s="179">
        <v>46122</v>
      </c>
      <c r="G592" t="s">
        <v>264</v>
      </c>
      <c r="I592" t="s">
        <v>271</v>
      </c>
      <c r="J592" s="583">
        <v>4990</v>
      </c>
      <c r="K592" s="583">
        <v>0</v>
      </c>
      <c r="L592" s="565">
        <f t="shared" si="27"/>
        <v>4990</v>
      </c>
      <c r="M592" s="179">
        <v>46143</v>
      </c>
      <c r="N592" s="179">
        <v>46146</v>
      </c>
      <c r="O592" s="565">
        <v>4990</v>
      </c>
      <c r="P592" s="565">
        <f t="shared" si="28"/>
        <v>0</v>
      </c>
      <c r="Q592" s="565"/>
      <c r="R592" s="565"/>
      <c r="S592" s="565"/>
      <c r="T592" s="565"/>
      <c r="U592" s="565"/>
      <c r="V592" s="565"/>
      <c r="W592" s="565"/>
      <c r="X592" s="565"/>
      <c r="Y592" t="str">
        <f t="shared" ca="1" si="29"/>
        <v>PAGO</v>
      </c>
      <c r="AA592" t="s">
        <v>408</v>
      </c>
    </row>
    <row r="593" spans="1:27" x14ac:dyDescent="0.3">
      <c r="A593" t="s">
        <v>217</v>
      </c>
      <c r="B593" s="562">
        <v>2026</v>
      </c>
      <c r="C593" t="s">
        <v>248</v>
      </c>
      <c r="D593">
        <v>22615</v>
      </c>
      <c r="E593">
        <v>4349</v>
      </c>
      <c r="F593" s="179">
        <v>46122</v>
      </c>
      <c r="G593" t="s">
        <v>236</v>
      </c>
      <c r="I593" t="s">
        <v>270</v>
      </c>
      <c r="J593" s="583">
        <v>0</v>
      </c>
      <c r="K593" s="583">
        <v>626.16999999999996</v>
      </c>
      <c r="L593" s="565">
        <f t="shared" si="27"/>
        <v>626.16999999999996</v>
      </c>
      <c r="M593" s="179">
        <v>46150</v>
      </c>
      <c r="N593" s="179">
        <v>46139</v>
      </c>
      <c r="O593" s="565">
        <v>626.17999999999995</v>
      </c>
      <c r="P593" s="565">
        <f t="shared" si="28"/>
        <v>-9.9999999999909051E-3</v>
      </c>
      <c r="Q593" s="565"/>
      <c r="R593" s="565"/>
      <c r="S593" s="565"/>
      <c r="T593" s="565"/>
      <c r="U593" s="565"/>
      <c r="V593" s="565"/>
      <c r="W593" s="565"/>
      <c r="X593" s="565"/>
      <c r="Y593" t="str">
        <f t="shared" ca="1" si="29"/>
        <v>PAGO</v>
      </c>
      <c r="AA593" t="s">
        <v>408</v>
      </c>
    </row>
    <row r="594" spans="1:27" x14ac:dyDescent="0.3">
      <c r="A594" t="s">
        <v>217</v>
      </c>
      <c r="B594" s="562">
        <v>2026</v>
      </c>
      <c r="C594" t="s">
        <v>248</v>
      </c>
      <c r="D594">
        <v>22615</v>
      </c>
      <c r="E594">
        <v>4349</v>
      </c>
      <c r="F594" s="179">
        <v>46122</v>
      </c>
      <c r="G594" t="s">
        <v>236</v>
      </c>
      <c r="I594" t="s">
        <v>270</v>
      </c>
      <c r="J594" s="583">
        <v>0</v>
      </c>
      <c r="K594" s="583">
        <v>626.16999999999996</v>
      </c>
      <c r="L594" s="565">
        <f t="shared" si="27"/>
        <v>626.16999999999996</v>
      </c>
      <c r="M594" s="179">
        <v>46157</v>
      </c>
      <c r="N594" s="179">
        <v>46139</v>
      </c>
      <c r="O594" s="565">
        <v>626.17999999999995</v>
      </c>
      <c r="P594" s="565">
        <f t="shared" si="28"/>
        <v>-9.9999999999909051E-3</v>
      </c>
      <c r="Q594" s="565"/>
      <c r="R594" s="565"/>
      <c r="S594" s="565"/>
      <c r="T594" s="565"/>
      <c r="U594" s="565"/>
      <c r="V594" s="565"/>
      <c r="W594" s="565"/>
      <c r="X594" s="565"/>
      <c r="Y594" t="str">
        <f t="shared" ca="1" si="29"/>
        <v>PAGO</v>
      </c>
      <c r="AA594" t="s">
        <v>408</v>
      </c>
    </row>
    <row r="595" spans="1:27" x14ac:dyDescent="0.3">
      <c r="A595" t="s">
        <v>217</v>
      </c>
      <c r="B595" s="562">
        <v>2026</v>
      </c>
      <c r="C595" t="s">
        <v>248</v>
      </c>
      <c r="D595">
        <v>22615</v>
      </c>
      <c r="E595">
        <v>4349</v>
      </c>
      <c r="F595" s="179">
        <v>46122</v>
      </c>
      <c r="G595" t="s">
        <v>236</v>
      </c>
      <c r="I595" t="s">
        <v>270</v>
      </c>
      <c r="J595" s="583">
        <v>0</v>
      </c>
      <c r="K595" s="583">
        <v>626.17999999999995</v>
      </c>
      <c r="L595" s="565">
        <f t="shared" si="27"/>
        <v>626.17999999999995</v>
      </c>
      <c r="M595" s="179">
        <v>46164</v>
      </c>
      <c r="N595" s="179">
        <v>46162</v>
      </c>
      <c r="O595" s="565">
        <v>626.16999999999996</v>
      </c>
      <c r="P595" s="565">
        <f t="shared" si="28"/>
        <v>9.9999999999909051E-3</v>
      </c>
      <c r="Q595" s="565"/>
      <c r="R595" s="565"/>
      <c r="S595" s="565"/>
      <c r="T595" s="565"/>
      <c r="U595" s="565"/>
      <c r="V595" s="565"/>
      <c r="W595" s="565"/>
      <c r="X595" s="565"/>
      <c r="Y595" t="str">
        <f t="shared" ca="1" si="29"/>
        <v>PAGO</v>
      </c>
      <c r="AA595" t="s">
        <v>408</v>
      </c>
    </row>
    <row r="596" spans="1:27" x14ac:dyDescent="0.3">
      <c r="A596" t="s">
        <v>217</v>
      </c>
      <c r="B596" s="562">
        <v>2026</v>
      </c>
      <c r="C596" t="s">
        <v>248</v>
      </c>
      <c r="D596">
        <v>22617</v>
      </c>
      <c r="E596">
        <v>4336</v>
      </c>
      <c r="F596" s="179">
        <v>46122</v>
      </c>
      <c r="G596" t="s">
        <v>341</v>
      </c>
      <c r="I596" t="s">
        <v>270</v>
      </c>
      <c r="J596" s="583">
        <v>0</v>
      </c>
      <c r="K596" s="583">
        <v>1105.605</v>
      </c>
      <c r="L596" s="565">
        <f t="shared" si="27"/>
        <v>1105.605</v>
      </c>
      <c r="M596" s="179">
        <v>46143</v>
      </c>
      <c r="N596" s="179">
        <v>46141</v>
      </c>
      <c r="O596" s="565">
        <v>1105.6099999999999</v>
      </c>
      <c r="P596" s="565">
        <f t="shared" si="28"/>
        <v>-4.9999999998817657E-3</v>
      </c>
      <c r="Q596" s="565"/>
      <c r="R596" s="565"/>
      <c r="S596" s="565"/>
      <c r="T596" s="565"/>
      <c r="U596" s="565"/>
      <c r="V596" s="565"/>
      <c r="W596" s="565"/>
      <c r="X596" s="565"/>
      <c r="Y596" t="str">
        <f t="shared" ca="1" si="29"/>
        <v>PAGO</v>
      </c>
      <c r="AA596" t="s">
        <v>408</v>
      </c>
    </row>
    <row r="597" spans="1:27" x14ac:dyDescent="0.3">
      <c r="A597" t="s">
        <v>217</v>
      </c>
      <c r="B597" s="562">
        <v>2026</v>
      </c>
      <c r="C597" t="s">
        <v>248</v>
      </c>
      <c r="D597">
        <v>22642</v>
      </c>
      <c r="E597">
        <v>4349</v>
      </c>
      <c r="F597" s="179">
        <v>46126</v>
      </c>
      <c r="G597" t="s">
        <v>236</v>
      </c>
      <c r="I597" t="s">
        <v>270</v>
      </c>
      <c r="J597" s="583">
        <v>0</v>
      </c>
      <c r="K597" s="583">
        <v>366.27</v>
      </c>
      <c r="L597" s="565">
        <f t="shared" si="27"/>
        <v>366.27</v>
      </c>
      <c r="M597" s="179">
        <v>46154</v>
      </c>
      <c r="N597" s="179">
        <v>46139</v>
      </c>
      <c r="O597" s="565">
        <v>366.28</v>
      </c>
      <c r="P597" s="565">
        <f t="shared" si="28"/>
        <v>-9.9999999999909051E-3</v>
      </c>
      <c r="Q597" s="565"/>
      <c r="R597" s="565"/>
      <c r="S597" s="565"/>
      <c r="T597" s="565"/>
      <c r="U597" s="565"/>
      <c r="V597" s="565"/>
      <c r="W597" s="565"/>
      <c r="X597" s="565"/>
      <c r="Y597" t="str">
        <f t="shared" ca="1" si="29"/>
        <v>PAGO</v>
      </c>
      <c r="AA597" t="s">
        <v>408</v>
      </c>
    </row>
    <row r="598" spans="1:27" x14ac:dyDescent="0.3">
      <c r="A598" t="s">
        <v>217</v>
      </c>
      <c r="B598" s="562">
        <v>2026</v>
      </c>
      <c r="C598" t="s">
        <v>248</v>
      </c>
      <c r="D598">
        <v>22642</v>
      </c>
      <c r="E598">
        <v>4349</v>
      </c>
      <c r="F598" s="179">
        <v>46126</v>
      </c>
      <c r="G598" t="s">
        <v>236</v>
      </c>
      <c r="I598" t="s">
        <v>270</v>
      </c>
      <c r="J598" s="583">
        <v>0</v>
      </c>
      <c r="K598" s="583">
        <v>366.27</v>
      </c>
      <c r="L598" s="565">
        <f t="shared" si="27"/>
        <v>366.27</v>
      </c>
      <c r="M598" s="179">
        <v>46161</v>
      </c>
      <c r="N598" s="179">
        <v>46162</v>
      </c>
      <c r="O598" s="565">
        <v>366.28</v>
      </c>
      <c r="P598" s="565">
        <f t="shared" si="28"/>
        <v>-9.9999999999909051E-3</v>
      </c>
      <c r="Q598" s="565"/>
      <c r="R598" s="565"/>
      <c r="S598" s="565"/>
      <c r="T598" s="565"/>
      <c r="U598" s="565"/>
      <c r="V598" s="565"/>
      <c r="W598" s="565"/>
      <c r="X598" s="565"/>
      <c r="Y598" t="str">
        <f t="shared" ca="1" si="29"/>
        <v>PAGO</v>
      </c>
      <c r="AA598" t="s">
        <v>408</v>
      </c>
    </row>
    <row r="599" spans="1:27" x14ac:dyDescent="0.3">
      <c r="A599" t="s">
        <v>217</v>
      </c>
      <c r="B599" s="562">
        <v>2026</v>
      </c>
      <c r="C599" t="s">
        <v>248</v>
      </c>
      <c r="D599">
        <v>22642</v>
      </c>
      <c r="E599">
        <v>4349</v>
      </c>
      <c r="F599" s="179">
        <v>46126</v>
      </c>
      <c r="G599" t="s">
        <v>236</v>
      </c>
      <c r="I599" t="s">
        <v>270</v>
      </c>
      <c r="J599" s="583">
        <v>0</v>
      </c>
      <c r="K599" s="583">
        <v>366.28</v>
      </c>
      <c r="L599" s="565">
        <f t="shared" si="27"/>
        <v>366.28</v>
      </c>
      <c r="M599" s="179">
        <v>46168</v>
      </c>
      <c r="N599" s="179">
        <v>46178</v>
      </c>
      <c r="O599" s="565">
        <v>366.27</v>
      </c>
      <c r="P599" s="565">
        <f t="shared" si="28"/>
        <v>9.9999999999909051E-3</v>
      </c>
      <c r="Q599" s="565"/>
      <c r="R599" s="565"/>
      <c r="S599" s="565"/>
      <c r="T599" s="565"/>
      <c r="U599" s="565"/>
      <c r="V599" s="565"/>
      <c r="W599" s="565"/>
      <c r="X599" s="565"/>
      <c r="Y599" t="str">
        <f t="shared" ca="1" si="29"/>
        <v>PAGO</v>
      </c>
      <c r="AA599" t="s">
        <v>408</v>
      </c>
    </row>
    <row r="600" spans="1:27" x14ac:dyDescent="0.3">
      <c r="A600" t="s">
        <v>217</v>
      </c>
      <c r="B600" s="562">
        <v>2026</v>
      </c>
      <c r="C600" t="s">
        <v>248</v>
      </c>
      <c r="D600">
        <v>22643</v>
      </c>
      <c r="E600">
        <v>4352</v>
      </c>
      <c r="F600" s="179">
        <v>46126</v>
      </c>
      <c r="G600" t="s">
        <v>341</v>
      </c>
      <c r="I600" t="s">
        <v>270</v>
      </c>
      <c r="J600" s="583">
        <v>0</v>
      </c>
      <c r="K600" s="583">
        <v>813.38400000000001</v>
      </c>
      <c r="L600" s="565">
        <f t="shared" si="27"/>
        <v>813.38400000000001</v>
      </c>
      <c r="M600" s="179">
        <v>46147</v>
      </c>
      <c r="N600" s="179">
        <v>46147</v>
      </c>
      <c r="O600" s="565">
        <v>813.38</v>
      </c>
      <c r="P600" s="565">
        <f t="shared" si="28"/>
        <v>4.0000000000190994E-3</v>
      </c>
      <c r="Q600" s="565"/>
      <c r="R600" s="565"/>
      <c r="S600" s="565"/>
      <c r="T600" s="565"/>
      <c r="U600" s="565"/>
      <c r="V600" s="565"/>
      <c r="W600" s="565"/>
      <c r="X600" s="565"/>
      <c r="Y600" t="str">
        <f t="shared" ca="1" si="29"/>
        <v>PAGO</v>
      </c>
      <c r="AA600" t="s">
        <v>408</v>
      </c>
    </row>
    <row r="601" spans="1:27" x14ac:dyDescent="0.3">
      <c r="A601" t="s">
        <v>217</v>
      </c>
      <c r="B601" s="562">
        <v>2026</v>
      </c>
      <c r="C601" t="s">
        <v>249</v>
      </c>
      <c r="D601">
        <v>851</v>
      </c>
      <c r="E601">
        <v>947</v>
      </c>
      <c r="F601" s="179">
        <v>46127</v>
      </c>
      <c r="G601" t="s">
        <v>264</v>
      </c>
      <c r="I601" t="s">
        <v>271</v>
      </c>
      <c r="J601" s="583">
        <v>2779.2</v>
      </c>
      <c r="K601" s="583">
        <v>0</v>
      </c>
      <c r="L601" s="565">
        <f t="shared" si="27"/>
        <v>2779.2</v>
      </c>
      <c r="M601" s="179">
        <v>46155</v>
      </c>
      <c r="N601" s="179">
        <v>46155</v>
      </c>
      <c r="O601" s="565">
        <v>2779.2</v>
      </c>
      <c r="P601" s="565">
        <f t="shared" si="28"/>
        <v>0</v>
      </c>
      <c r="Q601" s="565"/>
      <c r="R601" s="565"/>
      <c r="S601" s="565"/>
      <c r="T601" s="565"/>
      <c r="U601" s="565"/>
      <c r="V601" s="565"/>
      <c r="W601" s="565"/>
      <c r="X601" s="565"/>
      <c r="Y601" t="str">
        <f t="shared" ca="1" si="29"/>
        <v>PAGO</v>
      </c>
      <c r="AA601" t="s">
        <v>408</v>
      </c>
    </row>
    <row r="602" spans="1:27" x14ac:dyDescent="0.3">
      <c r="A602" t="s">
        <v>217</v>
      </c>
      <c r="B602" s="562">
        <v>2026</v>
      </c>
      <c r="C602" t="s">
        <v>249</v>
      </c>
      <c r="D602">
        <v>851</v>
      </c>
      <c r="E602">
        <v>947</v>
      </c>
      <c r="F602" s="179">
        <v>46127</v>
      </c>
      <c r="G602" t="s">
        <v>264</v>
      </c>
      <c r="I602" t="s">
        <v>271</v>
      </c>
      <c r="J602" s="583">
        <v>2779.2</v>
      </c>
      <c r="K602" s="583">
        <v>0</v>
      </c>
      <c r="L602" s="565">
        <f t="shared" si="27"/>
        <v>2779.2</v>
      </c>
      <c r="M602" s="179">
        <v>46162</v>
      </c>
      <c r="N602" s="179">
        <v>46161</v>
      </c>
      <c r="O602" s="565">
        <v>2779.2</v>
      </c>
      <c r="P602" s="565">
        <f t="shared" si="28"/>
        <v>0</v>
      </c>
      <c r="Q602" s="565"/>
      <c r="R602" s="565"/>
      <c r="S602" s="565"/>
      <c r="T602" s="565"/>
      <c r="U602" s="565"/>
      <c r="V602" s="565"/>
      <c r="W602" s="565"/>
      <c r="X602" s="565"/>
      <c r="Y602" t="str">
        <f t="shared" ca="1" si="29"/>
        <v>PAGO</v>
      </c>
      <c r="AA602" t="s">
        <v>408</v>
      </c>
    </row>
    <row r="603" spans="1:27" x14ac:dyDescent="0.3">
      <c r="A603" t="s">
        <v>217</v>
      </c>
      <c r="B603" s="562">
        <v>2026</v>
      </c>
      <c r="C603" t="s">
        <v>249</v>
      </c>
      <c r="D603">
        <v>851</v>
      </c>
      <c r="E603">
        <v>947</v>
      </c>
      <c r="F603" s="179">
        <v>46127</v>
      </c>
      <c r="G603" t="s">
        <v>264</v>
      </c>
      <c r="I603" t="s">
        <v>271</v>
      </c>
      <c r="J603" s="583">
        <v>2779.2</v>
      </c>
      <c r="K603" s="583">
        <v>0</v>
      </c>
      <c r="L603" s="565">
        <f t="shared" si="27"/>
        <v>2779.2</v>
      </c>
      <c r="M603" s="179">
        <v>46169</v>
      </c>
      <c r="N603" s="179">
        <v>46167</v>
      </c>
      <c r="O603" s="565">
        <v>2779.2</v>
      </c>
      <c r="P603" s="565">
        <f t="shared" si="28"/>
        <v>0</v>
      </c>
      <c r="Q603" s="565"/>
      <c r="R603" s="565"/>
      <c r="S603" s="565"/>
      <c r="T603" s="565"/>
      <c r="U603" s="565"/>
      <c r="V603" s="565"/>
      <c r="W603" s="565"/>
      <c r="X603" s="565"/>
      <c r="Y603" t="str">
        <f t="shared" ca="1" si="29"/>
        <v>PAGO</v>
      </c>
      <c r="AA603" t="s">
        <v>408</v>
      </c>
    </row>
    <row r="604" spans="1:27" x14ac:dyDescent="0.3">
      <c r="A604" t="s">
        <v>217</v>
      </c>
      <c r="B604" s="562">
        <v>2026</v>
      </c>
      <c r="C604" t="s">
        <v>248</v>
      </c>
      <c r="D604">
        <v>22711</v>
      </c>
      <c r="E604">
        <v>4349</v>
      </c>
      <c r="F604" s="179">
        <v>46128</v>
      </c>
      <c r="G604" t="s">
        <v>236</v>
      </c>
      <c r="I604" t="s">
        <v>270</v>
      </c>
      <c r="J604" s="583">
        <v>0</v>
      </c>
      <c r="K604" s="583">
        <v>272.55</v>
      </c>
      <c r="L604" s="565">
        <f t="shared" si="27"/>
        <v>272.55</v>
      </c>
      <c r="M604" s="179">
        <v>46147</v>
      </c>
      <c r="N604" s="179">
        <v>46162</v>
      </c>
      <c r="O604" s="565">
        <v>272.55</v>
      </c>
      <c r="P604" s="565">
        <f t="shared" si="28"/>
        <v>0</v>
      </c>
      <c r="Q604" s="565"/>
      <c r="R604" s="565"/>
      <c r="S604" s="565"/>
      <c r="T604" s="565"/>
      <c r="U604" s="565"/>
      <c r="V604" s="565"/>
      <c r="W604" s="565"/>
      <c r="X604" s="565"/>
      <c r="Y604" t="str">
        <f t="shared" ca="1" si="29"/>
        <v>PAGO</v>
      </c>
      <c r="AA604" t="s">
        <v>408</v>
      </c>
    </row>
    <row r="605" spans="1:27" x14ac:dyDescent="0.3">
      <c r="A605" t="s">
        <v>217</v>
      </c>
      <c r="B605" s="562">
        <v>2026</v>
      </c>
      <c r="C605" t="s">
        <v>248</v>
      </c>
      <c r="D605">
        <v>22712</v>
      </c>
      <c r="E605">
        <v>4445</v>
      </c>
      <c r="F605" s="179">
        <v>46129</v>
      </c>
      <c r="G605" t="s">
        <v>236</v>
      </c>
      <c r="I605" t="s">
        <v>270</v>
      </c>
      <c r="J605" s="583">
        <v>0</v>
      </c>
      <c r="K605" s="583">
        <v>456.55</v>
      </c>
      <c r="L605" s="565">
        <f t="shared" si="27"/>
        <v>456.55</v>
      </c>
      <c r="M605" s="179">
        <v>46157</v>
      </c>
      <c r="N605" s="179">
        <v>46139</v>
      </c>
      <c r="O605" s="565">
        <v>456.55</v>
      </c>
      <c r="P605" s="565">
        <f t="shared" si="28"/>
        <v>0</v>
      </c>
      <c r="Q605" s="565"/>
      <c r="R605" s="565"/>
      <c r="S605" s="565"/>
      <c r="T605" s="565"/>
      <c r="U605" s="565"/>
      <c r="V605" s="565"/>
      <c r="W605" s="565"/>
      <c r="X605" s="565"/>
      <c r="Y605" t="str">
        <f t="shared" ca="1" si="29"/>
        <v>PAGO</v>
      </c>
      <c r="AA605" t="s">
        <v>408</v>
      </c>
    </row>
    <row r="606" spans="1:27" x14ac:dyDescent="0.3">
      <c r="A606" t="s">
        <v>217</v>
      </c>
      <c r="B606" s="562">
        <v>2026</v>
      </c>
      <c r="C606" t="s">
        <v>248</v>
      </c>
      <c r="D606">
        <v>22712</v>
      </c>
      <c r="E606">
        <v>4445</v>
      </c>
      <c r="F606" s="179">
        <v>46129</v>
      </c>
      <c r="G606" t="s">
        <v>236</v>
      </c>
      <c r="I606" t="s">
        <v>270</v>
      </c>
      <c r="J606" s="583">
        <v>0</v>
      </c>
      <c r="K606" s="583">
        <v>456.55</v>
      </c>
      <c r="L606" s="565">
        <f t="shared" si="27"/>
        <v>456.55</v>
      </c>
      <c r="M606" s="179">
        <v>46164</v>
      </c>
      <c r="N606" s="179">
        <v>46163</v>
      </c>
      <c r="O606" s="565">
        <v>456.55</v>
      </c>
      <c r="P606" s="565">
        <f t="shared" si="28"/>
        <v>0</v>
      </c>
      <c r="Q606" s="565"/>
      <c r="R606" s="565"/>
      <c r="S606" s="565"/>
      <c r="T606" s="565"/>
      <c r="U606" s="565"/>
      <c r="V606" s="565"/>
      <c r="W606" s="565"/>
      <c r="X606" s="565"/>
      <c r="Y606" t="str">
        <f t="shared" ca="1" si="29"/>
        <v>PAGO</v>
      </c>
      <c r="AA606" t="s">
        <v>408</v>
      </c>
    </row>
    <row r="607" spans="1:27" x14ac:dyDescent="0.3">
      <c r="A607" t="s">
        <v>217</v>
      </c>
      <c r="B607" s="562">
        <v>2026</v>
      </c>
      <c r="C607" t="s">
        <v>248</v>
      </c>
      <c r="D607">
        <v>22712</v>
      </c>
      <c r="E607">
        <v>4445</v>
      </c>
      <c r="F607" s="179">
        <v>46129</v>
      </c>
      <c r="G607" t="s">
        <v>236</v>
      </c>
      <c r="I607" t="s">
        <v>270</v>
      </c>
      <c r="J607" s="583">
        <v>0</v>
      </c>
      <c r="K607" s="583">
        <v>456.54</v>
      </c>
      <c r="L607" s="565">
        <f t="shared" si="27"/>
        <v>456.54</v>
      </c>
      <c r="M607" s="179">
        <v>46171</v>
      </c>
      <c r="N607" s="179">
        <v>46178</v>
      </c>
      <c r="O607" s="565">
        <v>456.56</v>
      </c>
      <c r="P607" s="565">
        <f t="shared" si="28"/>
        <v>-1.999999999998181E-2</v>
      </c>
      <c r="Q607" s="565"/>
      <c r="R607" s="565"/>
      <c r="S607" s="565"/>
      <c r="T607" s="565"/>
      <c r="U607" s="565"/>
      <c r="V607" s="565"/>
      <c r="W607" s="565"/>
      <c r="X607" s="565"/>
      <c r="Y607" t="str">
        <f t="shared" ca="1" si="29"/>
        <v>PAGO</v>
      </c>
      <c r="AA607" t="s">
        <v>408</v>
      </c>
    </row>
    <row r="608" spans="1:27" x14ac:dyDescent="0.3">
      <c r="A608" t="s">
        <v>217</v>
      </c>
      <c r="B608" s="562">
        <v>2026</v>
      </c>
      <c r="C608" t="s">
        <v>249</v>
      </c>
      <c r="D608">
        <v>22713</v>
      </c>
      <c r="E608">
        <v>4469</v>
      </c>
      <c r="F608" s="179">
        <v>46129</v>
      </c>
      <c r="G608" t="s">
        <v>241</v>
      </c>
      <c r="I608" t="s">
        <v>275</v>
      </c>
      <c r="J608" s="583">
        <v>1324.47</v>
      </c>
      <c r="K608" s="583">
        <v>0</v>
      </c>
      <c r="L608" s="565">
        <f t="shared" si="27"/>
        <v>1324.47</v>
      </c>
      <c r="M608" s="179">
        <v>46159</v>
      </c>
      <c r="N608" s="179">
        <v>46160</v>
      </c>
      <c r="O608" s="565">
        <v>1324.47</v>
      </c>
      <c r="P608" s="565">
        <f t="shared" si="28"/>
        <v>0</v>
      </c>
      <c r="Q608" s="565"/>
      <c r="R608" s="565"/>
      <c r="S608" s="565"/>
      <c r="T608" s="565"/>
      <c r="U608" s="565"/>
      <c r="V608" s="565"/>
      <c r="W608" s="565"/>
      <c r="X608" s="565"/>
      <c r="Y608" t="str">
        <f t="shared" ca="1" si="29"/>
        <v>PAGO</v>
      </c>
      <c r="AA608" t="s">
        <v>408</v>
      </c>
    </row>
    <row r="609" spans="1:27" x14ac:dyDescent="0.3">
      <c r="A609" t="s">
        <v>217</v>
      </c>
      <c r="B609" s="562">
        <v>2026</v>
      </c>
      <c r="C609" t="s">
        <v>249</v>
      </c>
      <c r="D609">
        <v>22713</v>
      </c>
      <c r="E609">
        <v>4469</v>
      </c>
      <c r="F609" s="179">
        <v>46129</v>
      </c>
      <c r="G609" t="s">
        <v>241</v>
      </c>
      <c r="I609" t="s">
        <v>275</v>
      </c>
      <c r="J609" s="583">
        <v>1324.47</v>
      </c>
      <c r="K609" s="583">
        <v>0</v>
      </c>
      <c r="L609" s="565">
        <f t="shared" si="27"/>
        <v>1324.47</v>
      </c>
      <c r="M609" s="179">
        <v>46169</v>
      </c>
      <c r="N609" s="179">
        <v>46170</v>
      </c>
      <c r="O609" s="565">
        <v>1324.47</v>
      </c>
      <c r="P609" s="565">
        <f t="shared" si="28"/>
        <v>0</v>
      </c>
      <c r="Q609" s="565"/>
      <c r="R609" s="565"/>
      <c r="S609" s="565"/>
      <c r="T609" s="565"/>
      <c r="U609" s="565"/>
      <c r="V609" s="565"/>
      <c r="W609" s="565"/>
      <c r="X609" s="565"/>
      <c r="Y609" t="str">
        <f t="shared" ca="1" si="29"/>
        <v>PAGO</v>
      </c>
      <c r="AA609" t="s">
        <v>408</v>
      </c>
    </row>
    <row r="610" spans="1:27" x14ac:dyDescent="0.3">
      <c r="A610" t="s">
        <v>217</v>
      </c>
      <c r="B610" s="562">
        <v>2026</v>
      </c>
      <c r="C610" t="s">
        <v>249</v>
      </c>
      <c r="D610">
        <v>22713</v>
      </c>
      <c r="E610">
        <v>4469</v>
      </c>
      <c r="F610" s="179">
        <v>46129</v>
      </c>
      <c r="G610" t="s">
        <v>241</v>
      </c>
      <c r="I610" t="s">
        <v>275</v>
      </c>
      <c r="J610" s="583">
        <v>1324.47</v>
      </c>
      <c r="K610" s="583">
        <v>0</v>
      </c>
      <c r="L610" s="565">
        <f t="shared" si="27"/>
        <v>1324.47</v>
      </c>
      <c r="M610" s="179">
        <v>46179</v>
      </c>
      <c r="N610" s="179">
        <v>46181</v>
      </c>
      <c r="O610" s="565">
        <v>1324.47</v>
      </c>
      <c r="P610" s="565">
        <f t="shared" si="28"/>
        <v>0</v>
      </c>
      <c r="Q610" s="565"/>
      <c r="R610" s="565"/>
      <c r="S610" s="565"/>
      <c r="T610" s="565"/>
      <c r="U610" s="565"/>
      <c r="V610" s="565"/>
      <c r="W610" s="565"/>
      <c r="X610" s="565"/>
      <c r="Y610" t="str">
        <f t="shared" ca="1" si="29"/>
        <v>PAGO</v>
      </c>
      <c r="AA610" t="s">
        <v>408</v>
      </c>
    </row>
    <row r="611" spans="1:27" x14ac:dyDescent="0.3">
      <c r="A611" t="s">
        <v>217</v>
      </c>
      <c r="B611" s="562">
        <v>2026</v>
      </c>
      <c r="C611" t="s">
        <v>249</v>
      </c>
      <c r="D611">
        <v>22713</v>
      </c>
      <c r="E611">
        <v>4469</v>
      </c>
      <c r="F611" s="179">
        <v>46129</v>
      </c>
      <c r="G611" t="s">
        <v>241</v>
      </c>
      <c r="I611" t="s">
        <v>275</v>
      </c>
      <c r="J611" s="583">
        <v>1324.47</v>
      </c>
      <c r="K611" s="583">
        <v>0</v>
      </c>
      <c r="L611" s="565">
        <f t="shared" si="27"/>
        <v>1324.47</v>
      </c>
      <c r="M611" s="179">
        <v>46189</v>
      </c>
      <c r="N611" s="179">
        <v>46189</v>
      </c>
      <c r="O611" s="565">
        <v>1324.47</v>
      </c>
      <c r="P611" s="565">
        <f t="shared" si="28"/>
        <v>0</v>
      </c>
      <c r="Q611" s="565"/>
      <c r="R611" s="565"/>
      <c r="S611" s="565"/>
      <c r="T611" s="565"/>
      <c r="U611" s="565"/>
      <c r="V611" s="565"/>
      <c r="W611" s="565"/>
      <c r="X611" s="565"/>
      <c r="Y611" t="str">
        <f t="shared" ca="1" si="29"/>
        <v>PAGO</v>
      </c>
      <c r="AA611" t="s">
        <v>408</v>
      </c>
    </row>
    <row r="612" spans="1:27" x14ac:dyDescent="0.3">
      <c r="A612" t="s">
        <v>217</v>
      </c>
      <c r="B612" s="562">
        <v>2026</v>
      </c>
      <c r="C612" t="s">
        <v>248</v>
      </c>
      <c r="D612">
        <v>22738</v>
      </c>
      <c r="E612">
        <v>4445</v>
      </c>
      <c r="F612" s="179">
        <v>46129</v>
      </c>
      <c r="G612" t="s">
        <v>236</v>
      </c>
      <c r="I612" t="s">
        <v>270</v>
      </c>
      <c r="J612" s="583">
        <v>0</v>
      </c>
      <c r="K612" s="583">
        <v>403.65</v>
      </c>
      <c r="L612" s="565">
        <f t="shared" si="27"/>
        <v>403.65</v>
      </c>
      <c r="M612" s="179">
        <v>46157</v>
      </c>
      <c r="N612" s="179">
        <v>46162</v>
      </c>
      <c r="O612" s="565">
        <v>403.65</v>
      </c>
      <c r="P612" s="565">
        <f t="shared" si="28"/>
        <v>0</v>
      </c>
      <c r="Q612" s="565"/>
      <c r="R612" s="565"/>
      <c r="S612" s="565"/>
      <c r="T612" s="565"/>
      <c r="U612" s="565"/>
      <c r="V612" s="565"/>
      <c r="W612" s="565"/>
      <c r="X612" s="565"/>
      <c r="Y612" t="str">
        <f t="shared" ca="1" si="29"/>
        <v>PAGO</v>
      </c>
      <c r="AA612" t="s">
        <v>408</v>
      </c>
    </row>
    <row r="613" spans="1:27" x14ac:dyDescent="0.3">
      <c r="A613" t="s">
        <v>217</v>
      </c>
      <c r="B613" s="562">
        <v>2026</v>
      </c>
      <c r="C613" t="s">
        <v>249</v>
      </c>
      <c r="D613">
        <v>858</v>
      </c>
      <c r="E613">
        <v>822</v>
      </c>
      <c r="F613" s="179">
        <v>46129</v>
      </c>
      <c r="G613" t="s">
        <v>264</v>
      </c>
      <c r="I613" t="s">
        <v>271</v>
      </c>
      <c r="J613" s="583">
        <v>2356.6666666666702</v>
      </c>
      <c r="K613" s="583">
        <v>0</v>
      </c>
      <c r="L613" s="565">
        <f t="shared" si="27"/>
        <v>2356.6666666666702</v>
      </c>
      <c r="M613" s="179">
        <v>46143</v>
      </c>
      <c r="N613" s="179">
        <v>46146</v>
      </c>
      <c r="O613" s="565">
        <v>2356.66</v>
      </c>
      <c r="P613" s="565">
        <f t="shared" si="28"/>
        <v>6.6666666702985822E-3</v>
      </c>
      <c r="Q613" s="565"/>
      <c r="R613" s="565"/>
      <c r="S613" s="565"/>
      <c r="T613" s="565"/>
      <c r="U613" s="565"/>
      <c r="V613" s="565"/>
      <c r="W613" s="565"/>
      <c r="X613" s="565"/>
      <c r="Y613" t="str">
        <f t="shared" ca="1" si="29"/>
        <v>PAGO</v>
      </c>
      <c r="AA613" t="s">
        <v>408</v>
      </c>
    </row>
    <row r="614" spans="1:27" x14ac:dyDescent="0.3">
      <c r="A614" t="s">
        <v>217</v>
      </c>
      <c r="B614" s="562">
        <v>2026</v>
      </c>
      <c r="C614" t="s">
        <v>249</v>
      </c>
      <c r="D614">
        <v>858</v>
      </c>
      <c r="E614">
        <v>822</v>
      </c>
      <c r="F614" s="179">
        <v>46129</v>
      </c>
      <c r="G614" t="s">
        <v>264</v>
      </c>
      <c r="I614" t="s">
        <v>271</v>
      </c>
      <c r="J614" s="583">
        <v>2356.6666666666702</v>
      </c>
      <c r="K614" s="583">
        <v>0</v>
      </c>
      <c r="L614" s="565">
        <f t="shared" si="27"/>
        <v>2356.6666666666702</v>
      </c>
      <c r="M614" s="179">
        <v>46150</v>
      </c>
      <c r="N614" s="179">
        <v>46150</v>
      </c>
      <c r="O614" s="565">
        <v>2356.66</v>
      </c>
      <c r="P614" s="565">
        <f t="shared" si="28"/>
        <v>6.6666666702985822E-3</v>
      </c>
      <c r="Q614" s="565"/>
      <c r="R614" s="565"/>
      <c r="S614" s="565"/>
      <c r="T614" s="565"/>
      <c r="U614" s="565"/>
      <c r="V614" s="565"/>
      <c r="W614" s="565"/>
      <c r="X614" s="565"/>
      <c r="Y614" t="str">
        <f t="shared" ca="1" si="29"/>
        <v>PAGO</v>
      </c>
      <c r="AA614" t="s">
        <v>408</v>
      </c>
    </row>
    <row r="615" spans="1:27" x14ac:dyDescent="0.3">
      <c r="A615" t="s">
        <v>217</v>
      </c>
      <c r="B615" s="562">
        <v>2026</v>
      </c>
      <c r="C615" t="s">
        <v>249</v>
      </c>
      <c r="D615">
        <v>858</v>
      </c>
      <c r="E615">
        <v>822</v>
      </c>
      <c r="F615" s="179">
        <v>46129</v>
      </c>
      <c r="G615" t="s">
        <v>264</v>
      </c>
      <c r="I615" t="s">
        <v>271</v>
      </c>
      <c r="J615" s="583">
        <v>2356.6666666666702</v>
      </c>
      <c r="K615" s="583">
        <v>0</v>
      </c>
      <c r="L615" s="565">
        <f t="shared" si="27"/>
        <v>2356.6666666666702</v>
      </c>
      <c r="M615" s="179">
        <v>46157</v>
      </c>
      <c r="N615" s="179">
        <v>46156</v>
      </c>
      <c r="O615" s="565">
        <v>2356.66</v>
      </c>
      <c r="P615" s="565">
        <f t="shared" si="28"/>
        <v>6.6666666702985822E-3</v>
      </c>
      <c r="Q615" s="565"/>
      <c r="R615" s="565"/>
      <c r="S615" s="565"/>
      <c r="T615" s="565"/>
      <c r="U615" s="565"/>
      <c r="V615" s="565"/>
      <c r="W615" s="565"/>
      <c r="X615" s="565"/>
      <c r="Y615" t="str">
        <f t="shared" ca="1" si="29"/>
        <v>PAGO</v>
      </c>
      <c r="AA615" t="s">
        <v>408</v>
      </c>
    </row>
    <row r="616" spans="1:27" x14ac:dyDescent="0.3">
      <c r="A616" t="s">
        <v>217</v>
      </c>
      <c r="B616" s="562">
        <v>2026</v>
      </c>
      <c r="C616" t="s">
        <v>249</v>
      </c>
      <c r="D616">
        <v>22745</v>
      </c>
      <c r="E616">
        <v>4491</v>
      </c>
      <c r="F616" s="179">
        <v>46129</v>
      </c>
      <c r="G616" t="s">
        <v>317</v>
      </c>
      <c r="I616" t="s">
        <v>272</v>
      </c>
      <c r="J616" s="583">
        <v>7102.1</v>
      </c>
      <c r="K616" s="583">
        <v>0</v>
      </c>
      <c r="L616" s="565">
        <f t="shared" si="27"/>
        <v>7102.1</v>
      </c>
      <c r="M616" s="179">
        <v>46143</v>
      </c>
      <c r="N616" s="179">
        <v>46146</v>
      </c>
      <c r="O616" s="565">
        <v>7102.1</v>
      </c>
      <c r="P616" s="565">
        <f t="shared" si="28"/>
        <v>0</v>
      </c>
      <c r="Q616" s="565"/>
      <c r="R616" s="565"/>
      <c r="S616" s="565"/>
      <c r="T616" s="565"/>
      <c r="U616" s="565"/>
      <c r="V616" s="565"/>
      <c r="W616" s="565"/>
      <c r="X616" s="565"/>
      <c r="Y616" t="str">
        <f t="shared" ca="1" si="29"/>
        <v>PAGO</v>
      </c>
      <c r="AA616" t="s">
        <v>408</v>
      </c>
    </row>
    <row r="617" spans="1:27" x14ac:dyDescent="0.3">
      <c r="A617" t="s">
        <v>217</v>
      </c>
      <c r="B617" s="562">
        <v>2026</v>
      </c>
      <c r="C617" t="s">
        <v>249</v>
      </c>
      <c r="D617">
        <v>865</v>
      </c>
      <c r="E617">
        <v>820</v>
      </c>
      <c r="F617" s="179">
        <v>46132</v>
      </c>
      <c r="G617" t="s">
        <v>339</v>
      </c>
      <c r="I617" t="s">
        <v>273</v>
      </c>
      <c r="J617" s="583">
        <v>1755</v>
      </c>
      <c r="K617" s="583">
        <v>0</v>
      </c>
      <c r="L617" s="565">
        <f t="shared" si="27"/>
        <v>1755</v>
      </c>
      <c r="M617" s="179">
        <v>46143</v>
      </c>
      <c r="N617" s="179">
        <v>46154</v>
      </c>
      <c r="O617" s="565">
        <v>1755</v>
      </c>
      <c r="P617" s="565">
        <f t="shared" si="28"/>
        <v>0</v>
      </c>
      <c r="Q617" s="565"/>
      <c r="R617" s="565"/>
      <c r="S617" s="565"/>
      <c r="T617" s="565"/>
      <c r="U617" s="565"/>
      <c r="V617" s="565"/>
      <c r="W617" s="565"/>
      <c r="X617" s="565"/>
      <c r="Y617" t="str">
        <f t="shared" ca="1" si="29"/>
        <v>PAGO</v>
      </c>
      <c r="AA617" t="s">
        <v>408</v>
      </c>
    </row>
    <row r="618" spans="1:27" x14ac:dyDescent="0.3">
      <c r="A618" t="s">
        <v>217</v>
      </c>
      <c r="B618" s="562">
        <v>2026</v>
      </c>
      <c r="C618" t="s">
        <v>249</v>
      </c>
      <c r="D618">
        <v>865</v>
      </c>
      <c r="E618">
        <v>820</v>
      </c>
      <c r="F618" s="179">
        <v>46132</v>
      </c>
      <c r="G618" t="s">
        <v>339</v>
      </c>
      <c r="I618" t="s">
        <v>273</v>
      </c>
      <c r="J618" s="583">
        <v>1755</v>
      </c>
      <c r="K618" s="583">
        <v>0</v>
      </c>
      <c r="L618" s="565">
        <f t="shared" si="27"/>
        <v>1755</v>
      </c>
      <c r="M618" s="179">
        <v>46150</v>
      </c>
      <c r="N618" s="179">
        <v>46154</v>
      </c>
      <c r="O618" s="565">
        <v>1755</v>
      </c>
      <c r="P618" s="565">
        <f t="shared" si="28"/>
        <v>0</v>
      </c>
      <c r="Q618" s="565"/>
      <c r="R618" s="565"/>
      <c r="S618" s="565"/>
      <c r="T618" s="565"/>
      <c r="U618" s="565"/>
      <c r="V618" s="565"/>
      <c r="W618" s="565"/>
      <c r="X618" s="565"/>
      <c r="Y618" t="str">
        <f t="shared" ca="1" si="29"/>
        <v>PAGO</v>
      </c>
      <c r="AA618" t="s">
        <v>408</v>
      </c>
    </row>
    <row r="619" spans="1:27" x14ac:dyDescent="0.3">
      <c r="A619" t="s">
        <v>217</v>
      </c>
      <c r="B619" s="562">
        <v>2026</v>
      </c>
      <c r="C619" t="s">
        <v>249</v>
      </c>
      <c r="D619">
        <v>865</v>
      </c>
      <c r="E619">
        <v>820</v>
      </c>
      <c r="F619" s="179">
        <v>46132</v>
      </c>
      <c r="G619" t="s">
        <v>339</v>
      </c>
      <c r="I619" t="s">
        <v>273</v>
      </c>
      <c r="J619" s="583">
        <v>1755</v>
      </c>
      <c r="K619" s="583">
        <v>0</v>
      </c>
      <c r="L619" s="565">
        <f t="shared" si="27"/>
        <v>1755</v>
      </c>
      <c r="M619" s="179">
        <v>46157</v>
      </c>
      <c r="N619" s="179">
        <v>46154</v>
      </c>
      <c r="O619" s="565">
        <v>1755</v>
      </c>
      <c r="P619" s="565">
        <f t="shared" si="28"/>
        <v>0</v>
      </c>
      <c r="Q619" s="565"/>
      <c r="R619" s="565"/>
      <c r="S619" s="565"/>
      <c r="T619" s="565"/>
      <c r="U619" s="565"/>
      <c r="V619" s="565"/>
      <c r="W619" s="565"/>
      <c r="X619" s="565"/>
      <c r="Y619" t="str">
        <f t="shared" ca="1" si="29"/>
        <v>PAGO</v>
      </c>
      <c r="AA619" t="s">
        <v>408</v>
      </c>
    </row>
    <row r="620" spans="1:27" x14ac:dyDescent="0.3">
      <c r="A620" t="s">
        <v>217</v>
      </c>
      <c r="B620" s="562">
        <v>2026</v>
      </c>
      <c r="C620" t="s">
        <v>248</v>
      </c>
      <c r="D620">
        <v>22832</v>
      </c>
      <c r="E620">
        <v>4548</v>
      </c>
      <c r="F620" s="179">
        <v>46136</v>
      </c>
      <c r="G620" t="s">
        <v>236</v>
      </c>
      <c r="I620" t="s">
        <v>270</v>
      </c>
      <c r="J620" s="583">
        <v>0</v>
      </c>
      <c r="K620" s="583">
        <v>410.55</v>
      </c>
      <c r="L620" s="565">
        <f t="shared" si="27"/>
        <v>410.55</v>
      </c>
      <c r="M620" s="179">
        <v>46164</v>
      </c>
      <c r="N620" s="179">
        <v>46162</v>
      </c>
      <c r="O620" s="565">
        <v>410.55</v>
      </c>
      <c r="P620" s="565">
        <f t="shared" si="28"/>
        <v>0</v>
      </c>
      <c r="Q620" s="565"/>
      <c r="R620" s="565"/>
      <c r="S620" s="565"/>
      <c r="T620" s="565"/>
      <c r="U620" s="565"/>
      <c r="V620" s="565"/>
      <c r="W620" s="565"/>
      <c r="X620" s="565"/>
      <c r="Y620" t="str">
        <f t="shared" ca="1" si="29"/>
        <v>PAGO</v>
      </c>
      <c r="AA620" t="s">
        <v>408</v>
      </c>
    </row>
    <row r="621" spans="1:27" x14ac:dyDescent="0.3">
      <c r="A621" t="s">
        <v>217</v>
      </c>
      <c r="B621" s="562">
        <v>2026</v>
      </c>
      <c r="C621" t="s">
        <v>249</v>
      </c>
      <c r="D621">
        <v>22842</v>
      </c>
      <c r="E621">
        <v>4593</v>
      </c>
      <c r="F621" s="179">
        <v>46139</v>
      </c>
      <c r="G621" t="s">
        <v>354</v>
      </c>
      <c r="I621" t="s">
        <v>372</v>
      </c>
      <c r="J621" s="583">
        <v>8553.6</v>
      </c>
      <c r="K621" s="583">
        <v>0</v>
      </c>
      <c r="L621" s="565">
        <f t="shared" si="27"/>
        <v>8553.6</v>
      </c>
      <c r="N621" s="179">
        <v>46139</v>
      </c>
      <c r="O621" s="565">
        <v>8553.6</v>
      </c>
      <c r="P621" s="565">
        <f t="shared" si="28"/>
        <v>0</v>
      </c>
      <c r="Q621" s="565"/>
      <c r="R621" s="565"/>
      <c r="S621" s="565"/>
      <c r="T621" s="565"/>
      <c r="U621" s="565"/>
      <c r="V621" s="565"/>
      <c r="W621" s="565"/>
      <c r="X621" s="565"/>
      <c r="Y621" t="str">
        <f t="shared" ca="1" si="29"/>
        <v>PAGO</v>
      </c>
      <c r="AA621" t="s">
        <v>408</v>
      </c>
    </row>
    <row r="622" spans="1:27" x14ac:dyDescent="0.3">
      <c r="A622" t="s">
        <v>217</v>
      </c>
      <c r="B622" s="562">
        <v>2026</v>
      </c>
      <c r="C622" t="s">
        <v>248</v>
      </c>
      <c r="D622">
        <v>22845</v>
      </c>
      <c r="E622">
        <v>4558</v>
      </c>
      <c r="F622" s="179">
        <v>46139</v>
      </c>
      <c r="G622" t="s">
        <v>236</v>
      </c>
      <c r="I622" t="s">
        <v>270</v>
      </c>
      <c r="J622" s="583">
        <v>0</v>
      </c>
      <c r="K622" s="583">
        <v>407.1</v>
      </c>
      <c r="L622" s="565">
        <f t="shared" si="27"/>
        <v>407.1</v>
      </c>
      <c r="M622" s="179">
        <v>46167</v>
      </c>
      <c r="N622" s="179">
        <v>46162</v>
      </c>
      <c r="O622" s="565">
        <v>407.1</v>
      </c>
      <c r="P622" s="565">
        <f t="shared" si="28"/>
        <v>0</v>
      </c>
      <c r="Q622" s="565"/>
      <c r="R622" s="565"/>
      <c r="S622" s="565"/>
      <c r="T622" s="565"/>
      <c r="U622" s="565"/>
      <c r="V622" s="565"/>
      <c r="W622" s="565"/>
      <c r="X622" s="565"/>
      <c r="Y622" t="str">
        <f t="shared" ca="1" si="29"/>
        <v>PAGO</v>
      </c>
      <c r="AA622" t="s">
        <v>408</v>
      </c>
    </row>
    <row r="623" spans="1:27" x14ac:dyDescent="0.3">
      <c r="A623" t="s">
        <v>217</v>
      </c>
      <c r="B623" s="562">
        <v>2026</v>
      </c>
      <c r="C623" t="s">
        <v>248</v>
      </c>
      <c r="D623">
        <v>22845</v>
      </c>
      <c r="E623">
        <v>4558</v>
      </c>
      <c r="F623" s="179">
        <v>46139</v>
      </c>
      <c r="G623" t="s">
        <v>236</v>
      </c>
      <c r="I623" t="s">
        <v>270</v>
      </c>
      <c r="J623" s="583">
        <v>0</v>
      </c>
      <c r="K623" s="583">
        <v>407.1</v>
      </c>
      <c r="L623" s="565">
        <f t="shared" si="27"/>
        <v>407.1</v>
      </c>
      <c r="M623" s="179">
        <v>46174</v>
      </c>
      <c r="N623" s="179">
        <v>46178</v>
      </c>
      <c r="O623" s="565">
        <v>407.1</v>
      </c>
      <c r="P623" s="565">
        <f t="shared" si="28"/>
        <v>0</v>
      </c>
      <c r="Q623" s="565"/>
      <c r="R623" s="565"/>
      <c r="S623" s="565"/>
      <c r="T623" s="565"/>
      <c r="U623" s="565"/>
      <c r="V623" s="565"/>
      <c r="W623" s="565"/>
      <c r="X623" s="565"/>
      <c r="Y623" t="str">
        <f t="shared" ca="1" si="29"/>
        <v>PAGO</v>
      </c>
      <c r="AA623" t="s">
        <v>408</v>
      </c>
    </row>
    <row r="624" spans="1:27" x14ac:dyDescent="0.3">
      <c r="A624" t="s">
        <v>217</v>
      </c>
      <c r="B624" s="562">
        <v>2026</v>
      </c>
      <c r="C624" t="s">
        <v>248</v>
      </c>
      <c r="D624">
        <v>22845</v>
      </c>
      <c r="E624">
        <v>4558</v>
      </c>
      <c r="F624" s="179">
        <v>46139</v>
      </c>
      <c r="G624" t="s">
        <v>236</v>
      </c>
      <c r="I624" t="s">
        <v>270</v>
      </c>
      <c r="J624" s="583">
        <v>0</v>
      </c>
      <c r="K624" s="583">
        <v>407.1</v>
      </c>
      <c r="L624" s="565">
        <f t="shared" si="27"/>
        <v>407.1</v>
      </c>
      <c r="M624" s="179">
        <v>46181</v>
      </c>
      <c r="N624" s="179">
        <v>46188</v>
      </c>
      <c r="O624" s="565">
        <v>407.1</v>
      </c>
      <c r="P624" s="565">
        <f t="shared" si="28"/>
        <v>0</v>
      </c>
      <c r="Q624" s="565"/>
      <c r="R624" s="565"/>
      <c r="S624" s="565"/>
      <c r="T624" s="565"/>
      <c r="U624" s="565"/>
      <c r="V624" s="565"/>
      <c r="W624" s="565"/>
      <c r="X624" s="565"/>
      <c r="Y624" t="str">
        <f t="shared" ca="1" si="29"/>
        <v>PAGO</v>
      </c>
      <c r="AA624" t="s">
        <v>408</v>
      </c>
    </row>
    <row r="625" spans="1:27" x14ac:dyDescent="0.3">
      <c r="A625" t="s">
        <v>217</v>
      </c>
      <c r="B625" s="562">
        <v>2026</v>
      </c>
      <c r="C625" t="s">
        <v>248</v>
      </c>
      <c r="D625">
        <v>22867</v>
      </c>
      <c r="E625">
        <v>4557</v>
      </c>
      <c r="F625" s="179">
        <v>46139</v>
      </c>
      <c r="G625" t="s">
        <v>341</v>
      </c>
      <c r="I625" t="s">
        <v>270</v>
      </c>
      <c r="J625" s="583">
        <v>5279.1750000000002</v>
      </c>
      <c r="K625" s="583">
        <v>0</v>
      </c>
      <c r="L625" s="565">
        <f t="shared" si="27"/>
        <v>5279.1750000000002</v>
      </c>
      <c r="M625" s="179">
        <v>46160</v>
      </c>
      <c r="N625" s="179">
        <v>46160</v>
      </c>
      <c r="O625" s="565">
        <v>5279.18</v>
      </c>
      <c r="P625" s="565">
        <f t="shared" si="28"/>
        <v>-5.0000000001091394E-3</v>
      </c>
      <c r="Q625" s="565"/>
      <c r="R625" s="565"/>
      <c r="S625" s="565"/>
      <c r="T625" s="565"/>
      <c r="U625" s="565"/>
      <c r="V625" s="565"/>
      <c r="W625" s="565"/>
      <c r="X625" s="565"/>
      <c r="Y625" t="str">
        <f t="shared" ca="1" si="29"/>
        <v>PAGO</v>
      </c>
      <c r="AA625" t="s">
        <v>408</v>
      </c>
    </row>
    <row r="626" spans="1:27" x14ac:dyDescent="0.3">
      <c r="A626" t="s">
        <v>217</v>
      </c>
      <c r="B626" s="562">
        <v>2026</v>
      </c>
      <c r="C626" t="s">
        <v>249</v>
      </c>
      <c r="D626">
        <v>885</v>
      </c>
      <c r="E626">
        <v>846</v>
      </c>
      <c r="F626" s="179">
        <v>46141</v>
      </c>
      <c r="G626" t="s">
        <v>264</v>
      </c>
      <c r="I626" t="s">
        <v>271</v>
      </c>
      <c r="J626" s="583">
        <v>1702.8</v>
      </c>
      <c r="K626" s="583">
        <v>0</v>
      </c>
      <c r="L626" s="565">
        <f t="shared" si="27"/>
        <v>1702.8</v>
      </c>
      <c r="M626" s="179">
        <v>46154</v>
      </c>
      <c r="N626" s="179">
        <v>46154</v>
      </c>
      <c r="O626" s="565">
        <v>1702.8</v>
      </c>
      <c r="P626" s="565">
        <f t="shared" si="28"/>
        <v>0</v>
      </c>
      <c r="Q626" s="565"/>
      <c r="R626" s="565"/>
      <c r="S626" s="565"/>
      <c r="T626" s="565"/>
      <c r="U626" s="565"/>
      <c r="V626" s="565"/>
      <c r="W626" s="565"/>
      <c r="X626" s="565"/>
      <c r="Y626" t="str">
        <f t="shared" ca="1" si="29"/>
        <v>PAGO</v>
      </c>
      <c r="AA626" t="s">
        <v>408</v>
      </c>
    </row>
    <row r="627" spans="1:27" x14ac:dyDescent="0.3">
      <c r="A627" t="s">
        <v>217</v>
      </c>
      <c r="B627" s="562">
        <v>2026</v>
      </c>
      <c r="C627" t="s">
        <v>249</v>
      </c>
      <c r="D627">
        <v>885</v>
      </c>
      <c r="E627">
        <v>846</v>
      </c>
      <c r="F627" s="179">
        <v>46141</v>
      </c>
      <c r="G627" t="s">
        <v>264</v>
      </c>
      <c r="I627" t="s">
        <v>271</v>
      </c>
      <c r="J627" s="583">
        <v>1702.8</v>
      </c>
      <c r="K627" s="583">
        <v>0</v>
      </c>
      <c r="L627" s="565">
        <f t="shared" si="27"/>
        <v>1702.8</v>
      </c>
      <c r="M627" s="179">
        <v>46161</v>
      </c>
      <c r="N627" s="179">
        <v>46161</v>
      </c>
      <c r="O627" s="565">
        <v>1702.8</v>
      </c>
      <c r="P627" s="565">
        <f t="shared" si="28"/>
        <v>0</v>
      </c>
      <c r="Q627" s="565"/>
      <c r="R627" s="565"/>
      <c r="S627" s="565"/>
      <c r="T627" s="565"/>
      <c r="U627" s="565"/>
      <c r="V627" s="565"/>
      <c r="W627" s="565"/>
      <c r="X627" s="565"/>
      <c r="Y627" t="str">
        <f t="shared" ca="1" si="29"/>
        <v>PAGO</v>
      </c>
      <c r="AA627" t="s">
        <v>408</v>
      </c>
    </row>
    <row r="628" spans="1:27" x14ac:dyDescent="0.3">
      <c r="A628" t="s">
        <v>217</v>
      </c>
      <c r="B628" s="562">
        <v>2026</v>
      </c>
      <c r="C628" t="s">
        <v>249</v>
      </c>
      <c r="D628">
        <v>885</v>
      </c>
      <c r="E628">
        <v>846</v>
      </c>
      <c r="F628" s="179">
        <v>46141</v>
      </c>
      <c r="G628" t="s">
        <v>264</v>
      </c>
      <c r="I628" t="s">
        <v>271</v>
      </c>
      <c r="J628" s="583">
        <v>1702.8</v>
      </c>
      <c r="K628" s="583">
        <v>0</v>
      </c>
      <c r="L628" s="565">
        <f t="shared" si="27"/>
        <v>1702.8</v>
      </c>
      <c r="M628" s="179">
        <v>46168</v>
      </c>
      <c r="N628" s="179">
        <v>46168</v>
      </c>
      <c r="O628" s="565">
        <v>1702.8</v>
      </c>
      <c r="P628" s="565">
        <f t="shared" si="28"/>
        <v>0</v>
      </c>
      <c r="Q628" s="565"/>
      <c r="R628" s="565"/>
      <c r="S628" s="565"/>
      <c r="T628" s="565"/>
      <c r="U628" s="565"/>
      <c r="V628" s="565"/>
      <c r="W628" s="565"/>
      <c r="X628" s="565"/>
      <c r="Y628" t="str">
        <f t="shared" ca="1" si="29"/>
        <v>PAGO</v>
      </c>
      <c r="AA628" t="s">
        <v>408</v>
      </c>
    </row>
    <row r="629" spans="1:27" x14ac:dyDescent="0.3">
      <c r="A629" t="s">
        <v>217</v>
      </c>
      <c r="B629" s="562">
        <v>2026</v>
      </c>
      <c r="C629" t="s">
        <v>249</v>
      </c>
      <c r="D629">
        <v>22910</v>
      </c>
      <c r="E629">
        <v>4659</v>
      </c>
      <c r="F629" s="179">
        <v>46142</v>
      </c>
      <c r="G629" t="s">
        <v>365</v>
      </c>
      <c r="I629" t="s">
        <v>326</v>
      </c>
      <c r="J629" s="583">
        <v>1880</v>
      </c>
      <c r="K629" s="583">
        <v>0</v>
      </c>
      <c r="L629" s="565">
        <f t="shared" si="27"/>
        <v>1880</v>
      </c>
      <c r="M629" s="179">
        <v>46157</v>
      </c>
      <c r="N629" s="179">
        <v>46157</v>
      </c>
      <c r="O629" s="565">
        <v>1880</v>
      </c>
      <c r="P629" s="565">
        <f t="shared" si="28"/>
        <v>0</v>
      </c>
      <c r="Q629" s="565"/>
      <c r="R629" s="565"/>
      <c r="S629" s="565"/>
      <c r="T629" s="565"/>
      <c r="U629" s="565"/>
      <c r="V629" s="565"/>
      <c r="W629" s="565"/>
      <c r="X629" s="565"/>
      <c r="Y629" t="str">
        <f t="shared" ca="1" si="29"/>
        <v>PAGO</v>
      </c>
      <c r="AA629" t="s">
        <v>408</v>
      </c>
    </row>
    <row r="630" spans="1:27" x14ac:dyDescent="0.3">
      <c r="A630" t="s">
        <v>217</v>
      </c>
      <c r="B630" s="562">
        <v>2026</v>
      </c>
      <c r="C630" t="s">
        <v>249</v>
      </c>
      <c r="D630">
        <v>22910</v>
      </c>
      <c r="E630">
        <v>4659</v>
      </c>
      <c r="F630" s="179">
        <v>46142</v>
      </c>
      <c r="G630" t="s">
        <v>365</v>
      </c>
      <c r="I630" t="s">
        <v>326</v>
      </c>
      <c r="J630" s="583">
        <v>1880</v>
      </c>
      <c r="K630" s="583">
        <v>0</v>
      </c>
      <c r="L630" s="565">
        <f t="shared" si="27"/>
        <v>1880</v>
      </c>
      <c r="M630" s="179">
        <v>46172</v>
      </c>
      <c r="N630" s="179">
        <v>46174</v>
      </c>
      <c r="O630" s="565">
        <v>1880</v>
      </c>
      <c r="P630" s="565">
        <f t="shared" si="28"/>
        <v>0</v>
      </c>
      <c r="Q630" s="565"/>
      <c r="R630" s="565"/>
      <c r="S630" s="565"/>
      <c r="T630" s="565"/>
      <c r="U630" s="565"/>
      <c r="V630" s="565"/>
      <c r="W630" s="565"/>
      <c r="X630" s="565"/>
      <c r="Y630" t="str">
        <f t="shared" ca="1" si="29"/>
        <v>PAGO</v>
      </c>
      <c r="AA630" t="s">
        <v>408</v>
      </c>
    </row>
    <row r="631" spans="1:27" x14ac:dyDescent="0.3">
      <c r="A631" t="s">
        <v>217</v>
      </c>
      <c r="B631" s="562">
        <v>2026</v>
      </c>
      <c r="C631" t="s">
        <v>249</v>
      </c>
      <c r="D631">
        <v>22910</v>
      </c>
      <c r="E631">
        <v>4659</v>
      </c>
      <c r="F631" s="179">
        <v>46142</v>
      </c>
      <c r="G631" t="s">
        <v>365</v>
      </c>
      <c r="I631" t="s">
        <v>326</v>
      </c>
      <c r="J631" s="583">
        <v>1128</v>
      </c>
      <c r="K631" s="583">
        <v>0</v>
      </c>
      <c r="L631" s="565">
        <f t="shared" si="27"/>
        <v>1128</v>
      </c>
      <c r="M631" s="179">
        <v>46187</v>
      </c>
      <c r="N631" s="179">
        <v>46188</v>
      </c>
      <c r="O631" s="565">
        <v>1128</v>
      </c>
      <c r="P631" s="565">
        <f t="shared" si="28"/>
        <v>0</v>
      </c>
      <c r="Q631" s="565"/>
      <c r="R631" s="565"/>
      <c r="S631" s="565"/>
      <c r="T631" s="565"/>
      <c r="U631" s="565"/>
      <c r="V631" s="565"/>
      <c r="W631" s="565"/>
      <c r="X631" s="565"/>
      <c r="Y631" t="str">
        <f t="shared" ca="1" si="29"/>
        <v>PAGO</v>
      </c>
      <c r="AA631" t="s">
        <v>408</v>
      </c>
    </row>
    <row r="632" spans="1:27" x14ac:dyDescent="0.3">
      <c r="A632" t="s">
        <v>218</v>
      </c>
      <c r="B632" s="562">
        <v>2026</v>
      </c>
      <c r="C632" t="s">
        <v>248</v>
      </c>
      <c r="F632" s="179">
        <v>46146</v>
      </c>
      <c r="G632" t="s">
        <v>371</v>
      </c>
      <c r="J632" s="583">
        <v>4590.5</v>
      </c>
      <c r="K632" s="583">
        <v>0</v>
      </c>
      <c r="L632" s="565">
        <f t="shared" si="27"/>
        <v>4590.5</v>
      </c>
      <c r="M632" s="179">
        <v>46160</v>
      </c>
      <c r="N632" s="179">
        <v>46146</v>
      </c>
      <c r="O632" s="565">
        <v>4590.5</v>
      </c>
      <c r="P632" s="565">
        <f t="shared" si="28"/>
        <v>0</v>
      </c>
      <c r="Q632" s="565"/>
      <c r="R632" s="565"/>
      <c r="S632" s="565"/>
      <c r="T632" s="565"/>
      <c r="U632" s="565"/>
      <c r="V632" s="565"/>
      <c r="W632" s="565"/>
      <c r="X632" s="565"/>
      <c r="Y632" t="str">
        <f t="shared" ca="1" si="29"/>
        <v>PAGO</v>
      </c>
      <c r="AA632" t="s">
        <v>409</v>
      </c>
    </row>
    <row r="633" spans="1:27" x14ac:dyDescent="0.3">
      <c r="A633" t="s">
        <v>218</v>
      </c>
      <c r="B633" s="562">
        <v>2026</v>
      </c>
      <c r="C633" t="s">
        <v>248</v>
      </c>
      <c r="D633">
        <v>22964</v>
      </c>
      <c r="E633">
        <v>4669</v>
      </c>
      <c r="F633" s="179">
        <v>46146</v>
      </c>
      <c r="G633" t="s">
        <v>236</v>
      </c>
      <c r="I633" t="s">
        <v>270</v>
      </c>
      <c r="J633" s="583">
        <v>0</v>
      </c>
      <c r="K633" s="583">
        <v>407.1</v>
      </c>
      <c r="L633" s="565">
        <f t="shared" si="27"/>
        <v>407.1</v>
      </c>
      <c r="M633" s="179">
        <v>46174</v>
      </c>
      <c r="N633" s="179">
        <v>46178</v>
      </c>
      <c r="O633" s="565">
        <v>407.1</v>
      </c>
      <c r="P633" s="565">
        <f t="shared" si="28"/>
        <v>0</v>
      </c>
      <c r="Q633" s="565"/>
      <c r="R633" s="565"/>
      <c r="S633" s="565"/>
      <c r="T633" s="565"/>
      <c r="U633" s="565"/>
      <c r="V633" s="565"/>
      <c r="W633" s="565"/>
      <c r="X633" s="565"/>
      <c r="Y633" t="str">
        <f t="shared" ca="1" si="29"/>
        <v>PAGO</v>
      </c>
      <c r="AA633" t="s">
        <v>409</v>
      </c>
    </row>
    <row r="634" spans="1:27" x14ac:dyDescent="0.3">
      <c r="A634" t="s">
        <v>218</v>
      </c>
      <c r="B634" s="562">
        <v>2026</v>
      </c>
      <c r="C634" t="s">
        <v>248</v>
      </c>
      <c r="D634">
        <v>22964</v>
      </c>
      <c r="E634">
        <v>4669</v>
      </c>
      <c r="F634" s="179">
        <v>46146</v>
      </c>
      <c r="G634" t="s">
        <v>236</v>
      </c>
      <c r="I634" t="s">
        <v>270</v>
      </c>
      <c r="J634" s="583">
        <v>0</v>
      </c>
      <c r="K634" s="583">
        <v>407.1</v>
      </c>
      <c r="L634" s="565">
        <f t="shared" si="27"/>
        <v>407.1</v>
      </c>
      <c r="M634" s="179">
        <v>46181</v>
      </c>
      <c r="N634" s="179">
        <v>46188</v>
      </c>
      <c r="O634" s="565">
        <v>407.1</v>
      </c>
      <c r="P634" s="565">
        <f t="shared" si="28"/>
        <v>0</v>
      </c>
      <c r="Q634" s="565"/>
      <c r="R634" s="565"/>
      <c r="S634" s="565"/>
      <c r="T634" s="565"/>
      <c r="U634" s="565"/>
      <c r="V634" s="565"/>
      <c r="W634" s="565"/>
      <c r="X634" s="565"/>
      <c r="Y634" t="str">
        <f t="shared" ca="1" si="29"/>
        <v>PAGO</v>
      </c>
      <c r="AA634" t="s">
        <v>409</v>
      </c>
    </row>
    <row r="635" spans="1:27" x14ac:dyDescent="0.3">
      <c r="A635" t="s">
        <v>218</v>
      </c>
      <c r="B635" s="562">
        <v>2026</v>
      </c>
      <c r="C635" t="s">
        <v>249</v>
      </c>
      <c r="D635">
        <v>900</v>
      </c>
      <c r="E635">
        <v>871</v>
      </c>
      <c r="F635" s="179">
        <v>46148</v>
      </c>
      <c r="G635" t="s">
        <v>264</v>
      </c>
      <c r="I635" t="s">
        <v>271</v>
      </c>
      <c r="J635" s="583">
        <v>1602.53</v>
      </c>
      <c r="K635" s="583">
        <v>0</v>
      </c>
      <c r="L635" s="565">
        <f t="shared" si="27"/>
        <v>1602.53</v>
      </c>
      <c r="M635" s="179">
        <v>46162</v>
      </c>
      <c r="N635" s="179">
        <v>46162</v>
      </c>
      <c r="O635" s="565">
        <v>1602.53</v>
      </c>
      <c r="P635" s="565">
        <f t="shared" si="28"/>
        <v>0</v>
      </c>
      <c r="Q635" s="565"/>
      <c r="R635" s="565"/>
      <c r="S635" s="565"/>
      <c r="T635" s="565"/>
      <c r="U635" s="565"/>
      <c r="V635" s="565"/>
      <c r="W635" s="565"/>
      <c r="X635" s="565"/>
      <c r="Y635" t="str">
        <f t="shared" ca="1" si="29"/>
        <v>PAGO</v>
      </c>
      <c r="AA635" t="s">
        <v>409</v>
      </c>
    </row>
    <row r="636" spans="1:27" x14ac:dyDescent="0.3">
      <c r="A636" t="s">
        <v>218</v>
      </c>
      <c r="B636" s="562">
        <v>2026</v>
      </c>
      <c r="C636" t="s">
        <v>249</v>
      </c>
      <c r="D636">
        <v>900</v>
      </c>
      <c r="E636">
        <v>871</v>
      </c>
      <c r="F636" s="179">
        <v>46148</v>
      </c>
      <c r="G636" t="s">
        <v>264</v>
      </c>
      <c r="I636" t="s">
        <v>271</v>
      </c>
      <c r="J636" s="583">
        <v>1602.53</v>
      </c>
      <c r="K636" s="583">
        <v>0</v>
      </c>
      <c r="L636" s="565">
        <f t="shared" si="27"/>
        <v>1602.53</v>
      </c>
      <c r="M636" s="179">
        <v>46169</v>
      </c>
      <c r="N636" s="179">
        <v>46167</v>
      </c>
      <c r="O636" s="565">
        <v>1602.53</v>
      </c>
      <c r="P636" s="565">
        <f t="shared" si="28"/>
        <v>0</v>
      </c>
      <c r="Q636" s="565"/>
      <c r="R636" s="565"/>
      <c r="S636" s="565"/>
      <c r="T636" s="565"/>
      <c r="U636" s="565"/>
      <c r="V636" s="565"/>
      <c r="W636" s="565"/>
      <c r="X636" s="565"/>
      <c r="Y636" t="str">
        <f t="shared" ca="1" si="29"/>
        <v>PAGO</v>
      </c>
      <c r="AA636" t="s">
        <v>409</v>
      </c>
    </row>
    <row r="637" spans="1:27" x14ac:dyDescent="0.3">
      <c r="A637" t="s">
        <v>218</v>
      </c>
      <c r="B637" s="562">
        <v>2026</v>
      </c>
      <c r="C637" t="s">
        <v>249</v>
      </c>
      <c r="D637">
        <v>900</v>
      </c>
      <c r="E637">
        <v>871</v>
      </c>
      <c r="F637" s="179">
        <v>46148</v>
      </c>
      <c r="G637" t="s">
        <v>264</v>
      </c>
      <c r="I637" t="s">
        <v>271</v>
      </c>
      <c r="J637" s="583">
        <v>1602.54</v>
      </c>
      <c r="K637" s="583">
        <v>0</v>
      </c>
      <c r="L637" s="565">
        <f t="shared" si="27"/>
        <v>1602.54</v>
      </c>
      <c r="M637" s="179">
        <v>46176</v>
      </c>
      <c r="N637" s="179">
        <v>46175</v>
      </c>
      <c r="O637" s="565">
        <v>1602.53</v>
      </c>
      <c r="P637" s="565">
        <f t="shared" si="28"/>
        <v>9.9999999999909051E-3</v>
      </c>
      <c r="Q637" s="565"/>
      <c r="R637" s="565"/>
      <c r="S637" s="565"/>
      <c r="T637" s="565"/>
      <c r="U637" s="565"/>
      <c r="V637" s="565"/>
      <c r="W637" s="565"/>
      <c r="X637" s="565"/>
      <c r="Y637" t="str">
        <f t="shared" ca="1" si="29"/>
        <v>PAGO</v>
      </c>
      <c r="AA637" t="s">
        <v>409</v>
      </c>
    </row>
    <row r="638" spans="1:27" x14ac:dyDescent="0.3">
      <c r="A638" t="s">
        <v>218</v>
      </c>
      <c r="B638" s="562">
        <v>2026</v>
      </c>
      <c r="C638" t="s">
        <v>248</v>
      </c>
      <c r="D638">
        <v>23021</v>
      </c>
      <c r="E638">
        <v>4681</v>
      </c>
      <c r="F638" s="179">
        <v>46148</v>
      </c>
      <c r="G638" t="s">
        <v>236</v>
      </c>
      <c r="I638" t="s">
        <v>270</v>
      </c>
      <c r="J638" s="583">
        <v>0</v>
      </c>
      <c r="K638" s="583">
        <v>526.12</v>
      </c>
      <c r="L638" s="565">
        <f t="shared" si="27"/>
        <v>526.12</v>
      </c>
      <c r="M638" s="179">
        <v>46183</v>
      </c>
      <c r="N638" s="179">
        <v>46178</v>
      </c>
      <c r="O638" s="565">
        <v>526.12</v>
      </c>
      <c r="P638" s="565">
        <f t="shared" si="28"/>
        <v>0</v>
      </c>
      <c r="Q638" s="565"/>
      <c r="R638" s="565"/>
      <c r="S638" s="565"/>
      <c r="T638" s="565"/>
      <c r="U638" s="565"/>
      <c r="V638" s="565"/>
      <c r="W638" s="565"/>
      <c r="X638" s="565"/>
      <c r="Y638" t="str">
        <f t="shared" ca="1" si="29"/>
        <v>PAGO</v>
      </c>
      <c r="AA638" t="s">
        <v>409</v>
      </c>
    </row>
    <row r="639" spans="1:27" x14ac:dyDescent="0.3">
      <c r="A639" t="s">
        <v>218</v>
      </c>
      <c r="B639" s="562">
        <v>2026</v>
      </c>
      <c r="C639" t="s">
        <v>248</v>
      </c>
      <c r="D639">
        <v>23022</v>
      </c>
      <c r="E639">
        <v>4680</v>
      </c>
      <c r="F639" s="179">
        <v>46148</v>
      </c>
      <c r="G639" t="s">
        <v>236</v>
      </c>
      <c r="I639" t="s">
        <v>270</v>
      </c>
      <c r="J639" s="583">
        <v>0</v>
      </c>
      <c r="K639" s="583">
        <v>403.64</v>
      </c>
      <c r="L639" s="565">
        <f t="shared" si="27"/>
        <v>403.64</v>
      </c>
      <c r="M639" s="179">
        <v>46183</v>
      </c>
      <c r="N639" s="179">
        <v>46178</v>
      </c>
      <c r="O639" s="565">
        <v>403.66</v>
      </c>
      <c r="P639" s="565">
        <f t="shared" si="28"/>
        <v>-2.0000000000038654E-2</v>
      </c>
      <c r="Q639" s="565"/>
      <c r="R639" s="565"/>
      <c r="S639" s="565"/>
      <c r="T639" s="565"/>
      <c r="U639" s="565"/>
      <c r="V639" s="565"/>
      <c r="W639" s="565"/>
      <c r="X639" s="565"/>
      <c r="Y639" t="str">
        <f t="shared" ca="1" si="29"/>
        <v>PAGO</v>
      </c>
      <c r="AA639" t="s">
        <v>409</v>
      </c>
    </row>
    <row r="640" spans="1:27" x14ac:dyDescent="0.3">
      <c r="A640" t="s">
        <v>218</v>
      </c>
      <c r="B640" s="562">
        <v>2026</v>
      </c>
      <c r="C640" t="s">
        <v>248</v>
      </c>
      <c r="D640">
        <v>23072</v>
      </c>
      <c r="E640">
        <v>4717</v>
      </c>
      <c r="F640" s="179">
        <v>46150</v>
      </c>
      <c r="G640" t="s">
        <v>236</v>
      </c>
      <c r="I640" t="s">
        <v>270</v>
      </c>
      <c r="J640" s="583">
        <v>0</v>
      </c>
      <c r="K640" s="583">
        <v>1001.65</v>
      </c>
      <c r="L640" s="565">
        <f t="shared" si="27"/>
        <v>1001.65</v>
      </c>
      <c r="M640" s="179">
        <v>46178</v>
      </c>
      <c r="N640" s="179">
        <v>46188</v>
      </c>
      <c r="O640" s="565">
        <v>1001.65</v>
      </c>
      <c r="P640" s="565">
        <f t="shared" si="28"/>
        <v>0</v>
      </c>
      <c r="Q640" s="565"/>
      <c r="R640" s="565"/>
      <c r="S640" s="565"/>
      <c r="T640" s="565"/>
      <c r="U640" s="565"/>
      <c r="V640" s="565"/>
      <c r="W640" s="565"/>
      <c r="X640" s="565"/>
      <c r="Y640" t="str">
        <f t="shared" ca="1" si="29"/>
        <v>PAGO</v>
      </c>
      <c r="AA640" t="s">
        <v>409</v>
      </c>
    </row>
    <row r="641" spans="1:27" x14ac:dyDescent="0.3">
      <c r="A641" t="s">
        <v>218</v>
      </c>
      <c r="B641" s="562">
        <v>2026</v>
      </c>
      <c r="C641" t="s">
        <v>248</v>
      </c>
      <c r="D641">
        <v>23072</v>
      </c>
      <c r="E641">
        <v>4717</v>
      </c>
      <c r="F641" s="179">
        <v>46150</v>
      </c>
      <c r="G641" t="s">
        <v>236</v>
      </c>
      <c r="I641" t="s">
        <v>270</v>
      </c>
      <c r="J641" s="583">
        <v>0</v>
      </c>
      <c r="K641" s="583">
        <v>1001.645</v>
      </c>
      <c r="L641" s="565">
        <f t="shared" si="27"/>
        <v>1001.645</v>
      </c>
      <c r="M641" s="179">
        <v>46185</v>
      </c>
      <c r="N641" s="179">
        <v>46188</v>
      </c>
      <c r="O641" s="565">
        <v>1001.65</v>
      </c>
      <c r="P641" s="565">
        <f t="shared" si="28"/>
        <v>-4.9999999999954525E-3</v>
      </c>
      <c r="Q641" s="565"/>
      <c r="R641" s="565"/>
      <c r="S641" s="565"/>
      <c r="T641" s="565"/>
      <c r="U641" s="565"/>
      <c r="V641" s="565"/>
      <c r="W641" s="565"/>
      <c r="X641" s="565"/>
      <c r="Y641" t="str">
        <f t="shared" ca="1" si="29"/>
        <v>PAGO</v>
      </c>
      <c r="AA641" t="s">
        <v>409</v>
      </c>
    </row>
    <row r="642" spans="1:27" x14ac:dyDescent="0.3">
      <c r="A642" t="s">
        <v>218</v>
      </c>
      <c r="B642" s="562">
        <v>2026</v>
      </c>
      <c r="C642" t="s">
        <v>248</v>
      </c>
      <c r="D642">
        <v>23072</v>
      </c>
      <c r="E642">
        <v>4717</v>
      </c>
      <c r="F642" s="179">
        <v>46150</v>
      </c>
      <c r="G642" t="s">
        <v>236</v>
      </c>
      <c r="I642" t="s">
        <v>270</v>
      </c>
      <c r="J642" s="583">
        <v>0</v>
      </c>
      <c r="K642" s="583">
        <v>1001.64</v>
      </c>
      <c r="L642" s="565">
        <f t="shared" si="27"/>
        <v>1001.64</v>
      </c>
      <c r="M642" s="179">
        <v>46192</v>
      </c>
      <c r="N642" s="179">
        <v>46191</v>
      </c>
      <c r="O642" s="565">
        <v>1001.66</v>
      </c>
      <c r="P642" s="565">
        <f t="shared" si="28"/>
        <v>-1.999999999998181E-2</v>
      </c>
      <c r="Q642" s="565"/>
      <c r="R642" s="565"/>
      <c r="S642" s="565"/>
      <c r="T642" s="565"/>
      <c r="U642" s="565"/>
      <c r="V642" s="565"/>
      <c r="W642" s="565"/>
      <c r="X642" s="565"/>
      <c r="Y642" t="str">
        <f t="shared" ca="1" si="29"/>
        <v>PAGO</v>
      </c>
      <c r="AA642" t="s">
        <v>409</v>
      </c>
    </row>
    <row r="643" spans="1:27" ht="14.55" x14ac:dyDescent="0.3">
      <c r="A643" t="s">
        <v>218</v>
      </c>
      <c r="B643" s="562">
        <v>2026</v>
      </c>
      <c r="C643" t="s">
        <v>249</v>
      </c>
      <c r="D643">
        <v>23068</v>
      </c>
      <c r="E643">
        <v>4781</v>
      </c>
      <c r="F643" s="179">
        <v>46150</v>
      </c>
      <c r="G643" t="s">
        <v>368</v>
      </c>
      <c r="I643" t="s">
        <v>272</v>
      </c>
      <c r="J643" s="583">
        <v>0</v>
      </c>
      <c r="K643" s="583">
        <v>109.75</v>
      </c>
      <c r="L643" s="565">
        <f t="shared" ref="L643:L706" si="30">J643+K643</f>
        <v>109.75</v>
      </c>
      <c r="N643" s="179">
        <v>46161</v>
      </c>
      <c r="O643" s="565">
        <v>109.75</v>
      </c>
      <c r="P643" s="565">
        <f t="shared" ref="P643:P706" si="31">L643-O643</f>
        <v>0</v>
      </c>
      <c r="Q643" s="565"/>
      <c r="R643" s="565"/>
      <c r="S643" s="565"/>
      <c r="T643" s="565"/>
      <c r="U643" s="565"/>
      <c r="V643" s="565"/>
      <c r="W643" s="565"/>
      <c r="X643" s="565"/>
      <c r="Y643" t="str">
        <f t="shared" ref="Y643:Y706" ca="1" si="32">IF(L643=0,"SEM VALOR",IF(P643&lt;=0.01,"PAGO",IF(M643="","SEM VENCIMENTO",IF(M643&lt;TODAY(),"VENCIDO","A VENCER"))))</f>
        <v>PAGO</v>
      </c>
      <c r="AA643" t="s">
        <v>409</v>
      </c>
    </row>
    <row r="644" spans="1:27" x14ac:dyDescent="0.3">
      <c r="A644" t="s">
        <v>218</v>
      </c>
      <c r="B644" s="562">
        <v>2026</v>
      </c>
      <c r="C644" t="s">
        <v>249</v>
      </c>
      <c r="D644">
        <v>23133</v>
      </c>
      <c r="E644">
        <v>4837</v>
      </c>
      <c r="F644" s="179">
        <v>46155</v>
      </c>
      <c r="G644" t="s">
        <v>264</v>
      </c>
      <c r="I644" t="s">
        <v>271</v>
      </c>
      <c r="J644" s="583">
        <v>2073.86</v>
      </c>
      <c r="K644" s="583">
        <v>0</v>
      </c>
      <c r="L644" s="565">
        <f t="shared" si="30"/>
        <v>2073.86</v>
      </c>
      <c r="M644" s="179">
        <v>46176</v>
      </c>
      <c r="N644" s="179">
        <v>46176</v>
      </c>
      <c r="O644" s="565">
        <v>2073.86</v>
      </c>
      <c r="P644" s="565">
        <f t="shared" si="31"/>
        <v>0</v>
      </c>
      <c r="Q644" s="565"/>
      <c r="R644" s="565"/>
      <c r="S644" s="565"/>
      <c r="T644" s="565"/>
      <c r="U644" s="565"/>
      <c r="V644" s="565"/>
      <c r="W644" s="565"/>
      <c r="X644" s="565"/>
      <c r="Y644" t="str">
        <f t="shared" ca="1" si="32"/>
        <v>PAGO</v>
      </c>
      <c r="AA644" t="s">
        <v>409</v>
      </c>
    </row>
    <row r="645" spans="1:27" x14ac:dyDescent="0.3">
      <c r="A645" t="s">
        <v>218</v>
      </c>
      <c r="B645" s="562">
        <v>2026</v>
      </c>
      <c r="C645" t="s">
        <v>249</v>
      </c>
      <c r="D645">
        <v>23133</v>
      </c>
      <c r="E645">
        <v>4837</v>
      </c>
      <c r="F645" s="179">
        <v>46155</v>
      </c>
      <c r="G645" t="s">
        <v>264</v>
      </c>
      <c r="I645" t="s">
        <v>271</v>
      </c>
      <c r="J645" s="583">
        <v>2073.87</v>
      </c>
      <c r="K645" s="583">
        <v>0</v>
      </c>
      <c r="L645" s="565">
        <f t="shared" si="30"/>
        <v>2073.87</v>
      </c>
      <c r="M645" s="179">
        <v>46183</v>
      </c>
      <c r="N645" s="179">
        <v>46183</v>
      </c>
      <c r="O645" s="565">
        <v>2073.87</v>
      </c>
      <c r="P645" s="565">
        <f t="shared" si="31"/>
        <v>0</v>
      </c>
      <c r="Q645" s="565"/>
      <c r="R645" s="565"/>
      <c r="S645" s="565"/>
      <c r="T645" s="565"/>
      <c r="U645" s="565"/>
      <c r="V645" s="565"/>
      <c r="W645" s="565"/>
      <c r="X645" s="565"/>
      <c r="Y645" t="str">
        <f t="shared" ca="1" si="32"/>
        <v>PAGO</v>
      </c>
      <c r="AA645" t="s">
        <v>409</v>
      </c>
    </row>
    <row r="646" spans="1:27" x14ac:dyDescent="0.3">
      <c r="A646" t="s">
        <v>218</v>
      </c>
      <c r="B646" s="562">
        <v>2026</v>
      </c>
      <c r="C646" t="s">
        <v>249</v>
      </c>
      <c r="D646">
        <v>23133</v>
      </c>
      <c r="E646">
        <v>4837</v>
      </c>
      <c r="F646" s="179">
        <v>46155</v>
      </c>
      <c r="G646" t="s">
        <v>264</v>
      </c>
      <c r="I646" t="s">
        <v>271</v>
      </c>
      <c r="J646" s="583">
        <v>2073.87</v>
      </c>
      <c r="K646" s="583">
        <v>0</v>
      </c>
      <c r="L646" s="565">
        <f t="shared" si="30"/>
        <v>2073.87</v>
      </c>
      <c r="M646" s="179">
        <v>46190</v>
      </c>
      <c r="N646" s="179">
        <v>46190</v>
      </c>
      <c r="O646" s="565">
        <v>2073</v>
      </c>
      <c r="P646" s="565">
        <f t="shared" si="31"/>
        <v>0.86999999999989086</v>
      </c>
      <c r="Q646" s="565"/>
      <c r="R646" s="565"/>
      <c r="S646" s="565"/>
      <c r="T646" s="565"/>
      <c r="U646" s="565"/>
      <c r="V646" s="565"/>
      <c r="W646" s="565"/>
      <c r="X646" s="565"/>
      <c r="Y646" t="str">
        <f t="shared" ca="1" si="32"/>
        <v>VENCIDO</v>
      </c>
      <c r="AA646" t="s">
        <v>409</v>
      </c>
    </row>
    <row r="647" spans="1:27" x14ac:dyDescent="0.3">
      <c r="A647" t="s">
        <v>218</v>
      </c>
      <c r="B647" s="562">
        <v>2026</v>
      </c>
      <c r="C647" t="s">
        <v>249</v>
      </c>
      <c r="D647">
        <v>23134</v>
      </c>
      <c r="E647">
        <v>4838</v>
      </c>
      <c r="F647" s="179">
        <v>46155</v>
      </c>
      <c r="G647" t="s">
        <v>264</v>
      </c>
      <c r="I647" t="s">
        <v>271</v>
      </c>
      <c r="J647" s="583">
        <v>2073.86</v>
      </c>
      <c r="K647" s="583">
        <v>0</v>
      </c>
      <c r="L647" s="565">
        <f t="shared" si="30"/>
        <v>2073.86</v>
      </c>
      <c r="M647" s="179">
        <v>46185</v>
      </c>
      <c r="N647" s="179">
        <v>46185</v>
      </c>
      <c r="O647" s="565">
        <v>2073.86</v>
      </c>
      <c r="P647" s="565">
        <f t="shared" si="31"/>
        <v>0</v>
      </c>
      <c r="Q647" s="565"/>
      <c r="R647" s="565"/>
      <c r="S647" s="565"/>
      <c r="T647" s="565"/>
      <c r="U647" s="565"/>
      <c r="V647" s="565"/>
      <c r="W647" s="565"/>
      <c r="X647" s="565"/>
      <c r="Y647" t="str">
        <f t="shared" ca="1" si="32"/>
        <v>PAGO</v>
      </c>
      <c r="AA647" t="s">
        <v>409</v>
      </c>
    </row>
    <row r="648" spans="1:27" x14ac:dyDescent="0.3">
      <c r="A648" t="s">
        <v>218</v>
      </c>
      <c r="B648" s="562">
        <v>2026</v>
      </c>
      <c r="C648" t="s">
        <v>249</v>
      </c>
      <c r="D648">
        <v>23134</v>
      </c>
      <c r="E648">
        <v>4838</v>
      </c>
      <c r="F648" s="179">
        <v>46155</v>
      </c>
      <c r="G648" t="s">
        <v>264</v>
      </c>
      <c r="I648" t="s">
        <v>271</v>
      </c>
      <c r="J648" s="583">
        <v>2073.87</v>
      </c>
      <c r="K648" s="583">
        <v>0</v>
      </c>
      <c r="L648" s="565">
        <f t="shared" si="30"/>
        <v>2073.87</v>
      </c>
      <c r="M648" s="179">
        <v>46192</v>
      </c>
      <c r="N648" s="179">
        <v>46199</v>
      </c>
      <c r="O648" s="565">
        <v>2073.87</v>
      </c>
      <c r="P648" s="565">
        <f t="shared" si="31"/>
        <v>0</v>
      </c>
      <c r="Q648" s="565"/>
      <c r="R648" s="565"/>
      <c r="S648" s="565"/>
      <c r="T648" s="565"/>
      <c r="U648" s="565"/>
      <c r="V648" s="565"/>
      <c r="W648" s="565"/>
      <c r="X648" s="565"/>
      <c r="Y648" t="str">
        <f t="shared" ca="1" si="32"/>
        <v>PAGO</v>
      </c>
      <c r="AA648" t="s">
        <v>409</v>
      </c>
    </row>
    <row r="649" spans="1:27" x14ac:dyDescent="0.3">
      <c r="A649" t="s">
        <v>218</v>
      </c>
      <c r="B649" s="562">
        <v>2026</v>
      </c>
      <c r="C649" t="s">
        <v>249</v>
      </c>
      <c r="D649">
        <v>23134</v>
      </c>
      <c r="E649">
        <v>4838</v>
      </c>
      <c r="F649" s="179">
        <v>46155</v>
      </c>
      <c r="G649" t="s">
        <v>264</v>
      </c>
      <c r="I649" t="s">
        <v>271</v>
      </c>
      <c r="J649" s="583">
        <v>2073.87</v>
      </c>
      <c r="K649" s="583">
        <v>0</v>
      </c>
      <c r="L649" s="565">
        <f t="shared" si="30"/>
        <v>2073.87</v>
      </c>
      <c r="M649" s="179">
        <v>46199</v>
      </c>
      <c r="N649" s="179">
        <v>46199</v>
      </c>
      <c r="O649" s="565">
        <v>2073.87</v>
      </c>
      <c r="P649" s="565">
        <f t="shared" si="31"/>
        <v>0</v>
      </c>
      <c r="Q649" s="565"/>
      <c r="R649" s="565"/>
      <c r="S649" s="565"/>
      <c r="T649" s="565"/>
      <c r="U649" s="565"/>
      <c r="V649" s="565"/>
      <c r="W649" s="565"/>
      <c r="X649" s="565"/>
      <c r="Y649" t="str">
        <f t="shared" ca="1" si="32"/>
        <v>PAGO</v>
      </c>
      <c r="AA649" t="s">
        <v>409</v>
      </c>
    </row>
    <row r="650" spans="1:27" x14ac:dyDescent="0.3">
      <c r="A650" t="s">
        <v>218</v>
      </c>
      <c r="B650" s="562">
        <v>2026</v>
      </c>
      <c r="C650" t="s">
        <v>249</v>
      </c>
      <c r="D650">
        <v>23135</v>
      </c>
      <c r="E650">
        <v>4839</v>
      </c>
      <c r="F650" s="179">
        <v>46155</v>
      </c>
      <c r="G650" t="s">
        <v>264</v>
      </c>
      <c r="I650" t="s">
        <v>271</v>
      </c>
      <c r="J650" s="583">
        <v>2170.4899999999998</v>
      </c>
      <c r="K650" s="583">
        <v>0</v>
      </c>
      <c r="L650" s="565">
        <f t="shared" si="30"/>
        <v>2170.4899999999998</v>
      </c>
      <c r="M650" s="179">
        <v>46197</v>
      </c>
      <c r="N650" s="179">
        <v>46197</v>
      </c>
      <c r="O650" s="565">
        <v>2170.4899999999998</v>
      </c>
      <c r="P650" s="565">
        <f t="shared" si="31"/>
        <v>0</v>
      </c>
      <c r="Q650" s="565"/>
      <c r="R650" s="565"/>
      <c r="S650" s="565"/>
      <c r="T650" s="565"/>
      <c r="U650" s="565"/>
      <c r="V650" s="565"/>
      <c r="W650" s="565"/>
      <c r="X650" s="565"/>
      <c r="Y650" t="str">
        <f t="shared" ca="1" si="32"/>
        <v>PAGO</v>
      </c>
      <c r="AA650" t="s">
        <v>409</v>
      </c>
    </row>
    <row r="651" spans="1:27" x14ac:dyDescent="0.3">
      <c r="A651" t="s">
        <v>218</v>
      </c>
      <c r="B651" s="562">
        <v>2026</v>
      </c>
      <c r="C651" t="s">
        <v>249</v>
      </c>
      <c r="D651">
        <v>23135</v>
      </c>
      <c r="E651">
        <v>4839</v>
      </c>
      <c r="F651" s="179">
        <v>46155</v>
      </c>
      <c r="G651" t="s">
        <v>264</v>
      </c>
      <c r="I651" t="s">
        <v>271</v>
      </c>
      <c r="J651" s="583">
        <v>2171.4899999999998</v>
      </c>
      <c r="K651" s="583">
        <v>0</v>
      </c>
      <c r="L651" s="565">
        <f t="shared" si="30"/>
        <v>2171.4899999999998</v>
      </c>
      <c r="M651" s="179">
        <v>46204</v>
      </c>
      <c r="N651" s="179">
        <v>46204</v>
      </c>
      <c r="O651" s="565">
        <v>2171.4899999999998</v>
      </c>
      <c r="P651" s="565">
        <f t="shared" si="31"/>
        <v>0</v>
      </c>
      <c r="Q651" s="565"/>
      <c r="R651" s="565"/>
      <c r="S651" s="565"/>
      <c r="T651" s="565"/>
      <c r="U651" s="565"/>
      <c r="V651" s="565"/>
      <c r="W651" s="565"/>
      <c r="X651" s="565"/>
      <c r="Y651" t="str">
        <f t="shared" ca="1" si="32"/>
        <v>PAGO</v>
      </c>
      <c r="AA651" t="s">
        <v>409</v>
      </c>
    </row>
    <row r="652" spans="1:27" x14ac:dyDescent="0.3">
      <c r="A652" t="s">
        <v>218</v>
      </c>
      <c r="B652" s="562">
        <v>2026</v>
      </c>
      <c r="C652" t="s">
        <v>249</v>
      </c>
      <c r="D652">
        <v>23135</v>
      </c>
      <c r="E652">
        <v>4839</v>
      </c>
      <c r="F652" s="179">
        <v>46155</v>
      </c>
      <c r="G652" t="s">
        <v>264</v>
      </c>
      <c r="I652" t="s">
        <v>271</v>
      </c>
      <c r="J652" s="583">
        <v>2172.4899999999998</v>
      </c>
      <c r="K652" s="583">
        <v>0</v>
      </c>
      <c r="L652" s="565">
        <f t="shared" si="30"/>
        <v>2172.4899999999998</v>
      </c>
      <c r="M652" s="179">
        <v>46211</v>
      </c>
      <c r="N652" s="179">
        <v>46211</v>
      </c>
      <c r="O652" s="565">
        <v>2172.4899999999998</v>
      </c>
      <c r="P652" s="565">
        <f t="shared" si="31"/>
        <v>0</v>
      </c>
      <c r="Q652" s="565"/>
      <c r="R652" s="565"/>
      <c r="S652" s="565"/>
      <c r="T652" s="565"/>
      <c r="U652" s="565"/>
      <c r="V652" s="565"/>
      <c r="W652" s="565"/>
      <c r="X652" s="565"/>
      <c r="Y652" t="str">
        <f t="shared" ca="1" si="32"/>
        <v>PAGO</v>
      </c>
      <c r="AA652" t="s">
        <v>409</v>
      </c>
    </row>
    <row r="653" spans="1:27" x14ac:dyDescent="0.3">
      <c r="A653" t="s">
        <v>218</v>
      </c>
      <c r="B653" s="562">
        <v>2026</v>
      </c>
      <c r="C653" t="s">
        <v>248</v>
      </c>
      <c r="D653">
        <v>23203</v>
      </c>
      <c r="E653">
        <v>4812</v>
      </c>
      <c r="F653" s="179">
        <v>46156</v>
      </c>
      <c r="G653" t="s">
        <v>236</v>
      </c>
      <c r="I653" t="s">
        <v>270</v>
      </c>
      <c r="J653" s="583">
        <v>0</v>
      </c>
      <c r="K653" s="583">
        <v>112.06</v>
      </c>
      <c r="L653" s="565">
        <f t="shared" si="30"/>
        <v>112.06</v>
      </c>
      <c r="M653" s="179">
        <v>46191</v>
      </c>
      <c r="N653" s="179">
        <v>46188</v>
      </c>
      <c r="O653" s="565">
        <v>112.19</v>
      </c>
      <c r="P653" s="565">
        <f t="shared" si="31"/>
        <v>-0.12999999999999545</v>
      </c>
      <c r="Q653" s="565"/>
      <c r="R653" s="565"/>
      <c r="S653" s="565"/>
      <c r="T653" s="565"/>
      <c r="U653" s="565"/>
      <c r="V653" s="565"/>
      <c r="W653" s="565"/>
      <c r="X653" s="565"/>
      <c r="Y653" t="str">
        <f t="shared" ca="1" si="32"/>
        <v>PAGO</v>
      </c>
      <c r="AA653" t="s">
        <v>409</v>
      </c>
    </row>
    <row r="654" spans="1:27" x14ac:dyDescent="0.3">
      <c r="A654" t="s">
        <v>218</v>
      </c>
      <c r="B654" s="562">
        <v>2026</v>
      </c>
      <c r="C654" t="s">
        <v>248</v>
      </c>
      <c r="D654">
        <v>23202</v>
      </c>
      <c r="E654">
        <v>4840</v>
      </c>
      <c r="F654" s="179">
        <v>46156</v>
      </c>
      <c r="G654" t="s">
        <v>236</v>
      </c>
      <c r="I654" t="s">
        <v>270</v>
      </c>
      <c r="J654" s="583">
        <v>0</v>
      </c>
      <c r="K654" s="583">
        <v>457.7</v>
      </c>
      <c r="L654" s="565">
        <f t="shared" si="30"/>
        <v>457.7</v>
      </c>
      <c r="M654" s="179">
        <v>46184</v>
      </c>
      <c r="N654" s="179">
        <v>46188</v>
      </c>
      <c r="O654" s="565">
        <v>457.7</v>
      </c>
      <c r="P654" s="565">
        <f t="shared" si="31"/>
        <v>0</v>
      </c>
      <c r="Q654" s="565"/>
      <c r="R654" s="565"/>
      <c r="S654" s="565"/>
      <c r="T654" s="565"/>
      <c r="U654" s="565"/>
      <c r="V654" s="565"/>
      <c r="W654" s="565"/>
      <c r="X654" s="565"/>
      <c r="Y654" t="str">
        <f t="shared" ca="1" si="32"/>
        <v>PAGO</v>
      </c>
      <c r="AA654" t="s">
        <v>409</v>
      </c>
    </row>
    <row r="655" spans="1:27" x14ac:dyDescent="0.3">
      <c r="A655" t="s">
        <v>218</v>
      </c>
      <c r="B655" s="562">
        <v>2026</v>
      </c>
      <c r="C655" t="s">
        <v>248</v>
      </c>
      <c r="D655">
        <v>23202</v>
      </c>
      <c r="E655">
        <v>4840</v>
      </c>
      <c r="F655" s="179">
        <v>46156</v>
      </c>
      <c r="G655" t="s">
        <v>236</v>
      </c>
      <c r="I655" t="s">
        <v>270</v>
      </c>
      <c r="J655" s="583">
        <v>0</v>
      </c>
      <c r="K655" s="583">
        <v>457.7</v>
      </c>
      <c r="L655" s="565">
        <f t="shared" si="30"/>
        <v>457.7</v>
      </c>
      <c r="M655" s="179">
        <v>46191</v>
      </c>
      <c r="N655" s="179">
        <v>46191</v>
      </c>
      <c r="O655" s="565">
        <v>457.7</v>
      </c>
      <c r="P655" s="565">
        <f t="shared" si="31"/>
        <v>0</v>
      </c>
      <c r="Q655" s="565"/>
      <c r="R655" s="565"/>
      <c r="S655" s="565"/>
      <c r="T655" s="565"/>
      <c r="U655" s="565"/>
      <c r="V655" s="565"/>
      <c r="W655" s="565"/>
      <c r="X655" s="565"/>
      <c r="Y655" t="str">
        <f t="shared" ca="1" si="32"/>
        <v>PAGO</v>
      </c>
      <c r="AA655" t="s">
        <v>409</v>
      </c>
    </row>
    <row r="656" spans="1:27" x14ac:dyDescent="0.3">
      <c r="A656" t="s">
        <v>218</v>
      </c>
      <c r="B656" s="562">
        <v>2026</v>
      </c>
      <c r="C656" t="s">
        <v>248</v>
      </c>
      <c r="D656">
        <v>23202</v>
      </c>
      <c r="E656">
        <v>4840</v>
      </c>
      <c r="F656" s="179">
        <v>46156</v>
      </c>
      <c r="G656" t="s">
        <v>236</v>
      </c>
      <c r="I656" t="s">
        <v>270</v>
      </c>
      <c r="J656" s="583">
        <v>0</v>
      </c>
      <c r="K656" s="583">
        <v>457.7</v>
      </c>
      <c r="L656" s="565">
        <f t="shared" si="30"/>
        <v>457.7</v>
      </c>
      <c r="M656" s="179">
        <v>46198</v>
      </c>
      <c r="N656" s="179">
        <v>46195</v>
      </c>
      <c r="O656" s="565">
        <v>457.7</v>
      </c>
      <c r="P656" s="565">
        <f t="shared" si="31"/>
        <v>0</v>
      </c>
      <c r="Q656" s="565"/>
      <c r="R656" s="565"/>
      <c r="S656" s="565"/>
      <c r="T656" s="565"/>
      <c r="U656" s="565"/>
      <c r="V656" s="565"/>
      <c r="W656" s="565"/>
      <c r="X656" s="565"/>
      <c r="Y656" t="str">
        <f t="shared" ca="1" si="32"/>
        <v>PAGO</v>
      </c>
      <c r="AA656" t="s">
        <v>409</v>
      </c>
    </row>
    <row r="657" spans="1:27" x14ac:dyDescent="0.3">
      <c r="A657" t="s">
        <v>218</v>
      </c>
      <c r="B657" s="562">
        <v>2026</v>
      </c>
      <c r="C657" t="s">
        <v>248</v>
      </c>
      <c r="D657">
        <v>23240</v>
      </c>
      <c r="E657">
        <v>4840</v>
      </c>
      <c r="F657" s="179">
        <v>46157</v>
      </c>
      <c r="G657" t="s">
        <v>236</v>
      </c>
      <c r="I657" t="s">
        <v>270</v>
      </c>
      <c r="J657" s="583">
        <v>0</v>
      </c>
      <c r="K657" s="583">
        <v>883.2</v>
      </c>
      <c r="L657" s="565">
        <f t="shared" si="30"/>
        <v>883.2</v>
      </c>
      <c r="M657" s="179">
        <v>46185</v>
      </c>
      <c r="N657" s="179">
        <v>46188</v>
      </c>
      <c r="O657" s="565">
        <v>883.2</v>
      </c>
      <c r="P657" s="565">
        <f t="shared" si="31"/>
        <v>0</v>
      </c>
      <c r="Q657" s="565"/>
      <c r="R657" s="565"/>
      <c r="S657" s="565"/>
      <c r="T657" s="565"/>
      <c r="U657" s="565"/>
      <c r="V657" s="565"/>
      <c r="W657" s="565"/>
      <c r="X657" s="565"/>
      <c r="Y657" t="str">
        <f t="shared" ca="1" si="32"/>
        <v>PAGO</v>
      </c>
      <c r="AA657" t="s">
        <v>409</v>
      </c>
    </row>
    <row r="658" spans="1:27" x14ac:dyDescent="0.3">
      <c r="A658" t="s">
        <v>218</v>
      </c>
      <c r="B658" s="562">
        <v>2026</v>
      </c>
      <c r="C658" t="s">
        <v>248</v>
      </c>
      <c r="D658">
        <v>23240</v>
      </c>
      <c r="E658">
        <v>4840</v>
      </c>
      <c r="F658" s="179">
        <v>46157</v>
      </c>
      <c r="G658" t="s">
        <v>236</v>
      </c>
      <c r="I658" t="s">
        <v>270</v>
      </c>
      <c r="J658" s="583">
        <v>0</v>
      </c>
      <c r="K658" s="583">
        <v>883.2</v>
      </c>
      <c r="L658" s="565">
        <f t="shared" si="30"/>
        <v>883.2</v>
      </c>
      <c r="M658" s="179">
        <v>46192</v>
      </c>
      <c r="N658" s="179">
        <v>46191</v>
      </c>
      <c r="O658" s="565">
        <v>883.2</v>
      </c>
      <c r="P658" s="565">
        <f t="shared" si="31"/>
        <v>0</v>
      </c>
      <c r="Q658" s="565"/>
      <c r="R658" s="565"/>
      <c r="S658" s="565"/>
      <c r="T658" s="565"/>
      <c r="U658" s="565"/>
      <c r="V658" s="565"/>
      <c r="W658" s="565"/>
      <c r="X658" s="565"/>
      <c r="Y658" t="str">
        <f t="shared" ca="1" si="32"/>
        <v>PAGO</v>
      </c>
      <c r="AA658" t="s">
        <v>409</v>
      </c>
    </row>
    <row r="659" spans="1:27" x14ac:dyDescent="0.3">
      <c r="A659" t="s">
        <v>218</v>
      </c>
      <c r="B659" s="562">
        <v>2026</v>
      </c>
      <c r="C659" t="s">
        <v>248</v>
      </c>
      <c r="D659">
        <v>23240</v>
      </c>
      <c r="E659">
        <v>4840</v>
      </c>
      <c r="F659" s="179">
        <v>46157</v>
      </c>
      <c r="G659" t="s">
        <v>236</v>
      </c>
      <c r="I659" t="s">
        <v>270</v>
      </c>
      <c r="J659" s="583">
        <v>0</v>
      </c>
      <c r="K659" s="583">
        <v>883.19</v>
      </c>
      <c r="L659" s="565">
        <f t="shared" si="30"/>
        <v>883.19</v>
      </c>
      <c r="M659" s="179">
        <v>46199</v>
      </c>
      <c r="N659" s="179">
        <v>46196</v>
      </c>
      <c r="O659" s="565">
        <v>883.21</v>
      </c>
      <c r="P659" s="565">
        <f t="shared" si="31"/>
        <v>-1.999999999998181E-2</v>
      </c>
      <c r="Q659" s="565"/>
      <c r="R659" s="565"/>
      <c r="S659" s="565"/>
      <c r="T659" s="565"/>
      <c r="U659" s="565"/>
      <c r="V659" s="565"/>
      <c r="W659" s="565"/>
      <c r="X659" s="565"/>
      <c r="Y659" t="str">
        <f t="shared" ca="1" si="32"/>
        <v>PAGO</v>
      </c>
      <c r="AA659" t="s">
        <v>409</v>
      </c>
    </row>
    <row r="660" spans="1:27" x14ac:dyDescent="0.3">
      <c r="A660" t="s">
        <v>218</v>
      </c>
      <c r="B660" s="562">
        <v>2026</v>
      </c>
      <c r="C660" t="s">
        <v>249</v>
      </c>
      <c r="D660">
        <v>23234</v>
      </c>
      <c r="E660">
        <v>4872</v>
      </c>
      <c r="F660" s="179">
        <v>46157</v>
      </c>
      <c r="G660" t="s">
        <v>236</v>
      </c>
      <c r="I660" t="s">
        <v>270</v>
      </c>
      <c r="J660" s="583">
        <v>12510</v>
      </c>
      <c r="K660" s="583">
        <v>0</v>
      </c>
      <c r="L660" s="565">
        <f t="shared" si="30"/>
        <v>12510</v>
      </c>
      <c r="M660" s="179">
        <v>46185</v>
      </c>
      <c r="N660" s="179">
        <v>46191</v>
      </c>
      <c r="O660" s="565">
        <v>12510</v>
      </c>
      <c r="P660" s="565">
        <f t="shared" si="31"/>
        <v>0</v>
      </c>
      <c r="Q660" s="565"/>
      <c r="R660" s="565"/>
      <c r="S660" s="565"/>
      <c r="T660" s="565"/>
      <c r="U660" s="565"/>
      <c r="V660" s="565"/>
      <c r="W660" s="565"/>
      <c r="X660" s="565"/>
      <c r="Y660" t="str">
        <f t="shared" ca="1" si="32"/>
        <v>PAGO</v>
      </c>
      <c r="AA660" t="s">
        <v>409</v>
      </c>
    </row>
    <row r="661" spans="1:27" x14ac:dyDescent="0.3">
      <c r="A661" t="s">
        <v>218</v>
      </c>
      <c r="B661" s="562">
        <v>2026</v>
      </c>
      <c r="C661" t="s">
        <v>249</v>
      </c>
      <c r="D661">
        <v>23234</v>
      </c>
      <c r="E661">
        <v>4872</v>
      </c>
      <c r="F661" s="179">
        <v>46157</v>
      </c>
      <c r="G661" t="s">
        <v>236</v>
      </c>
      <c r="I661" t="s">
        <v>270</v>
      </c>
      <c r="J661" s="583">
        <v>12510</v>
      </c>
      <c r="K661" s="583">
        <v>0</v>
      </c>
      <c r="L661" s="565">
        <f t="shared" si="30"/>
        <v>12510</v>
      </c>
      <c r="M661" s="179">
        <v>46192</v>
      </c>
      <c r="N661" s="179">
        <v>46195</v>
      </c>
      <c r="O661" s="565">
        <v>12510</v>
      </c>
      <c r="P661" s="565">
        <f t="shared" si="31"/>
        <v>0</v>
      </c>
      <c r="Q661" s="565"/>
      <c r="R661" s="565"/>
      <c r="S661" s="565"/>
      <c r="T661" s="565"/>
      <c r="U661" s="565"/>
      <c r="V661" s="565"/>
      <c r="W661" s="565"/>
      <c r="X661" s="565"/>
      <c r="Y661" t="str">
        <f t="shared" ca="1" si="32"/>
        <v>PAGO</v>
      </c>
      <c r="AA661" t="s">
        <v>409</v>
      </c>
    </row>
    <row r="662" spans="1:27" x14ac:dyDescent="0.3">
      <c r="A662" t="s">
        <v>218</v>
      </c>
      <c r="B662" s="562">
        <v>2026</v>
      </c>
      <c r="C662" t="s">
        <v>249</v>
      </c>
      <c r="D662">
        <v>23234</v>
      </c>
      <c r="E662">
        <v>4872</v>
      </c>
      <c r="F662" s="179">
        <v>46157</v>
      </c>
      <c r="G662" t="s">
        <v>236</v>
      </c>
      <c r="I662" t="s">
        <v>270</v>
      </c>
      <c r="J662" s="583">
        <v>12510</v>
      </c>
      <c r="K662" s="583">
        <v>0</v>
      </c>
      <c r="L662" s="565">
        <f t="shared" si="30"/>
        <v>12510</v>
      </c>
      <c r="M662" s="179">
        <v>46199</v>
      </c>
      <c r="N662" s="179">
        <v>46197</v>
      </c>
      <c r="O662" s="565">
        <v>12510</v>
      </c>
      <c r="P662" s="565">
        <f t="shared" si="31"/>
        <v>0</v>
      </c>
      <c r="Q662" s="565"/>
      <c r="R662" s="565"/>
      <c r="S662" s="565"/>
      <c r="T662" s="565"/>
      <c r="U662" s="565"/>
      <c r="V662" s="565"/>
      <c r="W662" s="565"/>
      <c r="X662" s="565"/>
      <c r="Y662" t="str">
        <f t="shared" ca="1" si="32"/>
        <v>PAGO</v>
      </c>
      <c r="AA662" t="s">
        <v>409</v>
      </c>
    </row>
    <row r="663" spans="1:27" x14ac:dyDescent="0.3">
      <c r="A663" t="s">
        <v>218</v>
      </c>
      <c r="B663" s="562">
        <v>2026</v>
      </c>
      <c r="C663" t="s">
        <v>249</v>
      </c>
      <c r="D663">
        <v>23260</v>
      </c>
      <c r="E663">
        <v>4879</v>
      </c>
      <c r="F663" s="179">
        <v>46160</v>
      </c>
      <c r="G663" t="s">
        <v>264</v>
      </c>
      <c r="I663" t="s">
        <v>271</v>
      </c>
      <c r="J663" s="583">
        <v>2262.4</v>
      </c>
      <c r="K663" s="583">
        <v>0</v>
      </c>
      <c r="L663" s="565">
        <f t="shared" si="30"/>
        <v>2262.4</v>
      </c>
      <c r="M663" s="179">
        <v>46174</v>
      </c>
      <c r="N663" s="179">
        <v>46170</v>
      </c>
      <c r="O663" s="565">
        <v>2262.4</v>
      </c>
      <c r="P663" s="565">
        <f t="shared" si="31"/>
        <v>0</v>
      </c>
      <c r="Q663" s="565"/>
      <c r="R663" s="565"/>
      <c r="S663" s="565"/>
      <c r="T663" s="565"/>
      <c r="U663" s="565"/>
      <c r="V663" s="565"/>
      <c r="W663" s="565"/>
      <c r="X663" s="565"/>
      <c r="Y663" t="str">
        <f t="shared" ca="1" si="32"/>
        <v>PAGO</v>
      </c>
      <c r="AA663" t="s">
        <v>409</v>
      </c>
    </row>
    <row r="664" spans="1:27" x14ac:dyDescent="0.3">
      <c r="A664" t="s">
        <v>218</v>
      </c>
      <c r="B664" s="562">
        <v>2026</v>
      </c>
      <c r="C664" t="s">
        <v>249</v>
      </c>
      <c r="D664">
        <v>23260</v>
      </c>
      <c r="E664">
        <v>4879</v>
      </c>
      <c r="F664" s="179">
        <v>46160</v>
      </c>
      <c r="G664" t="s">
        <v>264</v>
      </c>
      <c r="I664" t="s">
        <v>271</v>
      </c>
      <c r="J664" s="583">
        <v>2262.4</v>
      </c>
      <c r="K664" s="583">
        <v>0</v>
      </c>
      <c r="L664" s="565">
        <f t="shared" si="30"/>
        <v>2262.4</v>
      </c>
      <c r="M664" s="179">
        <v>46181</v>
      </c>
      <c r="N664" s="179">
        <v>46181</v>
      </c>
      <c r="O664" s="565">
        <v>2262.4</v>
      </c>
      <c r="P664" s="565">
        <f t="shared" si="31"/>
        <v>0</v>
      </c>
      <c r="Q664" s="565"/>
      <c r="R664" s="565"/>
      <c r="S664" s="565"/>
      <c r="T664" s="565"/>
      <c r="U664" s="565"/>
      <c r="V664" s="565"/>
      <c r="W664" s="565"/>
      <c r="X664" s="565"/>
      <c r="Y664" t="str">
        <f t="shared" ca="1" si="32"/>
        <v>PAGO</v>
      </c>
      <c r="AA664" t="s">
        <v>409</v>
      </c>
    </row>
    <row r="665" spans="1:27" x14ac:dyDescent="0.3">
      <c r="A665" t="s">
        <v>218</v>
      </c>
      <c r="B665" s="562">
        <v>2026</v>
      </c>
      <c r="C665" t="s">
        <v>249</v>
      </c>
      <c r="D665">
        <v>23260</v>
      </c>
      <c r="E665">
        <v>4879</v>
      </c>
      <c r="F665" s="179">
        <v>46160</v>
      </c>
      <c r="G665" t="s">
        <v>264</v>
      </c>
      <c r="I665" t="s">
        <v>271</v>
      </c>
      <c r="J665" s="583">
        <v>2262.4</v>
      </c>
      <c r="K665" s="583">
        <v>0</v>
      </c>
      <c r="L665" s="565">
        <f t="shared" si="30"/>
        <v>2262.4</v>
      </c>
      <c r="M665" s="179">
        <v>46188</v>
      </c>
      <c r="N665" s="179">
        <v>46188</v>
      </c>
      <c r="O665" s="565">
        <v>2262.4</v>
      </c>
      <c r="P665" s="565">
        <f t="shared" si="31"/>
        <v>0</v>
      </c>
      <c r="Q665" s="565"/>
      <c r="R665" s="565"/>
      <c r="S665" s="565"/>
      <c r="T665" s="565"/>
      <c r="U665" s="565"/>
      <c r="V665" s="565"/>
      <c r="W665" s="565"/>
      <c r="X665" s="565"/>
      <c r="Y665" t="str">
        <f t="shared" ca="1" si="32"/>
        <v>PAGO</v>
      </c>
      <c r="AA665" t="s">
        <v>409</v>
      </c>
    </row>
    <row r="666" spans="1:27" x14ac:dyDescent="0.3">
      <c r="A666" t="s">
        <v>218</v>
      </c>
      <c r="B666" s="562">
        <v>2026</v>
      </c>
      <c r="C666" t="s">
        <v>248</v>
      </c>
      <c r="D666">
        <v>23263</v>
      </c>
      <c r="E666">
        <v>4829</v>
      </c>
      <c r="F666" s="179">
        <v>46160</v>
      </c>
      <c r="G666" t="s">
        <v>237</v>
      </c>
      <c r="I666" t="s">
        <v>270</v>
      </c>
      <c r="J666" s="583">
        <v>0</v>
      </c>
      <c r="K666" s="583">
        <v>1407.78</v>
      </c>
      <c r="L666" s="565">
        <f t="shared" si="30"/>
        <v>1407.78</v>
      </c>
      <c r="M666" s="179">
        <v>46181</v>
      </c>
      <c r="N666" s="179">
        <v>46181</v>
      </c>
      <c r="O666" s="565">
        <v>1407.78</v>
      </c>
      <c r="P666" s="565">
        <f t="shared" si="31"/>
        <v>0</v>
      </c>
      <c r="Q666" s="565"/>
      <c r="R666" s="565"/>
      <c r="S666" s="565"/>
      <c r="T666" s="565"/>
      <c r="U666" s="565"/>
      <c r="V666" s="565"/>
      <c r="W666" s="565"/>
      <c r="X666" s="565"/>
      <c r="Y666" t="str">
        <f t="shared" ca="1" si="32"/>
        <v>PAGO</v>
      </c>
      <c r="AA666" t="s">
        <v>409</v>
      </c>
    </row>
    <row r="667" spans="1:27" x14ac:dyDescent="0.3">
      <c r="A667" t="s">
        <v>218</v>
      </c>
      <c r="B667" s="562">
        <v>2026</v>
      </c>
      <c r="C667" t="s">
        <v>248</v>
      </c>
      <c r="D667">
        <v>23303</v>
      </c>
      <c r="E667">
        <v>4894</v>
      </c>
      <c r="F667" s="179">
        <v>46162</v>
      </c>
      <c r="G667" t="s">
        <v>236</v>
      </c>
      <c r="I667" t="s">
        <v>270</v>
      </c>
      <c r="J667" s="583">
        <v>0</v>
      </c>
      <c r="K667" s="583">
        <v>598.41999999999996</v>
      </c>
      <c r="L667" s="565">
        <f t="shared" si="30"/>
        <v>598.41999999999996</v>
      </c>
      <c r="M667" s="179">
        <v>46197</v>
      </c>
      <c r="N667" s="179">
        <v>46195</v>
      </c>
      <c r="O667" s="565">
        <v>598.42999999999995</v>
      </c>
      <c r="P667" s="565">
        <f t="shared" si="31"/>
        <v>-9.9999999999909051E-3</v>
      </c>
      <c r="Q667" s="565"/>
      <c r="R667" s="565"/>
      <c r="S667" s="565"/>
      <c r="T667" s="565"/>
      <c r="U667" s="565"/>
      <c r="V667" s="565"/>
      <c r="W667" s="565"/>
      <c r="X667" s="565"/>
      <c r="Y667" t="str">
        <f t="shared" ca="1" si="32"/>
        <v>PAGO</v>
      </c>
      <c r="AA667" t="s">
        <v>409</v>
      </c>
    </row>
    <row r="668" spans="1:27" x14ac:dyDescent="0.3">
      <c r="A668" t="s">
        <v>218</v>
      </c>
      <c r="B668" s="562">
        <v>2026</v>
      </c>
      <c r="C668" t="s">
        <v>249</v>
      </c>
      <c r="D668">
        <v>23316</v>
      </c>
      <c r="E668">
        <v>4939</v>
      </c>
      <c r="F668" s="179">
        <v>46163</v>
      </c>
      <c r="G668" t="s">
        <v>264</v>
      </c>
      <c r="I668" t="s">
        <v>271</v>
      </c>
      <c r="J668" s="583">
        <v>2994</v>
      </c>
      <c r="K668" s="583">
        <v>0</v>
      </c>
      <c r="L668" s="565">
        <f t="shared" si="30"/>
        <v>2994</v>
      </c>
      <c r="M668" s="179">
        <v>46177</v>
      </c>
      <c r="N668" s="179">
        <v>46178</v>
      </c>
      <c r="O668" s="565">
        <v>2994</v>
      </c>
      <c r="P668" s="565">
        <f t="shared" si="31"/>
        <v>0</v>
      </c>
      <c r="Q668" s="565"/>
      <c r="R668" s="565"/>
      <c r="S668" s="565"/>
      <c r="T668" s="565"/>
      <c r="U668" s="565"/>
      <c r="V668" s="565"/>
      <c r="W668" s="565"/>
      <c r="X668" s="565"/>
      <c r="Y668" t="str">
        <f t="shared" ca="1" si="32"/>
        <v>PAGO</v>
      </c>
      <c r="AA668" t="s">
        <v>409</v>
      </c>
    </row>
    <row r="669" spans="1:27" x14ac:dyDescent="0.3">
      <c r="A669" t="s">
        <v>218</v>
      </c>
      <c r="B669" s="562">
        <v>2026</v>
      </c>
      <c r="C669" t="s">
        <v>249</v>
      </c>
      <c r="D669">
        <v>23316</v>
      </c>
      <c r="E669">
        <v>4939</v>
      </c>
      <c r="F669" s="179">
        <v>46163</v>
      </c>
      <c r="G669" t="s">
        <v>264</v>
      </c>
      <c r="I669" t="s">
        <v>271</v>
      </c>
      <c r="J669" s="583">
        <v>2994</v>
      </c>
      <c r="K669" s="583">
        <v>0</v>
      </c>
      <c r="L669" s="565">
        <f t="shared" si="30"/>
        <v>2994</v>
      </c>
      <c r="M669" s="179">
        <v>46184</v>
      </c>
      <c r="N669" s="179">
        <v>46184</v>
      </c>
      <c r="O669" s="565">
        <v>2994</v>
      </c>
      <c r="P669" s="565">
        <f t="shared" si="31"/>
        <v>0</v>
      </c>
      <c r="Q669" s="565"/>
      <c r="R669" s="565"/>
      <c r="S669" s="565"/>
      <c r="T669" s="565"/>
      <c r="U669" s="565"/>
      <c r="V669" s="565"/>
      <c r="W669" s="565"/>
      <c r="X669" s="565"/>
      <c r="Y669" t="str">
        <f t="shared" ca="1" si="32"/>
        <v>PAGO</v>
      </c>
      <c r="AA669" t="s">
        <v>409</v>
      </c>
    </row>
    <row r="670" spans="1:27" x14ac:dyDescent="0.3">
      <c r="A670" t="s">
        <v>218</v>
      </c>
      <c r="B670" s="562">
        <v>2026</v>
      </c>
      <c r="C670" t="s">
        <v>249</v>
      </c>
      <c r="D670">
        <v>23316</v>
      </c>
      <c r="E670">
        <v>4939</v>
      </c>
      <c r="F670" s="179">
        <v>46163</v>
      </c>
      <c r="G670" t="s">
        <v>264</v>
      </c>
      <c r="I670" t="s">
        <v>271</v>
      </c>
      <c r="J670" s="583">
        <v>2994</v>
      </c>
      <c r="K670" s="583">
        <v>0</v>
      </c>
      <c r="L670" s="565">
        <f t="shared" si="30"/>
        <v>2994</v>
      </c>
      <c r="M670" s="179">
        <v>46191</v>
      </c>
      <c r="N670" s="179">
        <v>46191</v>
      </c>
      <c r="O670" s="565">
        <v>2994</v>
      </c>
      <c r="P670" s="565">
        <f t="shared" si="31"/>
        <v>0</v>
      </c>
      <c r="Q670" s="565"/>
      <c r="R670" s="565"/>
      <c r="S670" s="565"/>
      <c r="T670" s="565"/>
      <c r="U670" s="565"/>
      <c r="V670" s="565"/>
      <c r="W670" s="565"/>
      <c r="X670" s="565"/>
      <c r="Y670" t="str">
        <f t="shared" ca="1" si="32"/>
        <v>PAGO</v>
      </c>
      <c r="AA670" t="s">
        <v>409</v>
      </c>
    </row>
    <row r="671" spans="1:27" x14ac:dyDescent="0.3">
      <c r="A671" t="s">
        <v>218</v>
      </c>
      <c r="B671" s="562">
        <v>2026</v>
      </c>
      <c r="C671" t="s">
        <v>248</v>
      </c>
      <c r="D671">
        <v>23326</v>
      </c>
      <c r="E671">
        <v>4933</v>
      </c>
      <c r="F671" s="179">
        <v>46163</v>
      </c>
      <c r="G671" t="s">
        <v>236</v>
      </c>
      <c r="I671" t="s">
        <v>270</v>
      </c>
      <c r="J671" s="583">
        <v>0</v>
      </c>
      <c r="K671" s="583">
        <v>361.1</v>
      </c>
      <c r="L671" s="565">
        <f t="shared" si="30"/>
        <v>361.1</v>
      </c>
      <c r="M671" s="179">
        <v>46191</v>
      </c>
      <c r="N671" s="179">
        <v>46191</v>
      </c>
      <c r="O671" s="565">
        <v>361.1</v>
      </c>
      <c r="P671" s="565">
        <f t="shared" si="31"/>
        <v>0</v>
      </c>
      <c r="Q671" s="565"/>
      <c r="R671" s="565"/>
      <c r="S671" s="565"/>
      <c r="T671" s="565"/>
      <c r="U671" s="565"/>
      <c r="V671" s="565"/>
      <c r="W671" s="565"/>
      <c r="X671" s="565"/>
      <c r="Y671" t="str">
        <f t="shared" ca="1" si="32"/>
        <v>PAGO</v>
      </c>
      <c r="AA671" t="s">
        <v>409</v>
      </c>
    </row>
    <row r="672" spans="1:27" x14ac:dyDescent="0.3">
      <c r="A672" t="s">
        <v>218</v>
      </c>
      <c r="B672" s="562">
        <v>2026</v>
      </c>
      <c r="C672" t="s">
        <v>248</v>
      </c>
      <c r="D672">
        <v>23326</v>
      </c>
      <c r="E672">
        <v>4933</v>
      </c>
      <c r="F672" s="179">
        <v>46163</v>
      </c>
      <c r="G672" t="s">
        <v>236</v>
      </c>
      <c r="I672" t="s">
        <v>270</v>
      </c>
      <c r="J672" s="583">
        <v>0</v>
      </c>
      <c r="K672" s="583">
        <v>361.1</v>
      </c>
      <c r="L672" s="565">
        <f t="shared" si="30"/>
        <v>361.1</v>
      </c>
      <c r="M672" s="179">
        <v>46198</v>
      </c>
      <c r="N672" s="179">
        <v>46196</v>
      </c>
      <c r="O672" s="565">
        <v>361.1</v>
      </c>
      <c r="P672" s="565">
        <f t="shared" si="31"/>
        <v>0</v>
      </c>
      <c r="Q672" s="565"/>
      <c r="R672" s="565"/>
      <c r="S672" s="565"/>
      <c r="T672" s="565"/>
      <c r="U672" s="565"/>
      <c r="V672" s="565"/>
      <c r="W672" s="565"/>
      <c r="X672" s="565"/>
      <c r="Y672" t="str">
        <f t="shared" ca="1" si="32"/>
        <v>PAGO</v>
      </c>
      <c r="AA672" t="s">
        <v>409</v>
      </c>
    </row>
    <row r="673" spans="1:27" x14ac:dyDescent="0.3">
      <c r="A673" t="s">
        <v>218</v>
      </c>
      <c r="B673" s="562">
        <v>2026</v>
      </c>
      <c r="C673" t="s">
        <v>248</v>
      </c>
      <c r="D673">
        <v>23326</v>
      </c>
      <c r="E673">
        <v>4933</v>
      </c>
      <c r="F673" s="179">
        <v>46163</v>
      </c>
      <c r="G673" t="s">
        <v>236</v>
      </c>
      <c r="I673" t="s">
        <v>270</v>
      </c>
      <c r="J673" s="583">
        <v>0</v>
      </c>
      <c r="K673" s="583">
        <v>361.09</v>
      </c>
      <c r="L673" s="565">
        <f t="shared" si="30"/>
        <v>361.09</v>
      </c>
      <c r="M673" s="179">
        <v>46205</v>
      </c>
      <c r="N673" s="179">
        <v>46197</v>
      </c>
      <c r="O673" s="565">
        <v>361.11</v>
      </c>
      <c r="P673" s="565">
        <f t="shared" si="31"/>
        <v>-2.0000000000038654E-2</v>
      </c>
      <c r="Q673" s="565"/>
      <c r="R673" s="565"/>
      <c r="S673" s="565"/>
      <c r="T673" s="565"/>
      <c r="U673" s="565"/>
      <c r="V673" s="565"/>
      <c r="W673" s="565"/>
      <c r="X673" s="565"/>
      <c r="Y673" t="str">
        <f t="shared" ca="1" si="32"/>
        <v>PAGO</v>
      </c>
      <c r="AA673" t="s">
        <v>409</v>
      </c>
    </row>
    <row r="674" spans="1:27" x14ac:dyDescent="0.3">
      <c r="A674" t="s">
        <v>218</v>
      </c>
      <c r="B674" s="562">
        <v>2026</v>
      </c>
      <c r="C674" t="s">
        <v>248</v>
      </c>
      <c r="D674">
        <v>23325</v>
      </c>
      <c r="E674">
        <v>4912</v>
      </c>
      <c r="F674" s="179">
        <v>46163</v>
      </c>
      <c r="G674" t="s">
        <v>236</v>
      </c>
      <c r="I674" t="s">
        <v>270</v>
      </c>
      <c r="J674" s="583">
        <v>0</v>
      </c>
      <c r="K674" s="583">
        <v>355.72</v>
      </c>
      <c r="L674" s="565">
        <f t="shared" si="30"/>
        <v>355.72</v>
      </c>
      <c r="M674" s="179">
        <v>46198</v>
      </c>
      <c r="N674" s="179">
        <v>46199</v>
      </c>
      <c r="O674" s="565">
        <v>355.73</v>
      </c>
      <c r="P674" s="565">
        <f t="shared" si="31"/>
        <v>-9.9999999999909051E-3</v>
      </c>
      <c r="Q674" s="565"/>
      <c r="R674" s="565"/>
      <c r="S674" s="565"/>
      <c r="T674" s="565"/>
      <c r="U674" s="565"/>
      <c r="V674" s="565"/>
      <c r="W674" s="565"/>
      <c r="X674" s="565"/>
      <c r="Y674" t="str">
        <f t="shared" ca="1" si="32"/>
        <v>PAGO</v>
      </c>
      <c r="AA674" t="s">
        <v>409</v>
      </c>
    </row>
    <row r="675" spans="1:27" x14ac:dyDescent="0.3">
      <c r="A675" t="s">
        <v>218</v>
      </c>
      <c r="B675" s="562">
        <v>2026</v>
      </c>
      <c r="C675" t="s">
        <v>248</v>
      </c>
      <c r="D675">
        <v>23341</v>
      </c>
      <c r="E675">
        <v>4933</v>
      </c>
      <c r="F675" s="179">
        <v>46164</v>
      </c>
      <c r="G675" t="s">
        <v>236</v>
      </c>
      <c r="I675" t="s">
        <v>270</v>
      </c>
      <c r="J675" s="583">
        <v>0</v>
      </c>
      <c r="K675" s="583">
        <v>407.9</v>
      </c>
      <c r="L675" s="565">
        <f t="shared" si="30"/>
        <v>407.9</v>
      </c>
      <c r="M675" s="179">
        <v>46199</v>
      </c>
      <c r="N675" s="179">
        <v>46195</v>
      </c>
      <c r="O675" s="565">
        <v>407.11</v>
      </c>
      <c r="P675" s="565">
        <f t="shared" si="31"/>
        <v>0.78999999999996362</v>
      </c>
      <c r="Q675" s="565"/>
      <c r="R675" s="565"/>
      <c r="S675" s="565"/>
      <c r="T675" s="565"/>
      <c r="U675" s="565"/>
      <c r="V675" s="565"/>
      <c r="W675" s="565"/>
      <c r="X675" s="565"/>
      <c r="Y675" t="str">
        <f t="shared" ca="1" si="32"/>
        <v>VENCIDO</v>
      </c>
      <c r="AA675" t="s">
        <v>409</v>
      </c>
    </row>
    <row r="676" spans="1:27" x14ac:dyDescent="0.3">
      <c r="A676" t="s">
        <v>218</v>
      </c>
      <c r="B676" s="562">
        <v>2026</v>
      </c>
      <c r="C676" t="s">
        <v>249</v>
      </c>
      <c r="D676">
        <v>23372</v>
      </c>
      <c r="E676">
        <v>5002</v>
      </c>
      <c r="F676" s="179">
        <v>46167</v>
      </c>
      <c r="G676" t="s">
        <v>264</v>
      </c>
      <c r="I676" t="s">
        <v>271</v>
      </c>
      <c r="J676" s="583">
        <v>2450.9299999999998</v>
      </c>
      <c r="K676" s="583">
        <v>0</v>
      </c>
      <c r="L676" s="565">
        <f t="shared" si="30"/>
        <v>2450.9299999999998</v>
      </c>
      <c r="M676" s="179">
        <v>46197</v>
      </c>
      <c r="N676" s="179">
        <v>46197</v>
      </c>
      <c r="O676" s="565">
        <v>2450.9299999999998</v>
      </c>
      <c r="P676" s="565">
        <f t="shared" si="31"/>
        <v>0</v>
      </c>
      <c r="Q676" s="565"/>
      <c r="R676" s="565"/>
      <c r="S676" s="565"/>
      <c r="T676" s="565"/>
      <c r="U676" s="565"/>
      <c r="V676" s="565"/>
      <c r="W676" s="565"/>
      <c r="X676" s="565"/>
      <c r="Y676" t="str">
        <f t="shared" ca="1" si="32"/>
        <v>PAGO</v>
      </c>
      <c r="AA676" t="s">
        <v>409</v>
      </c>
    </row>
    <row r="677" spans="1:27" x14ac:dyDescent="0.3">
      <c r="A677" t="s">
        <v>218</v>
      </c>
      <c r="B677" s="562">
        <v>2026</v>
      </c>
      <c r="C677" t="s">
        <v>249</v>
      </c>
      <c r="D677">
        <v>23372</v>
      </c>
      <c r="E677">
        <v>5002</v>
      </c>
      <c r="F677" s="179">
        <v>46167</v>
      </c>
      <c r="G677" t="s">
        <v>264</v>
      </c>
      <c r="I677" t="s">
        <v>271</v>
      </c>
      <c r="J677" s="583">
        <v>2450.9299999999998</v>
      </c>
      <c r="K677" s="583">
        <v>0</v>
      </c>
      <c r="L677" s="565">
        <f t="shared" si="30"/>
        <v>2450.9299999999998</v>
      </c>
      <c r="M677" s="179">
        <v>46204</v>
      </c>
      <c r="N677" s="179">
        <v>46204</v>
      </c>
      <c r="O677" s="565">
        <v>2450.9299999999998</v>
      </c>
      <c r="P677" s="565">
        <f t="shared" si="31"/>
        <v>0</v>
      </c>
      <c r="Q677" s="565"/>
      <c r="R677" s="565"/>
      <c r="S677" s="565"/>
      <c r="T677" s="565"/>
      <c r="U677" s="565"/>
      <c r="V677" s="565"/>
      <c r="W677" s="565"/>
      <c r="X677" s="565"/>
      <c r="Y677" t="str">
        <f t="shared" ca="1" si="32"/>
        <v>PAGO</v>
      </c>
      <c r="AA677" t="s">
        <v>409</v>
      </c>
    </row>
    <row r="678" spans="1:27" x14ac:dyDescent="0.3">
      <c r="A678" t="s">
        <v>218</v>
      </c>
      <c r="B678" s="562">
        <v>2026</v>
      </c>
      <c r="C678" t="s">
        <v>249</v>
      </c>
      <c r="D678">
        <v>23372</v>
      </c>
      <c r="E678">
        <v>5002</v>
      </c>
      <c r="F678" s="179">
        <v>46167</v>
      </c>
      <c r="G678" t="s">
        <v>264</v>
      </c>
      <c r="I678" t="s">
        <v>271</v>
      </c>
      <c r="J678" s="583">
        <v>2450.94</v>
      </c>
      <c r="K678" s="583">
        <v>0</v>
      </c>
      <c r="L678" s="565">
        <f t="shared" si="30"/>
        <v>2450.94</v>
      </c>
      <c r="M678" s="179">
        <v>46211</v>
      </c>
      <c r="N678" s="179">
        <v>46211</v>
      </c>
      <c r="O678" s="565">
        <v>2450.94</v>
      </c>
      <c r="P678" s="565">
        <f t="shared" si="31"/>
        <v>0</v>
      </c>
      <c r="Q678" s="565"/>
      <c r="R678" s="565"/>
      <c r="S678" s="565"/>
      <c r="T678" s="565"/>
      <c r="U678" s="565"/>
      <c r="V678" s="565"/>
      <c r="W678" s="565"/>
      <c r="X678" s="565"/>
      <c r="Y678" t="str">
        <f t="shared" ca="1" si="32"/>
        <v>PAGO</v>
      </c>
      <c r="AA678" t="s">
        <v>409</v>
      </c>
    </row>
    <row r="679" spans="1:27" x14ac:dyDescent="0.3">
      <c r="A679" t="s">
        <v>218</v>
      </c>
      <c r="B679" s="562">
        <v>2026</v>
      </c>
      <c r="C679" t="s">
        <v>248</v>
      </c>
      <c r="D679">
        <v>23376</v>
      </c>
      <c r="E679">
        <v>4913</v>
      </c>
      <c r="F679" s="179">
        <v>46167</v>
      </c>
      <c r="G679" t="s">
        <v>237</v>
      </c>
      <c r="I679" t="s">
        <v>270</v>
      </c>
      <c r="J679" s="583">
        <v>0</v>
      </c>
      <c r="K679" s="583">
        <v>1773.09</v>
      </c>
      <c r="L679" s="565">
        <f t="shared" si="30"/>
        <v>1773.09</v>
      </c>
      <c r="M679" s="179">
        <v>46188</v>
      </c>
      <c r="N679" s="179">
        <v>46188</v>
      </c>
      <c r="O679" s="565">
        <v>1773.09</v>
      </c>
      <c r="P679" s="565">
        <f t="shared" si="31"/>
        <v>0</v>
      </c>
      <c r="Q679" s="565"/>
      <c r="R679" s="565"/>
      <c r="S679" s="565"/>
      <c r="T679" s="565"/>
      <c r="U679" s="565"/>
      <c r="V679" s="565"/>
      <c r="W679" s="565"/>
      <c r="X679" s="565"/>
      <c r="Y679" t="str">
        <f t="shared" ca="1" si="32"/>
        <v>PAGO</v>
      </c>
      <c r="AA679" t="s">
        <v>409</v>
      </c>
    </row>
    <row r="680" spans="1:27" x14ac:dyDescent="0.3">
      <c r="A680" t="s">
        <v>218</v>
      </c>
      <c r="B680" s="562">
        <v>2026</v>
      </c>
      <c r="C680" t="s">
        <v>248</v>
      </c>
      <c r="D680">
        <v>23377</v>
      </c>
      <c r="E680">
        <v>4933</v>
      </c>
      <c r="F680" s="179">
        <v>46167</v>
      </c>
      <c r="G680" t="s">
        <v>236</v>
      </c>
      <c r="I680" t="s">
        <v>270</v>
      </c>
      <c r="J680" s="583">
        <v>0</v>
      </c>
      <c r="K680" s="583">
        <v>265.64999999999998</v>
      </c>
      <c r="L680" s="565">
        <f t="shared" si="30"/>
        <v>265.64999999999998</v>
      </c>
      <c r="M680" s="179">
        <v>46202</v>
      </c>
      <c r="N680" s="179">
        <v>46195</v>
      </c>
      <c r="O680" s="565">
        <v>265.64999999999998</v>
      </c>
      <c r="P680" s="565">
        <f t="shared" si="31"/>
        <v>0</v>
      </c>
      <c r="Q680" s="565"/>
      <c r="R680" s="565"/>
      <c r="S680" s="565"/>
      <c r="T680" s="565"/>
      <c r="U680" s="565"/>
      <c r="V680" s="565"/>
      <c r="W680" s="565"/>
      <c r="X680" s="565"/>
      <c r="Y680" t="str">
        <f t="shared" ca="1" si="32"/>
        <v>PAGO</v>
      </c>
      <c r="AA680" t="s">
        <v>409</v>
      </c>
    </row>
    <row r="681" spans="1:27" x14ac:dyDescent="0.3">
      <c r="A681" t="s">
        <v>218</v>
      </c>
      <c r="B681" s="562">
        <v>2026</v>
      </c>
      <c r="C681" t="s">
        <v>248</v>
      </c>
      <c r="D681">
        <v>23422</v>
      </c>
      <c r="E681">
        <v>5031</v>
      </c>
      <c r="F681" s="179">
        <v>46169</v>
      </c>
      <c r="G681" t="s">
        <v>236</v>
      </c>
      <c r="I681" t="s">
        <v>270</v>
      </c>
      <c r="J681" s="583">
        <v>0</v>
      </c>
      <c r="K681" s="583">
        <v>410.55</v>
      </c>
      <c r="L681" s="565">
        <f t="shared" si="30"/>
        <v>410.55</v>
      </c>
      <c r="M681" s="179">
        <v>46204</v>
      </c>
      <c r="N681" s="179">
        <v>46197</v>
      </c>
      <c r="O681" s="565">
        <v>410.55</v>
      </c>
      <c r="P681" s="565">
        <f t="shared" si="31"/>
        <v>0</v>
      </c>
      <c r="Q681" s="565"/>
      <c r="R681" s="565"/>
      <c r="S681" s="565"/>
      <c r="T681" s="565"/>
      <c r="U681" s="565"/>
      <c r="V681" s="565"/>
      <c r="W681" s="565"/>
      <c r="X681" s="565"/>
      <c r="Y681" t="str">
        <f t="shared" ca="1" si="32"/>
        <v>PAGO</v>
      </c>
      <c r="AA681" t="s">
        <v>409</v>
      </c>
    </row>
    <row r="682" spans="1:27" x14ac:dyDescent="0.3">
      <c r="A682" t="s">
        <v>218</v>
      </c>
      <c r="B682" s="562">
        <v>2026</v>
      </c>
      <c r="C682" t="s">
        <v>248</v>
      </c>
      <c r="D682">
        <v>23423</v>
      </c>
      <c r="E682">
        <v>4983</v>
      </c>
      <c r="F682" s="179">
        <v>46169</v>
      </c>
      <c r="G682" t="s">
        <v>236</v>
      </c>
      <c r="I682" t="s">
        <v>270</v>
      </c>
      <c r="J682" s="583">
        <v>0</v>
      </c>
      <c r="K682" s="583">
        <v>807.87</v>
      </c>
      <c r="L682" s="565">
        <f t="shared" si="30"/>
        <v>807.87</v>
      </c>
      <c r="M682" s="179">
        <v>46197</v>
      </c>
      <c r="N682" s="179">
        <v>46195</v>
      </c>
      <c r="O682" s="565">
        <v>807.88</v>
      </c>
      <c r="P682" s="565">
        <f t="shared" si="31"/>
        <v>-9.9999999999909051E-3</v>
      </c>
      <c r="Q682" s="565"/>
      <c r="R682" s="565"/>
      <c r="S682" s="565"/>
      <c r="T682" s="565"/>
      <c r="U682" s="565"/>
      <c r="V682" s="565"/>
      <c r="W682" s="565"/>
      <c r="X682" s="565"/>
      <c r="Y682" t="str">
        <f t="shared" ca="1" si="32"/>
        <v>PAGO</v>
      </c>
      <c r="AA682" t="s">
        <v>409</v>
      </c>
    </row>
    <row r="683" spans="1:27" x14ac:dyDescent="0.3">
      <c r="A683" t="s">
        <v>218</v>
      </c>
      <c r="B683" s="562">
        <v>2026</v>
      </c>
      <c r="C683" t="s">
        <v>248</v>
      </c>
      <c r="D683">
        <v>23423</v>
      </c>
      <c r="E683">
        <v>4983</v>
      </c>
      <c r="F683" s="179">
        <v>46169</v>
      </c>
      <c r="G683" t="s">
        <v>236</v>
      </c>
      <c r="I683" t="s">
        <v>270</v>
      </c>
      <c r="J683" s="583">
        <v>0</v>
      </c>
      <c r="K683" s="583">
        <v>807.87</v>
      </c>
      <c r="L683" s="565">
        <f t="shared" si="30"/>
        <v>807.87</v>
      </c>
      <c r="M683" s="179">
        <v>46204</v>
      </c>
      <c r="N683" s="179">
        <v>46197</v>
      </c>
      <c r="O683" s="565">
        <v>807.88</v>
      </c>
      <c r="P683" s="565">
        <f t="shared" si="31"/>
        <v>-9.9999999999909051E-3</v>
      </c>
      <c r="Q683" s="565"/>
      <c r="R683" s="565"/>
      <c r="S683" s="565"/>
      <c r="T683" s="565"/>
      <c r="U683" s="565"/>
      <c r="V683" s="565"/>
      <c r="W683" s="565"/>
      <c r="X683" s="565"/>
      <c r="Y683" t="str">
        <f t="shared" ca="1" si="32"/>
        <v>PAGO</v>
      </c>
      <c r="AA683" t="s">
        <v>409</v>
      </c>
    </row>
    <row r="684" spans="1:27" x14ac:dyDescent="0.3">
      <c r="A684" t="s">
        <v>218</v>
      </c>
      <c r="B684" s="562">
        <v>2026</v>
      </c>
      <c r="C684" t="s">
        <v>248</v>
      </c>
      <c r="D684">
        <v>23423</v>
      </c>
      <c r="E684">
        <v>4983</v>
      </c>
      <c r="F684" s="179">
        <v>46169</v>
      </c>
      <c r="G684" t="s">
        <v>236</v>
      </c>
      <c r="I684" t="s">
        <v>270</v>
      </c>
      <c r="J684" s="583">
        <v>0</v>
      </c>
      <c r="K684" s="583">
        <v>807.88</v>
      </c>
      <c r="L684" s="565">
        <f t="shared" si="30"/>
        <v>807.88</v>
      </c>
      <c r="M684" s="179">
        <v>46211</v>
      </c>
      <c r="N684" s="179">
        <v>46205</v>
      </c>
      <c r="O684" s="565">
        <v>807.87</v>
      </c>
      <c r="P684" s="565">
        <f t="shared" si="31"/>
        <v>9.9999999999909051E-3</v>
      </c>
      <c r="Q684" s="565"/>
      <c r="R684" s="565"/>
      <c r="S684" s="565"/>
      <c r="T684" s="565"/>
      <c r="U684" s="565"/>
      <c r="V684" s="565"/>
      <c r="W684" s="565"/>
      <c r="X684" s="565"/>
      <c r="Y684" t="str">
        <f t="shared" ca="1" si="32"/>
        <v>PAGO</v>
      </c>
      <c r="AA684" t="s">
        <v>409</v>
      </c>
    </row>
    <row r="685" spans="1:27" x14ac:dyDescent="0.3">
      <c r="A685" t="s">
        <v>218</v>
      </c>
      <c r="B685" s="562">
        <v>2026</v>
      </c>
      <c r="C685" t="s">
        <v>249</v>
      </c>
      <c r="D685">
        <v>23466</v>
      </c>
      <c r="E685">
        <v>5070</v>
      </c>
      <c r="F685" s="179">
        <v>46171</v>
      </c>
      <c r="G685" t="s">
        <v>365</v>
      </c>
      <c r="I685" t="s">
        <v>326</v>
      </c>
      <c r="J685" s="583">
        <v>752</v>
      </c>
      <c r="K685" s="583">
        <v>0</v>
      </c>
      <c r="L685" s="565">
        <f t="shared" si="30"/>
        <v>752</v>
      </c>
      <c r="M685" s="179">
        <v>46231</v>
      </c>
      <c r="O685" s="565">
        <v>752</v>
      </c>
      <c r="P685" s="565">
        <f t="shared" si="31"/>
        <v>0</v>
      </c>
      <c r="Q685" s="565"/>
      <c r="R685" s="565"/>
      <c r="S685" s="565"/>
      <c r="T685" s="565"/>
      <c r="U685" s="565"/>
      <c r="V685" s="565"/>
      <c r="W685" s="565"/>
      <c r="X685" s="565"/>
      <c r="Y685" t="str">
        <f t="shared" ca="1" si="32"/>
        <v>PAGO</v>
      </c>
      <c r="AA685" t="s">
        <v>409</v>
      </c>
    </row>
    <row r="686" spans="1:27" x14ac:dyDescent="0.3">
      <c r="A686" t="s">
        <v>219</v>
      </c>
      <c r="B686" s="562">
        <v>2026</v>
      </c>
      <c r="C686" t="s">
        <v>249</v>
      </c>
      <c r="D686">
        <v>917</v>
      </c>
      <c r="E686">
        <v>895</v>
      </c>
      <c r="F686" s="179">
        <v>46178</v>
      </c>
      <c r="G686" t="s">
        <v>264</v>
      </c>
      <c r="I686" t="s">
        <v>271</v>
      </c>
      <c r="J686" s="583">
        <v>2784</v>
      </c>
      <c r="K686" s="583">
        <v>0</v>
      </c>
      <c r="L686" s="565">
        <f t="shared" si="30"/>
        <v>2784</v>
      </c>
      <c r="M686" s="179">
        <v>46220</v>
      </c>
      <c r="N686" s="179">
        <v>46220</v>
      </c>
      <c r="O686" s="565">
        <v>2784</v>
      </c>
      <c r="P686" s="565">
        <f t="shared" si="31"/>
        <v>0</v>
      </c>
      <c r="Q686" s="565"/>
      <c r="R686" s="565"/>
      <c r="S686" s="565"/>
      <c r="T686" s="565"/>
      <c r="U686" s="565"/>
      <c r="V686" s="565"/>
      <c r="W686" s="565"/>
      <c r="X686" s="565"/>
      <c r="Y686" t="str">
        <f t="shared" ca="1" si="32"/>
        <v>PAGO</v>
      </c>
      <c r="AA686" t="s">
        <v>410</v>
      </c>
    </row>
    <row r="687" spans="1:27" x14ac:dyDescent="0.3">
      <c r="A687" t="s">
        <v>219</v>
      </c>
      <c r="B687" s="562">
        <v>2026</v>
      </c>
      <c r="C687" t="s">
        <v>248</v>
      </c>
      <c r="D687">
        <v>23578</v>
      </c>
      <c r="E687">
        <v>5141</v>
      </c>
      <c r="F687" s="179">
        <v>46181</v>
      </c>
      <c r="G687" t="s">
        <v>236</v>
      </c>
      <c r="I687" t="s">
        <v>270</v>
      </c>
      <c r="J687" s="583">
        <v>0</v>
      </c>
      <c r="K687" s="583">
        <v>270.82</v>
      </c>
      <c r="L687" s="565">
        <f t="shared" si="30"/>
        <v>270.82</v>
      </c>
      <c r="M687" s="179">
        <v>46209</v>
      </c>
      <c r="N687" s="179">
        <v>46205</v>
      </c>
      <c r="O687" s="565">
        <v>270.83</v>
      </c>
      <c r="P687" s="565">
        <f t="shared" si="31"/>
        <v>-9.9999999999909051E-3</v>
      </c>
      <c r="Q687" s="565"/>
      <c r="R687" s="565"/>
      <c r="S687" s="565"/>
      <c r="T687" s="565"/>
      <c r="U687" s="565"/>
      <c r="V687" s="565"/>
      <c r="W687" s="565"/>
      <c r="X687" s="565"/>
      <c r="Y687" t="str">
        <f t="shared" ca="1" si="32"/>
        <v>PAGO</v>
      </c>
      <c r="AA687" t="s">
        <v>410</v>
      </c>
    </row>
    <row r="688" spans="1:27" x14ac:dyDescent="0.3">
      <c r="A688" t="s">
        <v>219</v>
      </c>
      <c r="B688" s="562">
        <v>2026</v>
      </c>
      <c r="C688" t="s">
        <v>248</v>
      </c>
      <c r="D688">
        <v>23579</v>
      </c>
      <c r="E688">
        <v>5166</v>
      </c>
      <c r="F688" s="179">
        <v>46181</v>
      </c>
      <c r="G688" t="s">
        <v>236</v>
      </c>
      <c r="I688" t="s">
        <v>270</v>
      </c>
      <c r="J688" s="583">
        <v>0</v>
      </c>
      <c r="K688" s="583">
        <v>506</v>
      </c>
      <c r="L688" s="565">
        <f t="shared" si="30"/>
        <v>506</v>
      </c>
      <c r="M688" s="179">
        <v>46209</v>
      </c>
      <c r="N688" s="179">
        <v>46205</v>
      </c>
      <c r="O688" s="565">
        <v>506</v>
      </c>
      <c r="P688" s="565">
        <f t="shared" si="31"/>
        <v>0</v>
      </c>
      <c r="Q688" s="565"/>
      <c r="R688" s="565"/>
      <c r="S688" s="565"/>
      <c r="T688" s="565"/>
      <c r="U688" s="565"/>
      <c r="V688" s="565"/>
      <c r="W688" s="565"/>
      <c r="X688" s="565"/>
      <c r="Y688" t="str">
        <f t="shared" ca="1" si="32"/>
        <v>PAGO</v>
      </c>
      <c r="AA688" t="s">
        <v>410</v>
      </c>
    </row>
    <row r="689" spans="1:27" x14ac:dyDescent="0.3">
      <c r="A689" t="s">
        <v>219</v>
      </c>
      <c r="B689" s="562">
        <v>2026</v>
      </c>
      <c r="C689" t="s">
        <v>248</v>
      </c>
      <c r="D689">
        <v>23579</v>
      </c>
      <c r="E689">
        <v>5166</v>
      </c>
      <c r="F689" s="179">
        <v>46181</v>
      </c>
      <c r="G689" t="s">
        <v>236</v>
      </c>
      <c r="I689" t="s">
        <v>270</v>
      </c>
      <c r="J689" s="583">
        <v>0</v>
      </c>
      <c r="K689" s="583">
        <v>506</v>
      </c>
      <c r="L689" s="565">
        <f t="shared" si="30"/>
        <v>506</v>
      </c>
      <c r="M689" s="179">
        <v>46216</v>
      </c>
      <c r="N689" s="179">
        <v>46205</v>
      </c>
      <c r="O689" s="565">
        <v>506</v>
      </c>
      <c r="P689" s="565">
        <f t="shared" si="31"/>
        <v>0</v>
      </c>
      <c r="Q689" s="565"/>
      <c r="R689" s="565"/>
      <c r="S689" s="565"/>
      <c r="T689" s="565"/>
      <c r="U689" s="565"/>
      <c r="V689" s="565"/>
      <c r="W689" s="565"/>
      <c r="X689" s="565"/>
      <c r="Y689" t="str">
        <f t="shared" ca="1" si="32"/>
        <v>PAGO</v>
      </c>
      <c r="AA689" t="s">
        <v>410</v>
      </c>
    </row>
    <row r="690" spans="1:27" x14ac:dyDescent="0.3">
      <c r="A690" t="s">
        <v>219</v>
      </c>
      <c r="B690" s="562">
        <v>2026</v>
      </c>
      <c r="C690" t="s">
        <v>248</v>
      </c>
      <c r="D690">
        <v>23579</v>
      </c>
      <c r="E690">
        <v>5166</v>
      </c>
      <c r="F690" s="179">
        <v>46181</v>
      </c>
      <c r="G690" t="s">
        <v>236</v>
      </c>
      <c r="I690" t="s">
        <v>270</v>
      </c>
      <c r="J690" s="583">
        <v>0</v>
      </c>
      <c r="K690" s="583">
        <v>505.99</v>
      </c>
      <c r="L690" s="565">
        <f t="shared" si="30"/>
        <v>505.99</v>
      </c>
      <c r="M690" s="179">
        <v>46223</v>
      </c>
      <c r="N690" s="179">
        <v>46205</v>
      </c>
      <c r="O690" s="565">
        <v>506.01</v>
      </c>
      <c r="P690" s="565">
        <f t="shared" si="31"/>
        <v>-1.999999999998181E-2</v>
      </c>
      <c r="Q690" s="565"/>
      <c r="R690" s="565"/>
      <c r="S690" s="565"/>
      <c r="T690" s="565"/>
      <c r="U690" s="565"/>
      <c r="V690" s="565"/>
      <c r="W690" s="565"/>
      <c r="X690" s="565"/>
      <c r="Y690" t="str">
        <f t="shared" ca="1" si="32"/>
        <v>PAGO</v>
      </c>
      <c r="AA690" t="s">
        <v>410</v>
      </c>
    </row>
    <row r="691" spans="1:27" x14ac:dyDescent="0.3">
      <c r="A691" t="s">
        <v>219</v>
      </c>
      <c r="B691" s="562">
        <v>2026</v>
      </c>
      <c r="C691" t="s">
        <v>248</v>
      </c>
      <c r="D691">
        <v>23597</v>
      </c>
      <c r="E691">
        <v>5166</v>
      </c>
      <c r="F691" s="179">
        <v>46182</v>
      </c>
      <c r="G691" t="s">
        <v>236</v>
      </c>
      <c r="I691" t="s">
        <v>270</v>
      </c>
      <c r="J691" s="583">
        <v>0</v>
      </c>
      <c r="K691" s="583">
        <v>407.1</v>
      </c>
      <c r="L691" s="565">
        <f t="shared" si="30"/>
        <v>407.1</v>
      </c>
      <c r="M691" s="179">
        <v>46217</v>
      </c>
      <c r="N691" s="179">
        <v>46205</v>
      </c>
      <c r="O691" s="565">
        <v>407.1</v>
      </c>
      <c r="P691" s="565">
        <f t="shared" si="31"/>
        <v>0</v>
      </c>
      <c r="Q691" s="565"/>
      <c r="R691" s="565"/>
      <c r="S691" s="565"/>
      <c r="T691" s="565"/>
      <c r="U691" s="565"/>
      <c r="V691" s="565"/>
      <c r="W691" s="565"/>
      <c r="X691" s="565"/>
      <c r="Y691" t="str">
        <f t="shared" ca="1" si="32"/>
        <v>PAGO</v>
      </c>
      <c r="AA691" t="s">
        <v>410</v>
      </c>
    </row>
    <row r="692" spans="1:27" x14ac:dyDescent="0.3">
      <c r="A692" t="s">
        <v>219</v>
      </c>
      <c r="B692" s="562">
        <v>2026</v>
      </c>
      <c r="C692" t="s">
        <v>249</v>
      </c>
      <c r="D692">
        <v>23605</v>
      </c>
      <c r="E692">
        <v>5205</v>
      </c>
      <c r="F692" s="179">
        <v>46183</v>
      </c>
      <c r="G692" t="s">
        <v>315</v>
      </c>
      <c r="I692" t="s">
        <v>372</v>
      </c>
      <c r="J692" s="583">
        <v>795</v>
      </c>
      <c r="K692" s="583">
        <v>0</v>
      </c>
      <c r="L692" s="565">
        <f t="shared" si="30"/>
        <v>795</v>
      </c>
      <c r="M692" s="179">
        <v>46183</v>
      </c>
      <c r="N692" s="179">
        <v>46183</v>
      </c>
      <c r="O692" s="565">
        <v>795</v>
      </c>
      <c r="P692" s="565">
        <f t="shared" si="31"/>
        <v>0</v>
      </c>
      <c r="Q692" s="565"/>
      <c r="R692" s="565"/>
      <c r="S692" s="565"/>
      <c r="T692" s="565"/>
      <c r="U692" s="565"/>
      <c r="V692" s="565"/>
      <c r="W692" s="565"/>
      <c r="X692" s="565"/>
      <c r="Y692" t="str">
        <f t="shared" ca="1" si="32"/>
        <v>PAGO</v>
      </c>
      <c r="AA692" t="s">
        <v>410</v>
      </c>
    </row>
    <row r="693" spans="1:27" x14ac:dyDescent="0.3">
      <c r="A693" t="s">
        <v>219</v>
      </c>
      <c r="B693" s="562">
        <v>2026</v>
      </c>
      <c r="C693" t="s">
        <v>248</v>
      </c>
      <c r="D693">
        <v>23628</v>
      </c>
      <c r="E693">
        <v>5053</v>
      </c>
      <c r="F693" s="179">
        <v>46183</v>
      </c>
      <c r="G693" t="s">
        <v>236</v>
      </c>
      <c r="I693" t="s">
        <v>270</v>
      </c>
      <c r="J693" s="583">
        <v>0</v>
      </c>
      <c r="K693" s="583">
        <v>150.1</v>
      </c>
      <c r="L693" s="565">
        <f t="shared" si="30"/>
        <v>150.1</v>
      </c>
      <c r="M693" s="179">
        <v>46218</v>
      </c>
      <c r="N693" s="179">
        <v>46205</v>
      </c>
      <c r="O693" s="565">
        <v>150.1</v>
      </c>
      <c r="P693" s="565">
        <f t="shared" si="31"/>
        <v>0</v>
      </c>
      <c r="Q693" s="565"/>
      <c r="R693" s="565"/>
      <c r="S693" s="565"/>
      <c r="T693" s="565"/>
      <c r="U693" s="565"/>
      <c r="V693" s="565"/>
      <c r="W693" s="565"/>
      <c r="X693" s="565"/>
      <c r="Y693" t="str">
        <f t="shared" ca="1" si="32"/>
        <v>PAGO</v>
      </c>
      <c r="AA693" t="s">
        <v>410</v>
      </c>
    </row>
    <row r="694" spans="1:27" x14ac:dyDescent="0.3">
      <c r="A694" t="s">
        <v>219</v>
      </c>
      <c r="B694" s="562">
        <v>2026</v>
      </c>
      <c r="C694" t="s">
        <v>249</v>
      </c>
      <c r="D694">
        <v>23750</v>
      </c>
      <c r="E694">
        <v>5200</v>
      </c>
      <c r="F694" s="179">
        <v>46189</v>
      </c>
      <c r="G694" t="s">
        <v>365</v>
      </c>
      <c r="I694" t="s">
        <v>326</v>
      </c>
      <c r="J694" s="583">
        <v>877.33</v>
      </c>
      <c r="K694" s="583">
        <v>0</v>
      </c>
      <c r="L694" s="565">
        <f t="shared" si="30"/>
        <v>877.33</v>
      </c>
      <c r="M694" s="179">
        <v>46204</v>
      </c>
      <c r="N694" s="179">
        <v>46205</v>
      </c>
      <c r="O694" s="565">
        <v>877.33</v>
      </c>
      <c r="P694" s="565">
        <f t="shared" si="31"/>
        <v>0</v>
      </c>
      <c r="Q694" s="565"/>
      <c r="R694" s="565"/>
      <c r="S694" s="565"/>
      <c r="T694" s="565"/>
      <c r="U694" s="565"/>
      <c r="V694" s="565"/>
      <c r="W694" s="565"/>
      <c r="X694" s="565"/>
      <c r="Y694" t="str">
        <f t="shared" ca="1" si="32"/>
        <v>PAGO</v>
      </c>
      <c r="AA694" t="s">
        <v>410</v>
      </c>
    </row>
    <row r="695" spans="1:27" x14ac:dyDescent="0.3">
      <c r="A695" t="s">
        <v>219</v>
      </c>
      <c r="B695" s="562">
        <v>2026</v>
      </c>
      <c r="C695" t="s">
        <v>249</v>
      </c>
      <c r="D695">
        <v>23750</v>
      </c>
      <c r="E695">
        <v>5200</v>
      </c>
      <c r="F695" s="179">
        <v>46189</v>
      </c>
      <c r="G695" t="s">
        <v>365</v>
      </c>
      <c r="I695" t="s">
        <v>326</v>
      </c>
      <c r="J695" s="583">
        <v>877.33</v>
      </c>
      <c r="K695" s="583">
        <v>0</v>
      </c>
      <c r="L695" s="565">
        <f t="shared" si="30"/>
        <v>877.33</v>
      </c>
      <c r="M695" s="179">
        <v>46219</v>
      </c>
      <c r="N695" s="179">
        <v>46220</v>
      </c>
      <c r="O695" s="565">
        <v>877.33</v>
      </c>
      <c r="P695" s="565">
        <f t="shared" si="31"/>
        <v>0</v>
      </c>
      <c r="Q695" s="565"/>
      <c r="R695" s="565"/>
      <c r="S695" s="565"/>
      <c r="T695" s="565"/>
      <c r="U695" s="565"/>
      <c r="V695" s="565"/>
      <c r="W695" s="565"/>
      <c r="X695" s="565"/>
      <c r="Y695" t="str">
        <f t="shared" ca="1" si="32"/>
        <v>PAGO</v>
      </c>
      <c r="AA695" t="s">
        <v>410</v>
      </c>
    </row>
    <row r="696" spans="1:27" x14ac:dyDescent="0.3">
      <c r="A696" t="s">
        <v>219</v>
      </c>
      <c r="B696" s="562">
        <v>2026</v>
      </c>
      <c r="C696" t="s">
        <v>249</v>
      </c>
      <c r="D696">
        <v>23750</v>
      </c>
      <c r="E696">
        <v>5200</v>
      </c>
      <c r="F696" s="179">
        <v>46189</v>
      </c>
      <c r="G696" t="s">
        <v>365</v>
      </c>
      <c r="I696" t="s">
        <v>326</v>
      </c>
      <c r="J696" s="583">
        <v>877.34</v>
      </c>
      <c r="K696" s="583">
        <v>0</v>
      </c>
      <c r="L696" s="565">
        <f t="shared" si="30"/>
        <v>877.34</v>
      </c>
      <c r="M696" s="179">
        <v>46234</v>
      </c>
      <c r="N696" s="179">
        <v>46302</v>
      </c>
      <c r="O696" s="565">
        <v>877.33</v>
      </c>
      <c r="P696" s="565">
        <f t="shared" si="31"/>
        <v>9.9999999999909051E-3</v>
      </c>
      <c r="Q696" s="565"/>
      <c r="R696" s="565"/>
      <c r="S696" s="565"/>
      <c r="T696" s="565"/>
      <c r="U696" s="565"/>
      <c r="V696" s="565"/>
      <c r="W696" s="565"/>
      <c r="X696" s="565"/>
      <c r="Y696" t="str">
        <f t="shared" ca="1" si="32"/>
        <v>PAGO</v>
      </c>
      <c r="AA696" t="s">
        <v>410</v>
      </c>
    </row>
    <row r="697" spans="1:27" x14ac:dyDescent="0.3">
      <c r="A697" t="s">
        <v>219</v>
      </c>
      <c r="B697" s="562">
        <v>2026</v>
      </c>
      <c r="C697" t="s">
        <v>249</v>
      </c>
      <c r="D697">
        <v>23737</v>
      </c>
      <c r="E697">
        <v>5321</v>
      </c>
      <c r="F697" s="179">
        <v>46189</v>
      </c>
      <c r="G697" t="s">
        <v>315</v>
      </c>
      <c r="I697" t="s">
        <v>372</v>
      </c>
      <c r="J697" s="583">
        <v>397.5</v>
      </c>
      <c r="K697" s="583">
        <v>0</v>
      </c>
      <c r="L697" s="565">
        <f t="shared" si="30"/>
        <v>397.5</v>
      </c>
      <c r="M697" s="179">
        <v>46196</v>
      </c>
      <c r="N697" s="179">
        <v>46196</v>
      </c>
      <c r="O697" s="565">
        <v>397.5</v>
      </c>
      <c r="P697" s="565">
        <f t="shared" si="31"/>
        <v>0</v>
      </c>
      <c r="Q697" s="565"/>
      <c r="R697" s="565"/>
      <c r="S697" s="565"/>
      <c r="T697" s="565"/>
      <c r="U697" s="565"/>
      <c r="V697" s="565"/>
      <c r="W697" s="565"/>
      <c r="X697" s="565"/>
      <c r="Y697" t="str">
        <f t="shared" ca="1" si="32"/>
        <v>PAGO</v>
      </c>
      <c r="AA697" t="s">
        <v>410</v>
      </c>
    </row>
    <row r="698" spans="1:27" x14ac:dyDescent="0.3">
      <c r="A698" t="s">
        <v>219</v>
      </c>
      <c r="B698" s="562">
        <v>2026</v>
      </c>
      <c r="C698" t="s">
        <v>249</v>
      </c>
      <c r="D698">
        <v>23773</v>
      </c>
      <c r="E698">
        <v>5398</v>
      </c>
      <c r="F698" s="179">
        <v>46190</v>
      </c>
      <c r="G698" t="s">
        <v>264</v>
      </c>
      <c r="I698" t="s">
        <v>271</v>
      </c>
      <c r="J698" s="583">
        <v>1275</v>
      </c>
      <c r="K698" s="583">
        <v>0</v>
      </c>
      <c r="L698" s="565">
        <f t="shared" si="30"/>
        <v>1275</v>
      </c>
      <c r="M698" s="179">
        <v>46211</v>
      </c>
      <c r="N698" s="179">
        <v>46211</v>
      </c>
      <c r="O698" s="565">
        <v>1275</v>
      </c>
      <c r="P698" s="565">
        <f t="shared" si="31"/>
        <v>0</v>
      </c>
      <c r="Q698" s="565"/>
      <c r="R698" s="565"/>
      <c r="S698" s="565"/>
      <c r="T698" s="565"/>
      <c r="U698" s="565"/>
      <c r="V698" s="565"/>
      <c r="W698" s="565"/>
      <c r="X698" s="565"/>
      <c r="Y698" t="str">
        <f t="shared" ca="1" si="32"/>
        <v>PAGO</v>
      </c>
      <c r="AA698" t="s">
        <v>410</v>
      </c>
    </row>
    <row r="699" spans="1:27" x14ac:dyDescent="0.3">
      <c r="A699" t="s">
        <v>219</v>
      </c>
      <c r="B699" s="562">
        <v>2026</v>
      </c>
      <c r="C699" t="s">
        <v>249</v>
      </c>
      <c r="D699">
        <v>23773</v>
      </c>
      <c r="E699">
        <v>5398</v>
      </c>
      <c r="F699" s="179">
        <v>46190</v>
      </c>
      <c r="G699" t="s">
        <v>264</v>
      </c>
      <c r="I699" t="s">
        <v>271</v>
      </c>
      <c r="J699" s="583">
        <v>1275</v>
      </c>
      <c r="K699" s="583">
        <v>0</v>
      </c>
      <c r="L699" s="565">
        <f t="shared" si="30"/>
        <v>1275</v>
      </c>
      <c r="M699" s="179">
        <v>46218</v>
      </c>
      <c r="N699" s="179">
        <v>46218</v>
      </c>
      <c r="O699" s="565">
        <v>1275</v>
      </c>
      <c r="P699" s="565">
        <f t="shared" si="31"/>
        <v>0</v>
      </c>
      <c r="Q699" s="565"/>
      <c r="R699" s="565"/>
      <c r="S699" s="565"/>
      <c r="T699" s="565"/>
      <c r="U699" s="565"/>
      <c r="V699" s="565"/>
      <c r="W699" s="565"/>
      <c r="X699" s="565"/>
      <c r="Y699" t="str">
        <f t="shared" ca="1" si="32"/>
        <v>PAGO</v>
      </c>
      <c r="AA699" t="s">
        <v>410</v>
      </c>
    </row>
    <row r="700" spans="1:27" x14ac:dyDescent="0.3">
      <c r="A700" t="s">
        <v>219</v>
      </c>
      <c r="B700" s="562">
        <v>2026</v>
      </c>
      <c r="C700" t="s">
        <v>248</v>
      </c>
      <c r="D700">
        <v>23809</v>
      </c>
      <c r="E700">
        <v>5278</v>
      </c>
      <c r="F700" s="179">
        <v>46191</v>
      </c>
      <c r="G700" t="s">
        <v>236</v>
      </c>
      <c r="I700" t="s">
        <v>270</v>
      </c>
      <c r="J700" s="583">
        <v>0</v>
      </c>
      <c r="K700" s="583">
        <v>1236.24</v>
      </c>
      <c r="L700" s="565">
        <f t="shared" si="30"/>
        <v>1236.24</v>
      </c>
      <c r="M700" s="179">
        <v>46219</v>
      </c>
      <c r="N700" s="179">
        <v>46205</v>
      </c>
      <c r="O700" s="565">
        <v>1236.26</v>
      </c>
      <c r="P700" s="565">
        <f t="shared" si="31"/>
        <v>-1.999999999998181E-2</v>
      </c>
      <c r="Q700" s="565"/>
      <c r="R700" s="565"/>
      <c r="S700" s="565"/>
      <c r="T700" s="565"/>
      <c r="U700" s="565"/>
      <c r="V700" s="565"/>
      <c r="W700" s="565"/>
      <c r="X700" s="565"/>
      <c r="Y700" t="str">
        <f t="shared" ca="1" si="32"/>
        <v>PAGO</v>
      </c>
      <c r="AA700" t="s">
        <v>410</v>
      </c>
    </row>
    <row r="701" spans="1:27" x14ac:dyDescent="0.3">
      <c r="A701" t="s">
        <v>219</v>
      </c>
      <c r="B701" s="562">
        <v>2026</v>
      </c>
      <c r="C701" t="s">
        <v>248</v>
      </c>
      <c r="D701">
        <v>23809</v>
      </c>
      <c r="E701">
        <v>5278</v>
      </c>
      <c r="F701" s="179">
        <v>46191</v>
      </c>
      <c r="G701" t="s">
        <v>236</v>
      </c>
      <c r="I701" t="s">
        <v>270</v>
      </c>
      <c r="J701" s="583">
        <v>0</v>
      </c>
      <c r="K701" s="583">
        <v>1236.24</v>
      </c>
      <c r="L701" s="565">
        <f t="shared" si="30"/>
        <v>1236.24</v>
      </c>
      <c r="M701" s="179">
        <v>46226</v>
      </c>
      <c r="N701" s="179">
        <v>46205</v>
      </c>
      <c r="O701" s="565">
        <v>1236.26</v>
      </c>
      <c r="P701" s="565">
        <f t="shared" si="31"/>
        <v>-1.999999999998181E-2</v>
      </c>
      <c r="Q701" s="565"/>
      <c r="R701" s="565"/>
      <c r="S701" s="565"/>
      <c r="T701" s="565"/>
      <c r="U701" s="565"/>
      <c r="V701" s="565"/>
      <c r="W701" s="565"/>
      <c r="X701" s="565"/>
      <c r="Y701" t="str">
        <f t="shared" ca="1" si="32"/>
        <v>PAGO</v>
      </c>
      <c r="AA701" t="s">
        <v>410</v>
      </c>
    </row>
    <row r="702" spans="1:27" x14ac:dyDescent="0.3">
      <c r="A702" t="s">
        <v>219</v>
      </c>
      <c r="B702" s="562">
        <v>2026</v>
      </c>
      <c r="C702" t="s">
        <v>248</v>
      </c>
      <c r="D702">
        <v>23809</v>
      </c>
      <c r="E702">
        <v>5278</v>
      </c>
      <c r="F702" s="179">
        <v>46191</v>
      </c>
      <c r="G702" t="s">
        <v>236</v>
      </c>
      <c r="I702" t="s">
        <v>270</v>
      </c>
      <c r="J702" s="583">
        <v>0</v>
      </c>
      <c r="K702" s="583">
        <v>1236.25</v>
      </c>
      <c r="L702" s="565">
        <f t="shared" si="30"/>
        <v>1236.25</v>
      </c>
      <c r="M702" s="179">
        <v>46233</v>
      </c>
      <c r="N702" s="179">
        <v>46230</v>
      </c>
      <c r="O702" s="565">
        <v>1236.25</v>
      </c>
      <c r="P702" s="565">
        <f t="shared" si="31"/>
        <v>0</v>
      </c>
      <c r="Q702" s="565"/>
      <c r="R702" s="565"/>
      <c r="S702" s="565"/>
      <c r="T702" s="565"/>
      <c r="U702" s="565"/>
      <c r="V702" s="565"/>
      <c r="W702" s="565"/>
      <c r="X702" s="565"/>
      <c r="Y702" t="str">
        <f t="shared" ca="1" si="32"/>
        <v>PAGO</v>
      </c>
      <c r="AA702" t="s">
        <v>410</v>
      </c>
    </row>
    <row r="703" spans="1:27" x14ac:dyDescent="0.3">
      <c r="A703" t="s">
        <v>219</v>
      </c>
      <c r="B703" s="562">
        <v>2026</v>
      </c>
      <c r="C703" t="s">
        <v>249</v>
      </c>
      <c r="D703">
        <v>23838</v>
      </c>
      <c r="E703">
        <v>5383</v>
      </c>
      <c r="F703" s="179">
        <v>46192</v>
      </c>
      <c r="G703" t="s">
        <v>264</v>
      </c>
      <c r="I703" t="s">
        <v>271</v>
      </c>
      <c r="J703" s="583">
        <v>2610</v>
      </c>
      <c r="K703" s="583">
        <v>0</v>
      </c>
      <c r="L703" s="565">
        <f t="shared" si="30"/>
        <v>2610</v>
      </c>
      <c r="M703" s="179">
        <v>46237</v>
      </c>
      <c r="O703" s="565"/>
      <c r="P703" s="565">
        <f t="shared" si="31"/>
        <v>2610</v>
      </c>
      <c r="Q703" s="565"/>
      <c r="R703" s="565"/>
      <c r="S703" s="565"/>
      <c r="T703" s="565"/>
      <c r="U703" s="565"/>
      <c r="V703" s="565"/>
      <c r="W703" s="565"/>
      <c r="X703" s="565"/>
      <c r="Y703" t="str">
        <f t="shared" ca="1" si="32"/>
        <v>VENCIDO</v>
      </c>
      <c r="AA703" t="s">
        <v>410</v>
      </c>
    </row>
    <row r="704" spans="1:27" ht="14.55" x14ac:dyDescent="0.3">
      <c r="A704" t="s">
        <v>219</v>
      </c>
      <c r="B704" s="562">
        <v>2026</v>
      </c>
      <c r="C704" t="s">
        <v>249</v>
      </c>
      <c r="D704">
        <v>934</v>
      </c>
      <c r="E704">
        <v>908</v>
      </c>
      <c r="F704" s="179">
        <v>46195</v>
      </c>
      <c r="G704" t="s">
        <v>375</v>
      </c>
      <c r="I704" t="s">
        <v>272</v>
      </c>
      <c r="J704" s="583">
        <v>11172</v>
      </c>
      <c r="K704" s="583">
        <v>0</v>
      </c>
      <c r="L704" s="565">
        <f t="shared" si="30"/>
        <v>11172</v>
      </c>
      <c r="M704" s="179">
        <v>46216</v>
      </c>
      <c r="N704" s="179">
        <v>46226</v>
      </c>
      <c r="O704" s="565">
        <v>11172</v>
      </c>
      <c r="P704" s="565">
        <f t="shared" si="31"/>
        <v>0</v>
      </c>
      <c r="Q704" s="565"/>
      <c r="R704" s="565"/>
      <c r="S704" s="565"/>
      <c r="T704" s="565"/>
      <c r="U704" s="565"/>
      <c r="V704" s="565"/>
      <c r="W704" s="565"/>
      <c r="X704" s="565"/>
      <c r="Y704" t="str">
        <f t="shared" ca="1" si="32"/>
        <v>PAGO</v>
      </c>
      <c r="AA704" t="s">
        <v>410</v>
      </c>
    </row>
    <row r="705" spans="1:27" ht="14.55" x14ac:dyDescent="0.3">
      <c r="A705" t="s">
        <v>219</v>
      </c>
      <c r="B705" s="562">
        <v>2026</v>
      </c>
      <c r="C705" t="s">
        <v>249</v>
      </c>
      <c r="D705">
        <v>934</v>
      </c>
      <c r="E705">
        <v>908</v>
      </c>
      <c r="F705" s="179">
        <v>46195</v>
      </c>
      <c r="G705" t="s">
        <v>375</v>
      </c>
      <c r="I705" t="s">
        <v>272</v>
      </c>
      <c r="J705" s="583">
        <v>11172</v>
      </c>
      <c r="K705" s="583">
        <v>0</v>
      </c>
      <c r="L705" s="565">
        <f t="shared" si="30"/>
        <v>11172</v>
      </c>
      <c r="M705" s="179">
        <v>46223</v>
      </c>
      <c r="N705" s="179">
        <v>46238</v>
      </c>
      <c r="O705" s="565">
        <v>11172</v>
      </c>
      <c r="P705" s="565">
        <f t="shared" si="31"/>
        <v>0</v>
      </c>
      <c r="Q705" s="565"/>
      <c r="R705" s="565"/>
      <c r="S705" s="565"/>
      <c r="T705" s="565"/>
      <c r="U705" s="565"/>
      <c r="V705" s="565"/>
      <c r="W705" s="565"/>
      <c r="X705" s="565"/>
      <c r="Y705" t="str">
        <f t="shared" ca="1" si="32"/>
        <v>PAGO</v>
      </c>
      <c r="AA705" t="s">
        <v>410</v>
      </c>
    </row>
    <row r="706" spans="1:27" ht="14.55" x14ac:dyDescent="0.3">
      <c r="A706" t="s">
        <v>219</v>
      </c>
      <c r="B706" s="562">
        <v>2026</v>
      </c>
      <c r="C706" t="s">
        <v>249</v>
      </c>
      <c r="D706">
        <v>934</v>
      </c>
      <c r="E706">
        <v>908</v>
      </c>
      <c r="F706" s="179">
        <v>46195</v>
      </c>
      <c r="G706" t="s">
        <v>375</v>
      </c>
      <c r="I706" t="s">
        <v>272</v>
      </c>
      <c r="J706" s="583">
        <v>11172</v>
      </c>
      <c r="K706" s="583">
        <v>0</v>
      </c>
      <c r="L706" s="565">
        <f t="shared" si="30"/>
        <v>11172</v>
      </c>
      <c r="M706" s="179">
        <v>46230</v>
      </c>
      <c r="N706" s="179">
        <v>46255</v>
      </c>
      <c r="O706" s="565">
        <v>11172</v>
      </c>
      <c r="P706" s="565">
        <f t="shared" si="31"/>
        <v>0</v>
      </c>
      <c r="Q706" s="565"/>
      <c r="R706" s="565"/>
      <c r="S706" s="565"/>
      <c r="T706" s="565"/>
      <c r="U706" s="565"/>
      <c r="V706" s="565"/>
      <c r="W706" s="565"/>
      <c r="X706" s="565"/>
      <c r="Y706" t="str">
        <f t="shared" ca="1" si="32"/>
        <v>PAGO</v>
      </c>
      <c r="AA706" t="s">
        <v>410</v>
      </c>
    </row>
    <row r="707" spans="1:27" ht="14.55" x14ac:dyDescent="0.3">
      <c r="A707" t="s">
        <v>219</v>
      </c>
      <c r="B707" s="562">
        <v>2026</v>
      </c>
      <c r="C707" t="s">
        <v>249</v>
      </c>
      <c r="D707">
        <v>934</v>
      </c>
      <c r="E707">
        <v>908</v>
      </c>
      <c r="F707" s="179">
        <v>46195</v>
      </c>
      <c r="G707" t="s">
        <v>375</v>
      </c>
      <c r="I707" t="s">
        <v>272</v>
      </c>
      <c r="J707" s="583">
        <v>11172</v>
      </c>
      <c r="K707" s="583">
        <v>0</v>
      </c>
      <c r="L707" s="565">
        <f t="shared" ref="L707:L773" si="33">J707+K707</f>
        <v>11172</v>
      </c>
      <c r="M707" s="179">
        <v>46237</v>
      </c>
      <c r="N707" s="179">
        <v>46273</v>
      </c>
      <c r="O707" s="565">
        <v>11172</v>
      </c>
      <c r="P707" s="565">
        <f t="shared" ref="P707:P773" si="34">L707-O707</f>
        <v>0</v>
      </c>
      <c r="Q707" s="565"/>
      <c r="R707" s="565"/>
      <c r="S707" s="565"/>
      <c r="T707" s="565"/>
      <c r="U707" s="565"/>
      <c r="V707" s="565"/>
      <c r="W707" s="565"/>
      <c r="X707" s="565"/>
      <c r="Y707" t="str">
        <f t="shared" ref="Y707:Y773" ca="1" si="35">IF(L707=0,"SEM VALOR",IF(P707&lt;=0.01,"PAGO",IF(M707="","SEM VENCIMENTO",IF(M707&lt;TODAY(),"VENCIDO","A VENCER"))))</f>
        <v>PAGO</v>
      </c>
      <c r="AA707" t="s">
        <v>410</v>
      </c>
    </row>
    <row r="708" spans="1:27" ht="14.55" x14ac:dyDescent="0.3">
      <c r="A708" t="s">
        <v>219</v>
      </c>
      <c r="B708" s="562">
        <v>2026</v>
      </c>
      <c r="C708" t="s">
        <v>249</v>
      </c>
      <c r="D708">
        <v>934</v>
      </c>
      <c r="E708">
        <v>908</v>
      </c>
      <c r="F708" s="179">
        <v>46195</v>
      </c>
      <c r="G708" t="s">
        <v>375</v>
      </c>
      <c r="I708" t="s">
        <v>272</v>
      </c>
      <c r="J708" s="583">
        <v>11172</v>
      </c>
      <c r="K708" s="583">
        <v>0</v>
      </c>
      <c r="L708" s="565">
        <f t="shared" si="33"/>
        <v>11172</v>
      </c>
      <c r="M708" s="179">
        <v>46244</v>
      </c>
      <c r="N708" s="179">
        <v>46273</v>
      </c>
      <c r="O708" s="565">
        <v>11172</v>
      </c>
      <c r="P708" s="565">
        <f t="shared" si="34"/>
        <v>0</v>
      </c>
      <c r="Q708" s="565"/>
      <c r="R708" s="565"/>
      <c r="S708" s="565"/>
      <c r="T708" s="565"/>
      <c r="U708" s="565"/>
      <c r="V708" s="565"/>
      <c r="W708" s="565"/>
      <c r="X708" s="565"/>
      <c r="Y708" t="str">
        <f t="shared" ca="1" si="35"/>
        <v>PAGO</v>
      </c>
      <c r="AA708" t="s">
        <v>410</v>
      </c>
    </row>
    <row r="709" spans="1:27" ht="14.55" x14ac:dyDescent="0.3">
      <c r="A709" t="s">
        <v>219</v>
      </c>
      <c r="B709" s="562">
        <v>2026</v>
      </c>
      <c r="C709" t="s">
        <v>249</v>
      </c>
      <c r="D709">
        <v>934</v>
      </c>
      <c r="E709">
        <v>908</v>
      </c>
      <c r="F709" s="179">
        <v>46195</v>
      </c>
      <c r="G709" t="s">
        <v>375</v>
      </c>
      <c r="I709" t="s">
        <v>272</v>
      </c>
      <c r="J709" s="583">
        <v>11172</v>
      </c>
      <c r="K709" s="583">
        <v>0</v>
      </c>
      <c r="L709" s="565">
        <f t="shared" si="33"/>
        <v>11172</v>
      </c>
      <c r="M709" s="179">
        <v>46251</v>
      </c>
      <c r="N709" s="179">
        <v>46290</v>
      </c>
      <c r="O709" s="565">
        <v>11172</v>
      </c>
      <c r="P709" s="565">
        <f t="shared" si="34"/>
        <v>0</v>
      </c>
      <c r="Q709" s="565"/>
      <c r="R709" s="565"/>
      <c r="S709" s="565"/>
      <c r="T709" s="565"/>
      <c r="U709" s="565"/>
      <c r="V709" s="565"/>
      <c r="W709" s="565"/>
      <c r="X709" s="565"/>
      <c r="Y709" t="str">
        <f t="shared" ca="1" si="35"/>
        <v>PAGO</v>
      </c>
      <c r="AA709" t="s">
        <v>410</v>
      </c>
    </row>
    <row r="710" spans="1:27" x14ac:dyDescent="0.3">
      <c r="A710" t="s">
        <v>219</v>
      </c>
      <c r="B710" s="562">
        <v>2026</v>
      </c>
      <c r="C710" t="s">
        <v>249</v>
      </c>
      <c r="D710">
        <v>935</v>
      </c>
      <c r="E710">
        <v>909</v>
      </c>
      <c r="F710" s="179">
        <v>46195</v>
      </c>
      <c r="G710" t="s">
        <v>376</v>
      </c>
      <c r="I710" t="s">
        <v>272</v>
      </c>
      <c r="J710" s="583">
        <v>9418.4</v>
      </c>
      <c r="K710" s="583">
        <v>0</v>
      </c>
      <c r="L710" s="565">
        <f t="shared" si="33"/>
        <v>9418.4</v>
      </c>
      <c r="M710" s="179">
        <v>46216</v>
      </c>
      <c r="N710" s="179">
        <v>46226</v>
      </c>
      <c r="O710" s="565">
        <v>9418.4</v>
      </c>
      <c r="P710" s="565">
        <f t="shared" si="34"/>
        <v>0</v>
      </c>
      <c r="Q710" s="565"/>
      <c r="R710" s="565"/>
      <c r="S710" s="565"/>
      <c r="T710" s="565"/>
      <c r="U710" s="565"/>
      <c r="V710" s="565"/>
      <c r="W710" s="565"/>
      <c r="X710" s="565"/>
      <c r="Y710" t="str">
        <f t="shared" ca="1" si="35"/>
        <v>PAGO</v>
      </c>
      <c r="AA710" t="s">
        <v>410</v>
      </c>
    </row>
    <row r="711" spans="1:27" x14ac:dyDescent="0.3">
      <c r="A711" t="s">
        <v>219</v>
      </c>
      <c r="B711" s="562">
        <v>2026</v>
      </c>
      <c r="C711" t="s">
        <v>249</v>
      </c>
      <c r="D711">
        <v>935</v>
      </c>
      <c r="E711">
        <v>909</v>
      </c>
      <c r="F711" s="179">
        <v>46195</v>
      </c>
      <c r="G711" t="s">
        <v>376</v>
      </c>
      <c r="I711" t="s">
        <v>272</v>
      </c>
      <c r="J711" s="583">
        <v>9416</v>
      </c>
      <c r="K711" s="583">
        <v>0</v>
      </c>
      <c r="L711" s="565">
        <f t="shared" si="33"/>
        <v>9416</v>
      </c>
      <c r="M711" s="179">
        <v>46223</v>
      </c>
      <c r="N711" s="179">
        <v>46238</v>
      </c>
      <c r="O711" s="565">
        <v>9416</v>
      </c>
      <c r="P711" s="565">
        <f t="shared" si="34"/>
        <v>0</v>
      </c>
      <c r="Q711" s="565"/>
      <c r="R711" s="565"/>
      <c r="S711" s="565"/>
      <c r="T711" s="565"/>
      <c r="U711" s="565"/>
      <c r="V711" s="565"/>
      <c r="W711" s="565"/>
      <c r="X711" s="565"/>
      <c r="Y711" t="str">
        <f t="shared" ca="1" si="35"/>
        <v>PAGO</v>
      </c>
      <c r="AA711" t="s">
        <v>410</v>
      </c>
    </row>
    <row r="712" spans="1:27" x14ac:dyDescent="0.3">
      <c r="A712" t="s">
        <v>219</v>
      </c>
      <c r="B712" s="562">
        <v>2026</v>
      </c>
      <c r="C712" t="s">
        <v>249</v>
      </c>
      <c r="D712">
        <v>935</v>
      </c>
      <c r="E712">
        <v>909</v>
      </c>
      <c r="F712" s="179">
        <v>46195</v>
      </c>
      <c r="G712" t="s">
        <v>376</v>
      </c>
      <c r="I712" t="s">
        <v>272</v>
      </c>
      <c r="J712" s="583">
        <v>9416</v>
      </c>
      <c r="K712" s="583">
        <v>0</v>
      </c>
      <c r="L712" s="565">
        <f t="shared" si="33"/>
        <v>9416</v>
      </c>
      <c r="M712" s="179">
        <v>46230</v>
      </c>
      <c r="N712" s="179">
        <v>46255</v>
      </c>
      <c r="O712" s="565">
        <v>9416</v>
      </c>
      <c r="P712" s="565">
        <f t="shared" si="34"/>
        <v>0</v>
      </c>
      <c r="Q712" s="565"/>
      <c r="R712" s="565"/>
      <c r="S712" s="565"/>
      <c r="T712" s="565"/>
      <c r="U712" s="565"/>
      <c r="V712" s="565"/>
      <c r="W712" s="565"/>
      <c r="X712" s="565"/>
      <c r="Y712" t="str">
        <f t="shared" ca="1" si="35"/>
        <v>PAGO</v>
      </c>
      <c r="AA712" t="s">
        <v>410</v>
      </c>
    </row>
    <row r="713" spans="1:27" x14ac:dyDescent="0.3">
      <c r="A713" t="s">
        <v>219</v>
      </c>
      <c r="B713" s="562">
        <v>2026</v>
      </c>
      <c r="C713" t="s">
        <v>249</v>
      </c>
      <c r="D713">
        <v>935</v>
      </c>
      <c r="E713">
        <v>909</v>
      </c>
      <c r="F713" s="179">
        <v>46195</v>
      </c>
      <c r="G713" t="s">
        <v>376</v>
      </c>
      <c r="I713" t="s">
        <v>272</v>
      </c>
      <c r="J713" s="583">
        <v>9416</v>
      </c>
      <c r="K713" s="583">
        <v>0</v>
      </c>
      <c r="L713" s="565">
        <f t="shared" si="33"/>
        <v>9416</v>
      </c>
      <c r="M713" s="179">
        <v>46237</v>
      </c>
      <c r="N713" s="179">
        <v>46273</v>
      </c>
      <c r="O713" s="565">
        <v>9416</v>
      </c>
      <c r="P713" s="565">
        <f t="shared" si="34"/>
        <v>0</v>
      </c>
      <c r="Q713" s="565"/>
      <c r="R713" s="565"/>
      <c r="S713" s="565"/>
      <c r="T713" s="565"/>
      <c r="U713" s="565"/>
      <c r="V713" s="565"/>
      <c r="W713" s="565"/>
      <c r="X713" s="565"/>
      <c r="Y713" t="str">
        <f t="shared" ca="1" si="35"/>
        <v>PAGO</v>
      </c>
      <c r="AA713" t="s">
        <v>410</v>
      </c>
    </row>
    <row r="714" spans="1:27" x14ac:dyDescent="0.3">
      <c r="A714" t="s">
        <v>219</v>
      </c>
      <c r="B714" s="562">
        <v>2026</v>
      </c>
      <c r="C714" t="s">
        <v>249</v>
      </c>
      <c r="D714">
        <v>935</v>
      </c>
      <c r="E714">
        <v>909</v>
      </c>
      <c r="F714" s="179">
        <v>46195</v>
      </c>
      <c r="G714" t="s">
        <v>376</v>
      </c>
      <c r="I714" t="s">
        <v>272</v>
      </c>
      <c r="J714" s="583">
        <v>9416</v>
      </c>
      <c r="K714" s="583">
        <v>0</v>
      </c>
      <c r="L714" s="565">
        <f t="shared" si="33"/>
        <v>9416</v>
      </c>
      <c r="M714" s="179">
        <v>46244</v>
      </c>
      <c r="N714" s="179">
        <v>46273</v>
      </c>
      <c r="O714" s="565">
        <v>9416</v>
      </c>
      <c r="P714" s="565">
        <f t="shared" si="34"/>
        <v>0</v>
      </c>
      <c r="Q714" s="565"/>
      <c r="R714" s="565"/>
      <c r="S714" s="565"/>
      <c r="T714" s="565"/>
      <c r="U714" s="565"/>
      <c r="V714" s="565"/>
      <c r="W714" s="565"/>
      <c r="X714" s="565"/>
      <c r="Y714" t="str">
        <f t="shared" ca="1" si="35"/>
        <v>PAGO</v>
      </c>
      <c r="AA714" t="s">
        <v>410</v>
      </c>
    </row>
    <row r="715" spans="1:27" x14ac:dyDescent="0.3">
      <c r="A715" t="s">
        <v>219</v>
      </c>
      <c r="B715" s="562">
        <v>2026</v>
      </c>
      <c r="C715" t="s">
        <v>249</v>
      </c>
      <c r="D715">
        <v>935</v>
      </c>
      <c r="E715">
        <v>909</v>
      </c>
      <c r="F715" s="179">
        <v>46195</v>
      </c>
      <c r="G715" t="s">
        <v>376</v>
      </c>
      <c r="I715" t="s">
        <v>272</v>
      </c>
      <c r="J715" s="583">
        <v>9416</v>
      </c>
      <c r="K715" s="583">
        <v>0</v>
      </c>
      <c r="L715" s="565">
        <f t="shared" si="33"/>
        <v>9416</v>
      </c>
      <c r="M715" s="179">
        <v>46251</v>
      </c>
      <c r="N715" s="179">
        <v>46290</v>
      </c>
      <c r="O715" s="565">
        <v>9416</v>
      </c>
      <c r="P715" s="565">
        <f t="shared" si="34"/>
        <v>0</v>
      </c>
      <c r="Q715" s="565"/>
      <c r="R715" s="565"/>
      <c r="S715" s="565"/>
      <c r="T715" s="565"/>
      <c r="U715" s="565"/>
      <c r="V715" s="565"/>
      <c r="W715" s="565"/>
      <c r="X715" s="565"/>
      <c r="Y715" t="str">
        <f t="shared" ca="1" si="35"/>
        <v>PAGO</v>
      </c>
      <c r="AA715" t="s">
        <v>410</v>
      </c>
    </row>
    <row r="716" spans="1:27" x14ac:dyDescent="0.3">
      <c r="A716" t="s">
        <v>219</v>
      </c>
      <c r="B716" s="562">
        <v>2026</v>
      </c>
      <c r="C716" t="s">
        <v>249</v>
      </c>
      <c r="D716">
        <v>936</v>
      </c>
      <c r="E716">
        <v>910</v>
      </c>
      <c r="F716" s="179">
        <v>46195</v>
      </c>
      <c r="G716" t="s">
        <v>377</v>
      </c>
      <c r="I716" t="s">
        <v>272</v>
      </c>
      <c r="J716" s="583">
        <v>11691.22</v>
      </c>
      <c r="K716" s="583">
        <v>0</v>
      </c>
      <c r="L716" s="565">
        <f t="shared" si="33"/>
        <v>11691.22</v>
      </c>
      <c r="M716" s="179">
        <v>46216</v>
      </c>
      <c r="N716" s="179">
        <v>46226</v>
      </c>
      <c r="O716" s="565">
        <v>11691.22</v>
      </c>
      <c r="P716" s="565">
        <f t="shared" si="34"/>
        <v>0</v>
      </c>
      <c r="Q716" s="565"/>
      <c r="R716" s="565"/>
      <c r="S716" s="565"/>
      <c r="T716" s="565"/>
      <c r="U716" s="565"/>
      <c r="V716" s="565"/>
      <c r="W716" s="565"/>
      <c r="X716" s="565"/>
      <c r="Y716" t="str">
        <f t="shared" ca="1" si="35"/>
        <v>PAGO</v>
      </c>
      <c r="AA716" t="s">
        <v>410</v>
      </c>
    </row>
    <row r="717" spans="1:27" x14ac:dyDescent="0.3">
      <c r="A717" t="s">
        <v>219</v>
      </c>
      <c r="B717" s="562">
        <v>2026</v>
      </c>
      <c r="C717" t="s">
        <v>249</v>
      </c>
      <c r="D717">
        <v>936</v>
      </c>
      <c r="E717">
        <v>910</v>
      </c>
      <c r="F717" s="179">
        <v>46195</v>
      </c>
      <c r="G717" t="s">
        <v>377</v>
      </c>
      <c r="I717" t="s">
        <v>272</v>
      </c>
      <c r="J717" s="583">
        <v>11689</v>
      </c>
      <c r="K717" s="583">
        <v>0</v>
      </c>
      <c r="L717" s="565">
        <f t="shared" si="33"/>
        <v>11689</v>
      </c>
      <c r="M717" s="179">
        <v>46223</v>
      </c>
      <c r="N717" s="179">
        <v>46238</v>
      </c>
      <c r="O717" s="565">
        <v>11689</v>
      </c>
      <c r="P717" s="565">
        <f t="shared" si="34"/>
        <v>0</v>
      </c>
      <c r="Q717" s="565"/>
      <c r="R717" s="565"/>
      <c r="S717" s="565"/>
      <c r="T717" s="565"/>
      <c r="U717" s="565"/>
      <c r="V717" s="565"/>
      <c r="W717" s="565"/>
      <c r="X717" s="565"/>
      <c r="Y717" t="str">
        <f t="shared" ca="1" si="35"/>
        <v>PAGO</v>
      </c>
      <c r="AA717" t="s">
        <v>410</v>
      </c>
    </row>
    <row r="718" spans="1:27" x14ac:dyDescent="0.3">
      <c r="A718" t="s">
        <v>219</v>
      </c>
      <c r="B718" s="562">
        <v>2026</v>
      </c>
      <c r="C718" t="s">
        <v>249</v>
      </c>
      <c r="D718">
        <v>936</v>
      </c>
      <c r="E718">
        <v>910</v>
      </c>
      <c r="F718" s="179">
        <v>46195</v>
      </c>
      <c r="G718" t="s">
        <v>377</v>
      </c>
      <c r="I718" t="s">
        <v>272</v>
      </c>
      <c r="J718" s="583">
        <v>11689</v>
      </c>
      <c r="K718" s="583">
        <v>0</v>
      </c>
      <c r="L718" s="565">
        <f t="shared" si="33"/>
        <v>11689</v>
      </c>
      <c r="M718" s="179">
        <v>46230</v>
      </c>
      <c r="N718" s="179">
        <v>46247</v>
      </c>
      <c r="O718" s="565">
        <v>11689</v>
      </c>
      <c r="P718" s="565">
        <f t="shared" si="34"/>
        <v>0</v>
      </c>
      <c r="Q718" s="565"/>
      <c r="R718" s="565"/>
      <c r="S718" s="565"/>
      <c r="T718" s="565"/>
      <c r="U718" s="565"/>
      <c r="V718" s="565"/>
      <c r="W718" s="565"/>
      <c r="X718" s="565"/>
      <c r="Y718" t="str">
        <f t="shared" ca="1" si="35"/>
        <v>PAGO</v>
      </c>
      <c r="AA718" t="s">
        <v>410</v>
      </c>
    </row>
    <row r="719" spans="1:27" x14ac:dyDescent="0.3">
      <c r="A719" t="s">
        <v>219</v>
      </c>
      <c r="B719" s="562">
        <v>2026</v>
      </c>
      <c r="C719" t="s">
        <v>249</v>
      </c>
      <c r="D719">
        <v>936</v>
      </c>
      <c r="E719">
        <v>910</v>
      </c>
      <c r="F719" s="179">
        <v>46195</v>
      </c>
      <c r="G719" t="s">
        <v>377</v>
      </c>
      <c r="I719" t="s">
        <v>272</v>
      </c>
      <c r="J719" s="583">
        <v>11689</v>
      </c>
      <c r="K719" s="583">
        <v>0</v>
      </c>
      <c r="L719" s="565">
        <f t="shared" si="33"/>
        <v>11689</v>
      </c>
      <c r="M719" s="179">
        <v>46237</v>
      </c>
      <c r="N719" s="179">
        <v>46273</v>
      </c>
      <c r="O719" s="565">
        <v>11689</v>
      </c>
      <c r="P719" s="565">
        <f t="shared" si="34"/>
        <v>0</v>
      </c>
      <c r="Q719" s="565"/>
      <c r="R719" s="565"/>
      <c r="S719" s="565"/>
      <c r="T719" s="565"/>
      <c r="U719" s="565"/>
      <c r="V719" s="565"/>
      <c r="W719" s="565"/>
      <c r="X719" s="565"/>
      <c r="Y719" t="str">
        <f t="shared" ca="1" si="35"/>
        <v>PAGO</v>
      </c>
      <c r="AA719" t="s">
        <v>410</v>
      </c>
    </row>
    <row r="720" spans="1:27" x14ac:dyDescent="0.3">
      <c r="A720" t="s">
        <v>219</v>
      </c>
      <c r="B720" s="562">
        <v>2026</v>
      </c>
      <c r="C720" t="s">
        <v>249</v>
      </c>
      <c r="D720">
        <v>936</v>
      </c>
      <c r="E720">
        <v>910</v>
      </c>
      <c r="F720" s="179">
        <v>46195</v>
      </c>
      <c r="G720" t="s">
        <v>377</v>
      </c>
      <c r="I720" t="s">
        <v>272</v>
      </c>
      <c r="J720" s="583">
        <v>11689</v>
      </c>
      <c r="K720" s="583">
        <v>0</v>
      </c>
      <c r="L720" s="565">
        <f t="shared" si="33"/>
        <v>11689</v>
      </c>
      <c r="M720" s="179">
        <v>46244</v>
      </c>
      <c r="N720" s="179">
        <v>46273</v>
      </c>
      <c r="O720" s="565">
        <v>11689</v>
      </c>
      <c r="P720" s="565">
        <f t="shared" si="34"/>
        <v>0</v>
      </c>
      <c r="Q720" s="565"/>
      <c r="R720" s="565"/>
      <c r="S720" s="565"/>
      <c r="T720" s="565"/>
      <c r="U720" s="565"/>
      <c r="V720" s="565"/>
      <c r="W720" s="565"/>
      <c r="X720" s="565"/>
      <c r="Y720" t="str">
        <f t="shared" ca="1" si="35"/>
        <v>PAGO</v>
      </c>
      <c r="AA720" t="s">
        <v>410</v>
      </c>
    </row>
    <row r="721" spans="1:27" x14ac:dyDescent="0.3">
      <c r="A721" t="s">
        <v>219</v>
      </c>
      <c r="B721" s="562">
        <v>2026</v>
      </c>
      <c r="C721" t="s">
        <v>249</v>
      </c>
      <c r="D721">
        <v>936</v>
      </c>
      <c r="E721">
        <v>910</v>
      </c>
      <c r="F721" s="179">
        <v>46195</v>
      </c>
      <c r="G721" t="s">
        <v>377</v>
      </c>
      <c r="I721" t="s">
        <v>272</v>
      </c>
      <c r="J721" s="583">
        <v>11689</v>
      </c>
      <c r="K721" s="583">
        <v>0</v>
      </c>
      <c r="L721" s="565">
        <f t="shared" si="33"/>
        <v>11689</v>
      </c>
      <c r="M721" s="179">
        <v>46251</v>
      </c>
      <c r="N721" s="179">
        <v>46273</v>
      </c>
      <c r="O721" s="565">
        <v>11689</v>
      </c>
      <c r="P721" s="565">
        <f t="shared" si="34"/>
        <v>0</v>
      </c>
      <c r="Q721" s="565"/>
      <c r="R721" s="565"/>
      <c r="S721" s="565"/>
      <c r="T721" s="565"/>
      <c r="U721" s="565"/>
      <c r="V721" s="565"/>
      <c r="W721" s="565"/>
      <c r="X721" s="565"/>
      <c r="Y721" t="str">
        <f t="shared" ca="1" si="35"/>
        <v>PAGO</v>
      </c>
      <c r="AA721" t="s">
        <v>410</v>
      </c>
    </row>
    <row r="722" spans="1:27" x14ac:dyDescent="0.3">
      <c r="A722" t="s">
        <v>219</v>
      </c>
      <c r="B722" s="562">
        <v>2026</v>
      </c>
      <c r="C722" t="s">
        <v>248</v>
      </c>
      <c r="D722">
        <v>23872</v>
      </c>
      <c r="E722">
        <v>5336</v>
      </c>
      <c r="F722" s="179">
        <v>46195</v>
      </c>
      <c r="G722" t="s">
        <v>236</v>
      </c>
      <c r="I722" t="s">
        <v>270</v>
      </c>
      <c r="J722" s="583">
        <v>0</v>
      </c>
      <c r="K722" s="583">
        <v>573.07000000000005</v>
      </c>
      <c r="L722" s="565">
        <f t="shared" si="33"/>
        <v>573.07000000000005</v>
      </c>
      <c r="M722" s="179">
        <v>46223</v>
      </c>
      <c r="N722" s="179">
        <v>46205</v>
      </c>
      <c r="O722" s="565">
        <v>573.07000000000005</v>
      </c>
      <c r="P722" s="565">
        <f t="shared" si="34"/>
        <v>0</v>
      </c>
      <c r="Q722" s="565"/>
      <c r="R722" s="565"/>
      <c r="S722" s="565"/>
      <c r="T722" s="565"/>
      <c r="U722" s="565"/>
      <c r="V722" s="565"/>
      <c r="W722" s="565"/>
      <c r="X722" s="565"/>
      <c r="Y722" t="str">
        <f t="shared" ca="1" si="35"/>
        <v>PAGO</v>
      </c>
      <c r="AA722" t="s">
        <v>410</v>
      </c>
    </row>
    <row r="723" spans="1:27" x14ac:dyDescent="0.3">
      <c r="A723" t="s">
        <v>219</v>
      </c>
      <c r="B723" s="562">
        <v>2026</v>
      </c>
      <c r="C723" t="s">
        <v>248</v>
      </c>
      <c r="D723">
        <v>23872</v>
      </c>
      <c r="E723">
        <v>5336</v>
      </c>
      <c r="F723" s="179">
        <v>46195</v>
      </c>
      <c r="G723" t="s">
        <v>236</v>
      </c>
      <c r="I723" t="s">
        <v>270</v>
      </c>
      <c r="J723" s="583">
        <v>0</v>
      </c>
      <c r="K723" s="583">
        <v>573.07000000000005</v>
      </c>
      <c r="L723" s="565">
        <f t="shared" si="33"/>
        <v>573.07000000000005</v>
      </c>
      <c r="M723" s="179">
        <v>46230</v>
      </c>
      <c r="N723" s="179">
        <v>46230</v>
      </c>
      <c r="O723" s="565">
        <v>573.07000000000005</v>
      </c>
      <c r="P723" s="565">
        <f t="shared" si="34"/>
        <v>0</v>
      </c>
      <c r="Q723" s="565"/>
      <c r="R723" s="565"/>
      <c r="S723" s="565"/>
      <c r="T723" s="565"/>
      <c r="U723" s="565"/>
      <c r="V723" s="565"/>
      <c r="W723" s="565"/>
      <c r="X723" s="565"/>
      <c r="Y723" t="str">
        <f t="shared" ca="1" si="35"/>
        <v>PAGO</v>
      </c>
      <c r="AA723" t="s">
        <v>410</v>
      </c>
    </row>
    <row r="724" spans="1:27" x14ac:dyDescent="0.3">
      <c r="A724" t="s">
        <v>219</v>
      </c>
      <c r="B724" s="562">
        <v>2026</v>
      </c>
      <c r="C724" t="s">
        <v>248</v>
      </c>
      <c r="D724">
        <v>23872</v>
      </c>
      <c r="E724">
        <v>5336</v>
      </c>
      <c r="F724" s="179">
        <v>46195</v>
      </c>
      <c r="G724" t="s">
        <v>236</v>
      </c>
      <c r="I724" t="s">
        <v>270</v>
      </c>
      <c r="J724" s="583">
        <v>0</v>
      </c>
      <c r="K724" s="583">
        <v>573.05999999999995</v>
      </c>
      <c r="L724" s="565">
        <f t="shared" si="33"/>
        <v>573.05999999999995</v>
      </c>
      <c r="M724" s="179">
        <v>46237</v>
      </c>
      <c r="N724" s="179">
        <v>46230</v>
      </c>
      <c r="O724" s="565">
        <v>573.05999999999995</v>
      </c>
      <c r="P724" s="565">
        <f t="shared" si="34"/>
        <v>0</v>
      </c>
      <c r="Q724" s="565"/>
      <c r="R724" s="565"/>
      <c r="S724" s="565"/>
      <c r="T724" s="565"/>
      <c r="U724" s="565"/>
      <c r="V724" s="565"/>
      <c r="W724" s="565"/>
      <c r="X724" s="565"/>
      <c r="Y724" t="str">
        <f t="shared" ca="1" si="35"/>
        <v>PAGO</v>
      </c>
      <c r="AA724" t="s">
        <v>410</v>
      </c>
    </row>
    <row r="725" spans="1:27" x14ac:dyDescent="0.3">
      <c r="A725" t="s">
        <v>219</v>
      </c>
      <c r="B725" s="562">
        <v>2026</v>
      </c>
      <c r="C725" t="s">
        <v>249</v>
      </c>
      <c r="D725">
        <v>939</v>
      </c>
      <c r="E725">
        <v>917</v>
      </c>
      <c r="F725" s="179">
        <v>46196</v>
      </c>
      <c r="G725" t="s">
        <v>377</v>
      </c>
      <c r="I725" t="s">
        <v>272</v>
      </c>
      <c r="J725" s="583">
        <v>8144.5</v>
      </c>
      <c r="K725" s="583">
        <v>0</v>
      </c>
      <c r="L725" s="565">
        <f t="shared" si="33"/>
        <v>8144.5</v>
      </c>
      <c r="M725" s="179">
        <v>46220</v>
      </c>
      <c r="N725" s="179">
        <v>46226</v>
      </c>
      <c r="O725" s="565">
        <v>8144.5</v>
      </c>
      <c r="P725" s="565">
        <f t="shared" si="34"/>
        <v>0</v>
      </c>
      <c r="Q725" s="565"/>
      <c r="R725" s="565"/>
      <c r="S725" s="565"/>
      <c r="T725" s="565"/>
      <c r="U725" s="565"/>
      <c r="V725" s="565"/>
      <c r="W725" s="565"/>
      <c r="X725" s="565"/>
      <c r="Y725" t="str">
        <f t="shared" ca="1" si="35"/>
        <v>PAGO</v>
      </c>
      <c r="AA725" t="s">
        <v>410</v>
      </c>
    </row>
    <row r="726" spans="1:27" x14ac:dyDescent="0.3">
      <c r="A726" t="s">
        <v>219</v>
      </c>
      <c r="B726" s="562">
        <v>2026</v>
      </c>
      <c r="C726" t="s">
        <v>249</v>
      </c>
      <c r="D726">
        <v>939</v>
      </c>
      <c r="E726">
        <v>917</v>
      </c>
      <c r="F726" s="179">
        <v>46196</v>
      </c>
      <c r="G726" t="s">
        <v>377</v>
      </c>
      <c r="I726" t="s">
        <v>272</v>
      </c>
      <c r="J726" s="583">
        <v>8143</v>
      </c>
      <c r="K726" s="583">
        <v>0</v>
      </c>
      <c r="L726" s="565">
        <f t="shared" si="33"/>
        <v>8143</v>
      </c>
      <c r="M726" s="179">
        <v>46224</v>
      </c>
      <c r="N726" s="179">
        <v>46238</v>
      </c>
      <c r="O726" s="565">
        <v>8143</v>
      </c>
      <c r="P726" s="565">
        <f t="shared" si="34"/>
        <v>0</v>
      </c>
      <c r="Q726" s="565"/>
      <c r="R726" s="565"/>
      <c r="S726" s="565"/>
      <c r="T726" s="565"/>
      <c r="U726" s="565"/>
      <c r="V726" s="565"/>
      <c r="W726" s="565"/>
      <c r="X726" s="565"/>
      <c r="Y726" t="str">
        <f t="shared" ca="1" si="35"/>
        <v>PAGO</v>
      </c>
      <c r="AA726" t="s">
        <v>410</v>
      </c>
    </row>
    <row r="727" spans="1:27" x14ac:dyDescent="0.3">
      <c r="A727" t="s">
        <v>219</v>
      </c>
      <c r="B727" s="562">
        <v>2026</v>
      </c>
      <c r="C727" t="s">
        <v>249</v>
      </c>
      <c r="D727">
        <v>939</v>
      </c>
      <c r="E727">
        <v>917</v>
      </c>
      <c r="F727" s="179">
        <v>46196</v>
      </c>
      <c r="G727" t="s">
        <v>377</v>
      </c>
      <c r="I727" t="s">
        <v>272</v>
      </c>
      <c r="J727" s="583">
        <v>8143</v>
      </c>
      <c r="K727" s="583">
        <v>0</v>
      </c>
      <c r="L727" s="565">
        <f t="shared" si="33"/>
        <v>8143</v>
      </c>
      <c r="M727" s="179">
        <v>46231</v>
      </c>
      <c r="N727" s="179">
        <v>46255</v>
      </c>
      <c r="O727" s="565">
        <v>8143</v>
      </c>
      <c r="P727" s="565">
        <f t="shared" si="34"/>
        <v>0</v>
      </c>
      <c r="Q727" s="565"/>
      <c r="R727" s="565"/>
      <c r="S727" s="565"/>
      <c r="T727" s="565"/>
      <c r="U727" s="565"/>
      <c r="V727" s="565"/>
      <c r="W727" s="565"/>
      <c r="X727" s="565"/>
      <c r="Y727" t="str">
        <f t="shared" ca="1" si="35"/>
        <v>PAGO</v>
      </c>
      <c r="AA727" t="s">
        <v>410</v>
      </c>
    </row>
    <row r="728" spans="1:27" x14ac:dyDescent="0.3">
      <c r="A728" t="s">
        <v>219</v>
      </c>
      <c r="B728" s="562">
        <v>2026</v>
      </c>
      <c r="C728" t="s">
        <v>249</v>
      </c>
      <c r="D728">
        <v>939</v>
      </c>
      <c r="E728">
        <v>917</v>
      </c>
      <c r="F728" s="179">
        <v>46196</v>
      </c>
      <c r="G728" t="s">
        <v>377</v>
      </c>
      <c r="I728" t="s">
        <v>272</v>
      </c>
      <c r="J728" s="583">
        <v>8143</v>
      </c>
      <c r="K728" s="583">
        <v>0</v>
      </c>
      <c r="L728" s="565">
        <f t="shared" si="33"/>
        <v>8143</v>
      </c>
      <c r="M728" s="179">
        <v>46238</v>
      </c>
      <c r="N728" s="179">
        <v>46273</v>
      </c>
      <c r="O728" s="565">
        <v>8143</v>
      </c>
      <c r="P728" s="565">
        <f t="shared" si="34"/>
        <v>0</v>
      </c>
      <c r="Q728" s="565"/>
      <c r="R728" s="565"/>
      <c r="S728" s="565"/>
      <c r="T728" s="565"/>
      <c r="U728" s="565"/>
      <c r="V728" s="565"/>
      <c r="W728" s="565"/>
      <c r="X728" s="565"/>
      <c r="Y728" t="str">
        <f t="shared" ca="1" si="35"/>
        <v>PAGO</v>
      </c>
      <c r="AA728" t="s">
        <v>410</v>
      </c>
    </row>
    <row r="729" spans="1:27" x14ac:dyDescent="0.3">
      <c r="A729" t="s">
        <v>219</v>
      </c>
      <c r="B729" s="562">
        <v>2026</v>
      </c>
      <c r="C729" t="s">
        <v>249</v>
      </c>
      <c r="D729">
        <v>939</v>
      </c>
      <c r="E729">
        <v>917</v>
      </c>
      <c r="F729" s="179">
        <v>46196</v>
      </c>
      <c r="G729" t="s">
        <v>377</v>
      </c>
      <c r="I729" t="s">
        <v>272</v>
      </c>
      <c r="J729" s="583">
        <v>8143</v>
      </c>
      <c r="K729" s="583">
        <v>0</v>
      </c>
      <c r="L729" s="565">
        <f t="shared" si="33"/>
        <v>8143</v>
      </c>
      <c r="M729" s="179">
        <v>46245</v>
      </c>
      <c r="N729" s="179">
        <v>46273</v>
      </c>
      <c r="O729" s="565">
        <v>8143</v>
      </c>
      <c r="P729" s="565">
        <f t="shared" si="34"/>
        <v>0</v>
      </c>
      <c r="Q729" s="565"/>
      <c r="R729" s="565"/>
      <c r="S729" s="565"/>
      <c r="T729" s="565"/>
      <c r="U729" s="565"/>
      <c r="V729" s="565"/>
      <c r="W729" s="565"/>
      <c r="X729" s="565"/>
      <c r="Y729" t="str">
        <f t="shared" ca="1" si="35"/>
        <v>PAGO</v>
      </c>
      <c r="AA729" t="s">
        <v>410</v>
      </c>
    </row>
    <row r="730" spans="1:27" x14ac:dyDescent="0.3">
      <c r="A730" t="s">
        <v>219</v>
      </c>
      <c r="B730" s="562">
        <v>2026</v>
      </c>
      <c r="C730" t="s">
        <v>249</v>
      </c>
      <c r="D730">
        <v>939</v>
      </c>
      <c r="E730">
        <v>917</v>
      </c>
      <c r="F730" s="179">
        <v>46196</v>
      </c>
      <c r="G730" t="s">
        <v>377</v>
      </c>
      <c r="I730" t="s">
        <v>272</v>
      </c>
      <c r="J730" s="583">
        <v>8143</v>
      </c>
      <c r="K730" s="583">
        <v>0</v>
      </c>
      <c r="L730" s="565">
        <f t="shared" si="33"/>
        <v>8143</v>
      </c>
      <c r="M730" s="179">
        <v>46252</v>
      </c>
      <c r="N730" s="179">
        <v>46290</v>
      </c>
      <c r="O730" s="565">
        <v>8143</v>
      </c>
      <c r="P730" s="565">
        <f t="shared" si="34"/>
        <v>0</v>
      </c>
      <c r="Q730" s="565"/>
      <c r="R730" s="565"/>
      <c r="S730" s="565"/>
      <c r="T730" s="565"/>
      <c r="U730" s="565"/>
      <c r="V730" s="565"/>
      <c r="W730" s="565"/>
      <c r="X730" s="565"/>
      <c r="Y730" t="str">
        <f t="shared" ca="1" si="35"/>
        <v>PAGO</v>
      </c>
      <c r="AA730" t="s">
        <v>410</v>
      </c>
    </row>
    <row r="731" spans="1:27" x14ac:dyDescent="0.3">
      <c r="A731" t="s">
        <v>219</v>
      </c>
      <c r="B731" s="562">
        <v>2026</v>
      </c>
      <c r="C731" t="s">
        <v>249</v>
      </c>
      <c r="D731">
        <v>940</v>
      </c>
      <c r="E731">
        <v>918</v>
      </c>
      <c r="F731" s="179">
        <v>46196</v>
      </c>
      <c r="G731" t="s">
        <v>377</v>
      </c>
      <c r="I731" t="s">
        <v>272</v>
      </c>
      <c r="J731" s="583">
        <v>18261.25</v>
      </c>
      <c r="K731" s="583">
        <v>0</v>
      </c>
      <c r="L731" s="565">
        <f t="shared" si="33"/>
        <v>18261.25</v>
      </c>
      <c r="M731" s="179">
        <v>46211</v>
      </c>
      <c r="N731" s="179">
        <v>46226</v>
      </c>
      <c r="O731" s="565">
        <v>18261.25</v>
      </c>
      <c r="P731" s="565">
        <f t="shared" si="34"/>
        <v>0</v>
      </c>
      <c r="Q731" s="565"/>
      <c r="R731" s="565"/>
      <c r="S731" s="565"/>
      <c r="T731" s="565"/>
      <c r="U731" s="565"/>
      <c r="V731" s="565"/>
      <c r="W731" s="565"/>
      <c r="X731" s="565"/>
      <c r="Y731" t="str">
        <f t="shared" ca="1" si="35"/>
        <v>PAGO</v>
      </c>
      <c r="AA731" t="s">
        <v>410</v>
      </c>
    </row>
    <row r="732" spans="1:27" x14ac:dyDescent="0.3">
      <c r="A732" t="s">
        <v>219</v>
      </c>
      <c r="B732" s="562">
        <v>2026</v>
      </c>
      <c r="C732" t="s">
        <v>249</v>
      </c>
      <c r="D732">
        <v>940</v>
      </c>
      <c r="E732">
        <v>918</v>
      </c>
      <c r="F732" s="179">
        <v>46196</v>
      </c>
      <c r="G732" t="s">
        <v>377</v>
      </c>
      <c r="I732" t="s">
        <v>272</v>
      </c>
      <c r="J732" s="583">
        <v>18260</v>
      </c>
      <c r="K732" s="583">
        <v>0</v>
      </c>
      <c r="L732" s="565">
        <f t="shared" si="33"/>
        <v>18260</v>
      </c>
      <c r="M732" s="179">
        <v>46226</v>
      </c>
      <c r="N732" s="179">
        <v>46247</v>
      </c>
      <c r="O732" s="565">
        <v>18260</v>
      </c>
      <c r="P732" s="565">
        <f t="shared" si="34"/>
        <v>0</v>
      </c>
      <c r="Q732" s="565"/>
      <c r="R732" s="565"/>
      <c r="S732" s="565"/>
      <c r="T732" s="565"/>
      <c r="U732" s="565"/>
      <c r="V732" s="565"/>
      <c r="W732" s="565"/>
      <c r="X732" s="565"/>
      <c r="Y732" t="str">
        <f t="shared" ca="1" si="35"/>
        <v>PAGO</v>
      </c>
      <c r="AA732" t="s">
        <v>410</v>
      </c>
    </row>
    <row r="733" spans="1:27" x14ac:dyDescent="0.3">
      <c r="A733" t="s">
        <v>219</v>
      </c>
      <c r="B733" s="562">
        <v>2026</v>
      </c>
      <c r="C733" t="s">
        <v>249</v>
      </c>
      <c r="D733">
        <v>940</v>
      </c>
      <c r="E733">
        <v>918</v>
      </c>
      <c r="F733" s="179">
        <v>46196</v>
      </c>
      <c r="G733" t="s">
        <v>377</v>
      </c>
      <c r="I733" t="s">
        <v>272</v>
      </c>
      <c r="J733" s="583">
        <v>18260</v>
      </c>
      <c r="K733" s="583">
        <v>0</v>
      </c>
      <c r="L733" s="565">
        <f t="shared" si="33"/>
        <v>18260</v>
      </c>
      <c r="M733" s="179">
        <v>46241</v>
      </c>
      <c r="N733" s="179">
        <v>46273</v>
      </c>
      <c r="O733" s="565">
        <v>18260</v>
      </c>
      <c r="P733" s="565">
        <f t="shared" si="34"/>
        <v>0</v>
      </c>
      <c r="Q733" s="565"/>
      <c r="R733" s="565"/>
      <c r="S733" s="565"/>
      <c r="T733" s="565"/>
      <c r="U733" s="565"/>
      <c r="V733" s="565"/>
      <c r="W733" s="565"/>
      <c r="X733" s="565"/>
      <c r="Y733" t="str">
        <f t="shared" ca="1" si="35"/>
        <v>PAGO</v>
      </c>
      <c r="AA733" t="s">
        <v>410</v>
      </c>
    </row>
    <row r="734" spans="1:27" x14ac:dyDescent="0.3">
      <c r="A734" t="s">
        <v>219</v>
      </c>
      <c r="B734" s="562">
        <v>2026</v>
      </c>
      <c r="C734" t="s">
        <v>249</v>
      </c>
      <c r="D734">
        <v>940</v>
      </c>
      <c r="E734">
        <v>918</v>
      </c>
      <c r="F734" s="179">
        <v>46196</v>
      </c>
      <c r="G734" t="s">
        <v>377</v>
      </c>
      <c r="I734" t="s">
        <v>272</v>
      </c>
      <c r="J734" s="583">
        <v>18260</v>
      </c>
      <c r="K734" s="583">
        <v>0</v>
      </c>
      <c r="L734" s="565">
        <f t="shared" si="33"/>
        <v>18260</v>
      </c>
      <c r="M734" s="179">
        <v>46256</v>
      </c>
      <c r="N734" s="179">
        <v>46297</v>
      </c>
      <c r="O734" s="565">
        <v>18260</v>
      </c>
      <c r="P734" s="565">
        <f t="shared" si="34"/>
        <v>0</v>
      </c>
      <c r="Q734" s="565"/>
      <c r="R734" s="565"/>
      <c r="S734" s="565"/>
      <c r="T734" s="565"/>
      <c r="U734" s="565"/>
      <c r="V734" s="565"/>
      <c r="W734" s="565"/>
      <c r="X734" s="565"/>
      <c r="Y734" t="str">
        <f t="shared" ca="1" si="35"/>
        <v>PAGO</v>
      </c>
      <c r="AA734" t="s">
        <v>410</v>
      </c>
    </row>
    <row r="735" spans="1:27" x14ac:dyDescent="0.3">
      <c r="A735" t="s">
        <v>219</v>
      </c>
      <c r="B735" s="562">
        <v>2026</v>
      </c>
      <c r="C735" t="s">
        <v>249</v>
      </c>
      <c r="D735">
        <v>940</v>
      </c>
      <c r="E735">
        <v>918</v>
      </c>
      <c r="F735" s="179">
        <v>46196</v>
      </c>
      <c r="G735" t="s">
        <v>377</v>
      </c>
      <c r="I735" t="s">
        <v>272</v>
      </c>
      <c r="J735" s="583">
        <v>18260</v>
      </c>
      <c r="K735" s="583">
        <v>0</v>
      </c>
      <c r="L735" s="565">
        <f t="shared" si="33"/>
        <v>18260</v>
      </c>
      <c r="M735" s="179">
        <v>46271</v>
      </c>
      <c r="N735" s="179">
        <v>46304</v>
      </c>
      <c r="O735" s="565">
        <v>18260</v>
      </c>
      <c r="P735" s="565">
        <f t="shared" si="34"/>
        <v>0</v>
      </c>
      <c r="Q735" s="565"/>
      <c r="R735" s="565"/>
      <c r="S735" s="565"/>
      <c r="T735" s="565"/>
      <c r="U735" s="565"/>
      <c r="V735" s="565"/>
      <c r="W735" s="565"/>
      <c r="X735" s="565"/>
      <c r="Y735" t="str">
        <f t="shared" ca="1" si="35"/>
        <v>PAGO</v>
      </c>
      <c r="AA735" t="s">
        <v>410</v>
      </c>
    </row>
    <row r="736" spans="1:27" x14ac:dyDescent="0.3">
      <c r="A736" t="s">
        <v>219</v>
      </c>
      <c r="B736" s="562">
        <v>2026</v>
      </c>
      <c r="C736" t="s">
        <v>249</v>
      </c>
      <c r="D736">
        <v>940</v>
      </c>
      <c r="E736">
        <v>918</v>
      </c>
      <c r="F736" s="179">
        <v>46196</v>
      </c>
      <c r="G736" t="s">
        <v>377</v>
      </c>
      <c r="I736" t="s">
        <v>272</v>
      </c>
      <c r="J736" s="583">
        <v>18260</v>
      </c>
      <c r="K736" s="583">
        <v>0</v>
      </c>
      <c r="L736" s="565">
        <f t="shared" si="33"/>
        <v>18260</v>
      </c>
      <c r="M736" s="179">
        <v>46286</v>
      </c>
      <c r="N736" s="179">
        <v>46304</v>
      </c>
      <c r="O736" s="565">
        <v>18260</v>
      </c>
      <c r="P736" s="565">
        <f t="shared" si="34"/>
        <v>0</v>
      </c>
      <c r="Q736" s="565"/>
      <c r="R736" s="565"/>
      <c r="S736" s="565"/>
      <c r="T736" s="565"/>
      <c r="U736" s="565"/>
      <c r="V736" s="565"/>
      <c r="W736" s="565"/>
      <c r="X736" s="565"/>
      <c r="Y736" t="str">
        <f t="shared" ca="1" si="35"/>
        <v>PAGO</v>
      </c>
      <c r="AA736" t="s">
        <v>410</v>
      </c>
    </row>
    <row r="737" spans="1:27" x14ac:dyDescent="0.3">
      <c r="A737" t="s">
        <v>219</v>
      </c>
      <c r="B737" s="562">
        <v>2026</v>
      </c>
      <c r="C737" t="s">
        <v>249</v>
      </c>
      <c r="D737">
        <v>940</v>
      </c>
      <c r="E737">
        <v>918</v>
      </c>
      <c r="F737" s="179">
        <v>46196</v>
      </c>
      <c r="G737" t="s">
        <v>377</v>
      </c>
      <c r="I737" t="s">
        <v>272</v>
      </c>
      <c r="J737" s="583">
        <v>18260</v>
      </c>
      <c r="K737" s="583">
        <v>0</v>
      </c>
      <c r="L737" s="565">
        <f t="shared" si="33"/>
        <v>18260</v>
      </c>
      <c r="M737" s="179">
        <v>46301</v>
      </c>
      <c r="N737" s="179">
        <v>46304</v>
      </c>
      <c r="O737" s="565">
        <f>11643.33+2328.67</f>
        <v>13972</v>
      </c>
      <c r="P737" s="565">
        <f t="shared" si="34"/>
        <v>4288</v>
      </c>
      <c r="Q737" s="565"/>
      <c r="R737" s="565"/>
      <c r="S737" s="565"/>
      <c r="T737" s="565"/>
      <c r="U737" s="565"/>
      <c r="V737" s="565"/>
      <c r="W737" s="565"/>
      <c r="X737" s="565"/>
      <c r="Y737" t="str">
        <f t="shared" ca="1" si="35"/>
        <v>VENCIDO</v>
      </c>
      <c r="AA737" t="s">
        <v>410</v>
      </c>
    </row>
    <row r="738" spans="1:27" x14ac:dyDescent="0.3">
      <c r="A738" t="s">
        <v>219</v>
      </c>
      <c r="B738" s="562">
        <v>2026</v>
      </c>
      <c r="C738" t="s">
        <v>249</v>
      </c>
      <c r="D738">
        <v>940</v>
      </c>
      <c r="E738">
        <v>918</v>
      </c>
      <c r="F738" s="179">
        <v>46196</v>
      </c>
      <c r="G738" t="s">
        <v>377</v>
      </c>
      <c r="I738" t="s">
        <v>272</v>
      </c>
      <c r="J738" s="583">
        <v>18260</v>
      </c>
      <c r="K738" s="583">
        <v>0</v>
      </c>
      <c r="L738" s="565">
        <f t="shared" si="33"/>
        <v>18260</v>
      </c>
      <c r="M738" s="179">
        <v>46316</v>
      </c>
      <c r="O738" s="565"/>
      <c r="P738" s="565">
        <f t="shared" si="34"/>
        <v>18260</v>
      </c>
      <c r="Q738" s="565"/>
      <c r="R738" s="565"/>
      <c r="S738" s="565"/>
      <c r="T738" s="565"/>
      <c r="U738" s="565"/>
      <c r="V738" s="565"/>
      <c r="W738" s="565"/>
      <c r="X738" s="565"/>
      <c r="Y738" t="str">
        <f t="shared" ca="1" si="35"/>
        <v>VENCIDO</v>
      </c>
      <c r="AA738" t="s">
        <v>410</v>
      </c>
    </row>
    <row r="739" spans="1:27" x14ac:dyDescent="0.3">
      <c r="A739" t="s">
        <v>219</v>
      </c>
      <c r="B739" s="562">
        <v>2026</v>
      </c>
      <c r="C739" t="s">
        <v>249</v>
      </c>
      <c r="D739">
        <v>941</v>
      </c>
      <c r="E739">
        <v>915</v>
      </c>
      <c r="F739" s="179">
        <v>46196</v>
      </c>
      <c r="G739" t="s">
        <v>377</v>
      </c>
      <c r="I739" t="s">
        <v>272</v>
      </c>
      <c r="J739" s="583">
        <v>21951.25</v>
      </c>
      <c r="K739" s="583">
        <v>0</v>
      </c>
      <c r="L739" s="565">
        <f t="shared" si="33"/>
        <v>21951.25</v>
      </c>
      <c r="M739" s="179">
        <v>46301</v>
      </c>
      <c r="N739" s="179">
        <v>46311</v>
      </c>
      <c r="O739" s="565">
        <v>21951.25</v>
      </c>
      <c r="P739" s="565">
        <f t="shared" si="34"/>
        <v>0</v>
      </c>
      <c r="Q739" s="565"/>
      <c r="R739" s="565"/>
      <c r="S739" s="565"/>
      <c r="T739" s="565"/>
      <c r="U739" s="565"/>
      <c r="V739" s="565"/>
      <c r="W739" s="565"/>
      <c r="X739" s="565"/>
      <c r="Y739" t="str">
        <f t="shared" ca="1" si="35"/>
        <v>PAGO</v>
      </c>
      <c r="AA739" t="s">
        <v>410</v>
      </c>
    </row>
    <row r="740" spans="1:27" x14ac:dyDescent="0.3">
      <c r="A740" t="s">
        <v>219</v>
      </c>
      <c r="B740" s="562">
        <v>2026</v>
      </c>
      <c r="C740" t="s">
        <v>249</v>
      </c>
      <c r="D740">
        <v>941</v>
      </c>
      <c r="E740">
        <v>915</v>
      </c>
      <c r="F740" s="179">
        <v>46196</v>
      </c>
      <c r="G740" t="s">
        <v>377</v>
      </c>
      <c r="I740" t="s">
        <v>272</v>
      </c>
      <c r="J740" s="583">
        <v>21949</v>
      </c>
      <c r="K740" s="583">
        <v>0</v>
      </c>
      <c r="L740" s="565">
        <f t="shared" si="33"/>
        <v>21949</v>
      </c>
      <c r="M740" s="179">
        <v>46316</v>
      </c>
      <c r="O740" s="565"/>
      <c r="P740" s="565">
        <f t="shared" si="34"/>
        <v>21949</v>
      </c>
      <c r="Q740" s="565"/>
      <c r="R740" s="565"/>
      <c r="S740" s="565"/>
      <c r="T740" s="565"/>
      <c r="U740" s="565"/>
      <c r="V740" s="565"/>
      <c r="W740" s="565"/>
      <c r="X740" s="565"/>
      <c r="Y740" t="str">
        <f t="shared" ca="1" si="35"/>
        <v>VENCIDO</v>
      </c>
      <c r="AA740" t="s">
        <v>410</v>
      </c>
    </row>
    <row r="741" spans="1:27" x14ac:dyDescent="0.3">
      <c r="A741" t="s">
        <v>219</v>
      </c>
      <c r="B741" s="562">
        <v>2026</v>
      </c>
      <c r="C741" t="s">
        <v>249</v>
      </c>
      <c r="D741">
        <v>941</v>
      </c>
      <c r="E741">
        <v>915</v>
      </c>
      <c r="F741" s="179">
        <v>46196</v>
      </c>
      <c r="G741" t="s">
        <v>377</v>
      </c>
      <c r="I741" t="s">
        <v>272</v>
      </c>
      <c r="J741" s="583">
        <v>21949</v>
      </c>
      <c r="K741" s="583">
        <v>0</v>
      </c>
      <c r="L741" s="565">
        <f t="shared" si="33"/>
        <v>21949</v>
      </c>
      <c r="M741" s="179">
        <v>46331</v>
      </c>
      <c r="O741" s="565"/>
      <c r="P741" s="565">
        <f t="shared" si="34"/>
        <v>21949</v>
      </c>
      <c r="Q741" s="565"/>
      <c r="R741" s="565"/>
      <c r="S741" s="565"/>
      <c r="T741" s="565"/>
      <c r="U741" s="565"/>
      <c r="V741" s="565"/>
      <c r="W741" s="565"/>
      <c r="X741" s="565"/>
      <c r="Y741" t="str">
        <f t="shared" ca="1" si="35"/>
        <v>A VENCER</v>
      </c>
      <c r="AA741" t="s">
        <v>410</v>
      </c>
    </row>
    <row r="742" spans="1:27" x14ac:dyDescent="0.3">
      <c r="A742" t="s">
        <v>219</v>
      </c>
      <c r="B742" s="562">
        <v>2026</v>
      </c>
      <c r="C742" t="s">
        <v>248</v>
      </c>
      <c r="D742">
        <v>23902</v>
      </c>
      <c r="E742">
        <v>5331</v>
      </c>
      <c r="F742" s="179">
        <v>46196</v>
      </c>
      <c r="G742" t="s">
        <v>237</v>
      </c>
      <c r="I742" t="s">
        <v>270</v>
      </c>
      <c r="J742" s="583">
        <v>0</v>
      </c>
      <c r="K742" s="583">
        <v>1020.2</v>
      </c>
      <c r="L742" s="565">
        <f t="shared" si="33"/>
        <v>1020.2</v>
      </c>
      <c r="M742" s="179">
        <v>46217</v>
      </c>
      <c r="N742" s="179">
        <v>46217</v>
      </c>
      <c r="O742" s="565">
        <v>1020.2</v>
      </c>
      <c r="P742" s="565">
        <f t="shared" si="34"/>
        <v>0</v>
      </c>
      <c r="Q742" s="565"/>
      <c r="R742" s="565"/>
      <c r="S742" s="565"/>
      <c r="T742" s="565"/>
      <c r="U742" s="565"/>
      <c r="V742" s="565"/>
      <c r="W742" s="565"/>
      <c r="X742" s="565"/>
      <c r="Y742" t="str">
        <f t="shared" ca="1" si="35"/>
        <v>PAGO</v>
      </c>
      <c r="AA742" t="s">
        <v>410</v>
      </c>
    </row>
    <row r="743" spans="1:27" x14ac:dyDescent="0.3">
      <c r="A743" t="s">
        <v>219</v>
      </c>
      <c r="B743" s="562">
        <v>2026</v>
      </c>
      <c r="C743" t="s">
        <v>248</v>
      </c>
      <c r="D743">
        <v>23898</v>
      </c>
      <c r="E743">
        <v>5305</v>
      </c>
      <c r="F743" s="179">
        <v>46196</v>
      </c>
      <c r="G743" t="s">
        <v>237</v>
      </c>
      <c r="I743" t="s">
        <v>270</v>
      </c>
      <c r="J743" s="583">
        <v>0</v>
      </c>
      <c r="K743" s="583">
        <v>1746.36</v>
      </c>
      <c r="L743" s="565">
        <f t="shared" si="33"/>
        <v>1746.36</v>
      </c>
      <c r="M743" s="179">
        <v>46217</v>
      </c>
      <c r="N743" s="179">
        <v>46217</v>
      </c>
      <c r="O743" s="565">
        <v>1746.36</v>
      </c>
      <c r="P743" s="565">
        <f t="shared" si="34"/>
        <v>0</v>
      </c>
      <c r="Q743" s="565"/>
      <c r="R743" s="565"/>
      <c r="S743" s="565"/>
      <c r="T743" s="565"/>
      <c r="U743" s="565"/>
      <c r="V743" s="565"/>
      <c r="W743" s="565"/>
      <c r="X743" s="565"/>
      <c r="Y743" t="str">
        <f t="shared" ca="1" si="35"/>
        <v>PAGO</v>
      </c>
      <c r="AA743" t="s">
        <v>410</v>
      </c>
    </row>
    <row r="744" spans="1:27" x14ac:dyDescent="0.3">
      <c r="A744" t="s">
        <v>219</v>
      </c>
      <c r="B744" s="562">
        <v>2026</v>
      </c>
      <c r="C744" t="s">
        <v>248</v>
      </c>
      <c r="D744">
        <v>23965</v>
      </c>
      <c r="E744">
        <v>5394</v>
      </c>
      <c r="F744" s="179">
        <v>46198</v>
      </c>
      <c r="G744" t="s">
        <v>236</v>
      </c>
      <c r="I744" t="s">
        <v>270</v>
      </c>
      <c r="J744" s="583">
        <v>0</v>
      </c>
      <c r="K744" s="583">
        <v>229.42</v>
      </c>
      <c r="L744" s="565">
        <f t="shared" si="33"/>
        <v>229.42</v>
      </c>
      <c r="M744" s="179">
        <v>46226</v>
      </c>
      <c r="N744" s="179">
        <v>46205</v>
      </c>
      <c r="O744" s="565">
        <v>229.43</v>
      </c>
      <c r="P744" s="565">
        <f t="shared" si="34"/>
        <v>-1.0000000000019327E-2</v>
      </c>
      <c r="Q744" s="565"/>
      <c r="R744" s="565"/>
      <c r="S744" s="565"/>
      <c r="T744" s="565"/>
      <c r="U744" s="565"/>
      <c r="V744" s="565"/>
      <c r="W744" s="565"/>
      <c r="X744" s="565"/>
      <c r="Y744" t="str">
        <f t="shared" ca="1" si="35"/>
        <v>PAGO</v>
      </c>
      <c r="AA744" t="s">
        <v>410</v>
      </c>
    </row>
    <row r="745" spans="1:27" x14ac:dyDescent="0.3">
      <c r="A745" t="s">
        <v>219</v>
      </c>
      <c r="B745" s="562">
        <v>2026</v>
      </c>
      <c r="C745" t="s">
        <v>248</v>
      </c>
      <c r="D745">
        <v>23965</v>
      </c>
      <c r="E745">
        <v>5394</v>
      </c>
      <c r="F745" s="179">
        <v>46198</v>
      </c>
      <c r="G745" t="s">
        <v>236</v>
      </c>
      <c r="I745" t="s">
        <v>270</v>
      </c>
      <c r="J745" s="583">
        <v>0</v>
      </c>
      <c r="K745" s="583">
        <v>229.42</v>
      </c>
      <c r="L745" s="565">
        <f t="shared" si="33"/>
        <v>229.42</v>
      </c>
      <c r="M745" s="179">
        <v>46233</v>
      </c>
      <c r="N745" s="179">
        <v>46230</v>
      </c>
      <c r="O745" s="565">
        <v>229.43</v>
      </c>
      <c r="P745" s="565">
        <f t="shared" si="34"/>
        <v>-1.0000000000019327E-2</v>
      </c>
      <c r="Q745" s="565"/>
      <c r="R745" s="565"/>
      <c r="S745" s="565"/>
      <c r="T745" s="565"/>
      <c r="U745" s="565"/>
      <c r="V745" s="565"/>
      <c r="W745" s="565"/>
      <c r="X745" s="565"/>
      <c r="Y745" t="str">
        <f t="shared" ca="1" si="35"/>
        <v>PAGO</v>
      </c>
      <c r="AA745" t="s">
        <v>410</v>
      </c>
    </row>
    <row r="746" spans="1:27" x14ac:dyDescent="0.3">
      <c r="A746" t="s">
        <v>219</v>
      </c>
      <c r="B746" s="562">
        <v>2026</v>
      </c>
      <c r="C746" t="s">
        <v>248</v>
      </c>
      <c r="D746">
        <v>23965</v>
      </c>
      <c r="E746">
        <v>5394</v>
      </c>
      <c r="F746" s="179">
        <v>46198</v>
      </c>
      <c r="G746" t="s">
        <v>236</v>
      </c>
      <c r="I746" t="s">
        <v>270</v>
      </c>
      <c r="J746" s="583">
        <v>0</v>
      </c>
      <c r="K746" s="583">
        <v>229.43</v>
      </c>
      <c r="L746" s="565">
        <f t="shared" si="33"/>
        <v>229.43</v>
      </c>
      <c r="M746" s="179">
        <v>46240</v>
      </c>
      <c r="N746" s="179">
        <v>46231</v>
      </c>
      <c r="O746" s="565">
        <v>229.42</v>
      </c>
      <c r="P746" s="565">
        <f t="shared" si="34"/>
        <v>1.0000000000019327E-2</v>
      </c>
      <c r="Q746" s="565"/>
      <c r="R746" s="565"/>
      <c r="S746" s="565"/>
      <c r="T746" s="565"/>
      <c r="U746" s="565"/>
      <c r="V746" s="565"/>
      <c r="W746" s="565"/>
      <c r="X746" s="565"/>
      <c r="Y746" t="str">
        <f t="shared" ca="1" si="35"/>
        <v>VENCIDO</v>
      </c>
      <c r="AA746" t="s">
        <v>410</v>
      </c>
    </row>
    <row r="747" spans="1:27" x14ac:dyDescent="0.3">
      <c r="A747" t="s">
        <v>219</v>
      </c>
      <c r="B747" s="562">
        <v>2026</v>
      </c>
      <c r="C747" t="s">
        <v>248</v>
      </c>
      <c r="D747">
        <v>23940</v>
      </c>
      <c r="E747">
        <v>5301</v>
      </c>
      <c r="F747" s="179">
        <v>46198</v>
      </c>
      <c r="G747" t="s">
        <v>237</v>
      </c>
      <c r="I747" t="s">
        <v>270</v>
      </c>
      <c r="J747" s="583">
        <v>0</v>
      </c>
      <c r="K747" s="583">
        <v>1386.45</v>
      </c>
      <c r="L747" s="565">
        <f t="shared" si="33"/>
        <v>1386.45</v>
      </c>
      <c r="M747" s="179">
        <v>46219</v>
      </c>
      <c r="N747" s="179">
        <v>46219</v>
      </c>
      <c r="O747" s="565">
        <v>1386.45</v>
      </c>
      <c r="P747" s="565">
        <f t="shared" si="34"/>
        <v>0</v>
      </c>
      <c r="Q747" s="565"/>
      <c r="R747" s="565"/>
      <c r="S747" s="565"/>
      <c r="T747" s="565"/>
      <c r="U747" s="565"/>
      <c r="V747" s="565"/>
      <c r="W747" s="565"/>
      <c r="X747" s="565"/>
      <c r="Y747" t="str">
        <f t="shared" ca="1" si="35"/>
        <v>PAGO</v>
      </c>
      <c r="AA747" t="s">
        <v>410</v>
      </c>
    </row>
    <row r="748" spans="1:27" x14ac:dyDescent="0.3">
      <c r="A748" t="s">
        <v>220</v>
      </c>
      <c r="B748" s="562">
        <v>2026</v>
      </c>
      <c r="C748" t="s">
        <v>248</v>
      </c>
      <c r="D748">
        <v>24103</v>
      </c>
      <c r="E748">
        <v>5438</v>
      </c>
      <c r="F748" s="179">
        <v>46205</v>
      </c>
      <c r="G748" t="s">
        <v>237</v>
      </c>
      <c r="I748" t="s">
        <v>270</v>
      </c>
      <c r="J748" s="583">
        <v>0</v>
      </c>
      <c r="K748" s="583">
        <v>4602.01</v>
      </c>
      <c r="L748" s="565">
        <f t="shared" si="33"/>
        <v>4602.01</v>
      </c>
      <c r="M748" s="179">
        <v>46226</v>
      </c>
      <c r="N748" s="179">
        <v>46226</v>
      </c>
      <c r="O748" s="565">
        <v>4602.01</v>
      </c>
      <c r="P748" s="565">
        <f t="shared" si="34"/>
        <v>0</v>
      </c>
      <c r="Q748" s="565"/>
      <c r="R748" s="565"/>
      <c r="S748" s="565"/>
      <c r="T748" s="565"/>
      <c r="U748" s="565"/>
      <c r="V748" s="565"/>
      <c r="W748" s="565"/>
      <c r="X748" s="565"/>
      <c r="Y748" t="str">
        <f t="shared" ca="1" si="35"/>
        <v>PAGO</v>
      </c>
      <c r="AA748" t="s">
        <v>411</v>
      </c>
    </row>
    <row r="749" spans="1:27" x14ac:dyDescent="0.3">
      <c r="A749" t="s">
        <v>220</v>
      </c>
      <c r="B749" s="562">
        <v>2026</v>
      </c>
      <c r="C749" t="s">
        <v>248</v>
      </c>
      <c r="D749">
        <v>24105</v>
      </c>
      <c r="E749">
        <v>5513</v>
      </c>
      <c r="F749" s="179">
        <v>46205</v>
      </c>
      <c r="G749" t="s">
        <v>237</v>
      </c>
      <c r="I749" t="s">
        <v>270</v>
      </c>
      <c r="J749" s="583">
        <v>0</v>
      </c>
      <c r="K749" s="583">
        <v>7087.9</v>
      </c>
      <c r="L749" s="565">
        <f t="shared" si="33"/>
        <v>7087.9</v>
      </c>
      <c r="M749" s="179">
        <v>46226</v>
      </c>
      <c r="N749" s="179">
        <v>46226</v>
      </c>
      <c r="O749" s="565">
        <v>7087.9</v>
      </c>
      <c r="P749" s="565">
        <f t="shared" si="34"/>
        <v>0</v>
      </c>
      <c r="Q749" s="565"/>
      <c r="R749" s="565"/>
      <c r="S749" s="565"/>
      <c r="T749" s="565"/>
      <c r="U749" s="565"/>
      <c r="V749" s="565"/>
      <c r="W749" s="565"/>
      <c r="X749" s="565"/>
      <c r="Y749" t="str">
        <f t="shared" ca="1" si="35"/>
        <v>PAGO</v>
      </c>
      <c r="AA749" t="s">
        <v>411</v>
      </c>
    </row>
    <row r="750" spans="1:27" x14ac:dyDescent="0.3">
      <c r="A750" t="s">
        <v>220</v>
      </c>
      <c r="B750" s="562">
        <v>2026</v>
      </c>
      <c r="C750" t="s">
        <v>248</v>
      </c>
      <c r="D750">
        <v>24106</v>
      </c>
      <c r="E750">
        <v>5526</v>
      </c>
      <c r="F750" s="179">
        <v>46205</v>
      </c>
      <c r="G750" t="s">
        <v>236</v>
      </c>
      <c r="I750" t="s">
        <v>270</v>
      </c>
      <c r="J750" s="583">
        <v>0</v>
      </c>
      <c r="K750" s="583">
        <v>407.1</v>
      </c>
      <c r="L750" s="565">
        <f t="shared" si="33"/>
        <v>407.1</v>
      </c>
      <c r="M750" s="179">
        <v>46205</v>
      </c>
      <c r="N750" s="179">
        <v>46230</v>
      </c>
      <c r="O750" s="565">
        <v>407.1</v>
      </c>
      <c r="P750" s="565">
        <f t="shared" si="34"/>
        <v>0</v>
      </c>
      <c r="Q750" s="565"/>
      <c r="R750" s="565"/>
      <c r="S750" s="565"/>
      <c r="T750" s="565"/>
      <c r="U750" s="565"/>
      <c r="V750" s="565"/>
      <c r="W750" s="565"/>
      <c r="X750" s="565"/>
      <c r="Y750" t="str">
        <f t="shared" ca="1" si="35"/>
        <v>PAGO</v>
      </c>
      <c r="AA750" t="s">
        <v>411</v>
      </c>
    </row>
    <row r="751" spans="1:27" x14ac:dyDescent="0.3">
      <c r="A751" t="s">
        <v>220</v>
      </c>
      <c r="B751" s="562">
        <v>2026</v>
      </c>
      <c r="C751" t="s">
        <v>249</v>
      </c>
      <c r="D751">
        <v>21143</v>
      </c>
      <c r="E751">
        <v>5648</v>
      </c>
      <c r="F751" s="179">
        <v>46206</v>
      </c>
      <c r="G751" t="s">
        <v>264</v>
      </c>
      <c r="I751" t="s">
        <v>271</v>
      </c>
      <c r="J751" s="583">
        <v>15623.73</v>
      </c>
      <c r="K751" s="583">
        <v>0</v>
      </c>
      <c r="L751" s="565">
        <f t="shared" si="33"/>
        <v>15623.73</v>
      </c>
      <c r="M751" s="179">
        <v>46221</v>
      </c>
      <c r="N751" s="179">
        <v>46223</v>
      </c>
      <c r="O751" s="565">
        <v>15623.73</v>
      </c>
      <c r="P751" s="565">
        <f t="shared" si="34"/>
        <v>0</v>
      </c>
      <c r="Q751" s="565"/>
      <c r="R751" s="565"/>
      <c r="S751" s="565"/>
      <c r="T751" s="565"/>
      <c r="U751" s="565"/>
      <c r="V751" s="565"/>
      <c r="W751" s="565"/>
      <c r="X751" s="565"/>
      <c r="Y751" t="str">
        <f t="shared" ca="1" si="35"/>
        <v>PAGO</v>
      </c>
      <c r="AA751" t="s">
        <v>411</v>
      </c>
    </row>
    <row r="752" spans="1:27" x14ac:dyDescent="0.3">
      <c r="A752" t="s">
        <v>220</v>
      </c>
      <c r="B752" s="562">
        <v>2026</v>
      </c>
      <c r="C752" t="s">
        <v>249</v>
      </c>
      <c r="D752">
        <v>21143</v>
      </c>
      <c r="E752">
        <v>5648</v>
      </c>
      <c r="F752" s="179">
        <v>46206</v>
      </c>
      <c r="G752" t="s">
        <v>264</v>
      </c>
      <c r="I752" t="s">
        <v>271</v>
      </c>
      <c r="J752" s="583">
        <v>15623.73</v>
      </c>
      <c r="K752" s="583">
        <v>0</v>
      </c>
      <c r="L752" s="565">
        <f t="shared" si="33"/>
        <v>15623.73</v>
      </c>
      <c r="M752" s="179">
        <v>46236</v>
      </c>
      <c r="N752" s="179">
        <v>46237</v>
      </c>
      <c r="O752" s="565">
        <v>15623.73</v>
      </c>
      <c r="P752" s="565">
        <f t="shared" si="34"/>
        <v>0</v>
      </c>
      <c r="Q752" s="565"/>
      <c r="R752" s="565"/>
      <c r="S752" s="565"/>
      <c r="T752" s="565"/>
      <c r="U752" s="565"/>
      <c r="V752" s="565"/>
      <c r="W752" s="565"/>
      <c r="X752" s="565"/>
      <c r="Y752" t="str">
        <f t="shared" ca="1" si="35"/>
        <v>PAGO</v>
      </c>
      <c r="AA752" t="s">
        <v>411</v>
      </c>
    </row>
    <row r="753" spans="1:27" x14ac:dyDescent="0.3">
      <c r="A753" t="s">
        <v>220</v>
      </c>
      <c r="B753" s="562">
        <v>2026</v>
      </c>
      <c r="C753" t="s">
        <v>249</v>
      </c>
      <c r="D753">
        <v>21143</v>
      </c>
      <c r="E753">
        <v>5648</v>
      </c>
      <c r="F753" s="179">
        <v>46206</v>
      </c>
      <c r="G753" t="s">
        <v>264</v>
      </c>
      <c r="I753" t="s">
        <v>271</v>
      </c>
      <c r="J753" s="583">
        <v>15623.73</v>
      </c>
      <c r="K753" s="583">
        <v>0</v>
      </c>
      <c r="L753" s="565">
        <f t="shared" si="33"/>
        <v>15623.73</v>
      </c>
      <c r="M753" s="179">
        <v>46251</v>
      </c>
      <c r="N753" s="179">
        <v>46251</v>
      </c>
      <c r="O753" s="565">
        <v>15623.73</v>
      </c>
      <c r="P753" s="565">
        <f t="shared" si="34"/>
        <v>0</v>
      </c>
      <c r="Q753" s="565"/>
      <c r="R753" s="565"/>
      <c r="S753" s="565"/>
      <c r="T753" s="565"/>
      <c r="U753" s="565"/>
      <c r="V753" s="565"/>
      <c r="W753" s="565"/>
      <c r="X753" s="565"/>
      <c r="Y753" t="str">
        <f t="shared" ca="1" si="35"/>
        <v>PAGO</v>
      </c>
      <c r="AA753" t="s">
        <v>411</v>
      </c>
    </row>
    <row r="754" spans="1:27" x14ac:dyDescent="0.3">
      <c r="A754" t="s">
        <v>220</v>
      </c>
      <c r="B754" s="562">
        <v>2026</v>
      </c>
      <c r="C754" t="s">
        <v>249</v>
      </c>
      <c r="D754">
        <v>21143</v>
      </c>
      <c r="E754">
        <v>5648</v>
      </c>
      <c r="F754" s="179">
        <v>46206</v>
      </c>
      <c r="G754" t="s">
        <v>264</v>
      </c>
      <c r="I754" t="s">
        <v>271</v>
      </c>
      <c r="J754" s="583">
        <v>15623.73</v>
      </c>
      <c r="K754" s="583">
        <v>0</v>
      </c>
      <c r="L754" s="565">
        <f t="shared" si="33"/>
        <v>15623.73</v>
      </c>
      <c r="M754" s="179">
        <v>46266</v>
      </c>
      <c r="N754" s="179">
        <v>46266</v>
      </c>
      <c r="O754" s="565">
        <v>15623.73</v>
      </c>
      <c r="P754" s="565">
        <f t="shared" si="34"/>
        <v>0</v>
      </c>
      <c r="Q754" s="565"/>
      <c r="R754" s="565"/>
      <c r="S754" s="565"/>
      <c r="T754" s="565"/>
      <c r="U754" s="565"/>
      <c r="V754" s="565"/>
      <c r="W754" s="565"/>
      <c r="X754" s="565"/>
      <c r="Y754" t="str">
        <f t="shared" ca="1" si="35"/>
        <v>PAGO</v>
      </c>
      <c r="AA754" t="s">
        <v>411</v>
      </c>
    </row>
    <row r="755" spans="1:27" x14ac:dyDescent="0.3">
      <c r="A755" t="s">
        <v>220</v>
      </c>
      <c r="B755" s="562">
        <v>2026</v>
      </c>
      <c r="C755" t="s">
        <v>249</v>
      </c>
      <c r="D755">
        <v>24183</v>
      </c>
      <c r="E755">
        <v>5381</v>
      </c>
      <c r="F755" s="179">
        <v>46209</v>
      </c>
      <c r="G755" t="s">
        <v>264</v>
      </c>
      <c r="I755" t="s">
        <v>271</v>
      </c>
      <c r="J755" s="583">
        <v>5536</v>
      </c>
      <c r="K755" s="583">
        <v>0</v>
      </c>
      <c r="L755" s="565">
        <f t="shared" si="33"/>
        <v>5536</v>
      </c>
      <c r="M755" s="179">
        <v>46254</v>
      </c>
      <c r="N755" s="179">
        <v>46265</v>
      </c>
      <c r="O755" s="565">
        <v>5536</v>
      </c>
      <c r="P755" s="565">
        <f t="shared" si="34"/>
        <v>0</v>
      </c>
      <c r="Q755" s="565"/>
      <c r="R755" s="565"/>
      <c r="S755" s="565"/>
      <c r="T755" s="565"/>
      <c r="U755" s="565"/>
      <c r="V755" s="565"/>
      <c r="W755" s="565"/>
      <c r="X755" s="565"/>
      <c r="Y755" t="str">
        <f t="shared" ca="1" si="35"/>
        <v>PAGO</v>
      </c>
      <c r="AA755" t="s">
        <v>411</v>
      </c>
    </row>
    <row r="756" spans="1:27" x14ac:dyDescent="0.3">
      <c r="A756" t="s">
        <v>220</v>
      </c>
      <c r="B756" s="562">
        <v>2026</v>
      </c>
      <c r="C756" t="s">
        <v>248</v>
      </c>
      <c r="D756">
        <v>24225</v>
      </c>
      <c r="E756">
        <v>5526</v>
      </c>
      <c r="F756" s="179">
        <v>46210</v>
      </c>
      <c r="G756" t="s">
        <v>236</v>
      </c>
      <c r="I756" t="s">
        <v>270</v>
      </c>
      <c r="J756" s="583">
        <v>0</v>
      </c>
      <c r="K756" s="583">
        <v>1972.82</v>
      </c>
      <c r="L756" s="565">
        <f t="shared" si="33"/>
        <v>1972.82</v>
      </c>
      <c r="M756" s="179">
        <v>46238</v>
      </c>
      <c r="N756" s="179">
        <v>46231</v>
      </c>
      <c r="O756" s="565">
        <v>1972.83</v>
      </c>
      <c r="P756" s="565">
        <f t="shared" si="34"/>
        <v>-9.9999999999909051E-3</v>
      </c>
      <c r="Q756" s="565"/>
      <c r="R756" s="565"/>
      <c r="S756" s="565"/>
      <c r="T756" s="565"/>
      <c r="U756" s="565"/>
      <c r="V756" s="565"/>
      <c r="W756" s="565"/>
      <c r="X756" s="565"/>
      <c r="Y756" t="str">
        <f t="shared" ca="1" si="35"/>
        <v>PAGO</v>
      </c>
      <c r="AA756" t="s">
        <v>411</v>
      </c>
    </row>
    <row r="757" spans="1:27" x14ac:dyDescent="0.3">
      <c r="A757" t="s">
        <v>220</v>
      </c>
      <c r="B757" s="562">
        <v>2026</v>
      </c>
      <c r="C757" t="s">
        <v>248</v>
      </c>
      <c r="D757">
        <v>24225</v>
      </c>
      <c r="E757">
        <v>5526</v>
      </c>
      <c r="F757" s="179">
        <v>46210</v>
      </c>
      <c r="G757" t="s">
        <v>236</v>
      </c>
      <c r="I757" t="s">
        <v>270</v>
      </c>
      <c r="J757" s="583">
        <v>0</v>
      </c>
      <c r="K757" s="583">
        <v>1972.82</v>
      </c>
      <c r="L757" s="565">
        <f t="shared" si="33"/>
        <v>1972.82</v>
      </c>
      <c r="M757" s="179">
        <v>46245</v>
      </c>
      <c r="N757" s="179">
        <v>46232</v>
      </c>
      <c r="O757" s="565">
        <v>1972.83</v>
      </c>
      <c r="P757" s="565">
        <f t="shared" si="34"/>
        <v>-9.9999999999909051E-3</v>
      </c>
      <c r="Q757" s="565"/>
      <c r="R757" s="565"/>
      <c r="S757" s="565"/>
      <c r="T757" s="565"/>
      <c r="U757" s="565"/>
      <c r="V757" s="565"/>
      <c r="W757" s="565"/>
      <c r="X757" s="565"/>
      <c r="Y757" t="str">
        <f t="shared" ca="1" si="35"/>
        <v>PAGO</v>
      </c>
      <c r="AA757" t="s">
        <v>411</v>
      </c>
    </row>
    <row r="758" spans="1:27" x14ac:dyDescent="0.3">
      <c r="A758" t="s">
        <v>220</v>
      </c>
      <c r="B758" s="562">
        <v>2026</v>
      </c>
      <c r="C758" t="s">
        <v>248</v>
      </c>
      <c r="D758">
        <v>24225</v>
      </c>
      <c r="E758">
        <v>5526</v>
      </c>
      <c r="F758" s="179">
        <v>46210</v>
      </c>
      <c r="G758" t="s">
        <v>236</v>
      </c>
      <c r="I758" t="s">
        <v>270</v>
      </c>
      <c r="J758" s="583">
        <v>0</v>
      </c>
      <c r="K758" s="583">
        <v>1972.82</v>
      </c>
      <c r="L758" s="565">
        <f t="shared" si="33"/>
        <v>1972.82</v>
      </c>
      <c r="M758" s="179">
        <v>46252</v>
      </c>
      <c r="N758" s="179">
        <v>46255</v>
      </c>
      <c r="O758" s="565">
        <v>1972.83</v>
      </c>
      <c r="P758" s="565">
        <f t="shared" si="34"/>
        <v>-9.9999999999909051E-3</v>
      </c>
      <c r="Q758" s="565"/>
      <c r="R758" s="565"/>
      <c r="S758" s="565"/>
      <c r="T758" s="565"/>
      <c r="U758" s="565"/>
      <c r="V758" s="565"/>
      <c r="W758" s="565"/>
      <c r="X758" s="565"/>
      <c r="Y758" t="str">
        <f t="shared" ca="1" si="35"/>
        <v>PAGO</v>
      </c>
      <c r="AA758" t="s">
        <v>411</v>
      </c>
    </row>
    <row r="759" spans="1:27" x14ac:dyDescent="0.3">
      <c r="A759" t="s">
        <v>220</v>
      </c>
      <c r="B759" s="562">
        <v>2026</v>
      </c>
      <c r="C759" t="s">
        <v>248</v>
      </c>
      <c r="D759">
        <v>24140</v>
      </c>
      <c r="E759">
        <v>5526</v>
      </c>
      <c r="F759" s="179">
        <v>46206</v>
      </c>
      <c r="G759" t="s">
        <v>236</v>
      </c>
      <c r="I759" t="s">
        <v>270</v>
      </c>
      <c r="K759" s="583">
        <v>228.27</v>
      </c>
      <c r="L759" s="565">
        <f>J759+K759</f>
        <v>228.27</v>
      </c>
      <c r="M759" s="179">
        <v>46234</v>
      </c>
      <c r="N759" s="179">
        <v>46230</v>
      </c>
      <c r="O759" s="565">
        <v>228.28</v>
      </c>
      <c r="P759" s="565">
        <f>L759-O759</f>
        <v>-9.9999999999909051E-3</v>
      </c>
      <c r="Q759" s="565"/>
      <c r="R759" s="565"/>
      <c r="S759" s="565"/>
      <c r="T759" s="565"/>
      <c r="U759" s="565"/>
      <c r="V759" s="565"/>
      <c r="W759" s="565"/>
      <c r="X759" s="565"/>
      <c r="Y759" t="str">
        <f ca="1">IF(L759=0,"SEM VALOR",IF(P759&lt;=0.01,"PAGO",IF(M759="","SEM VENCIMENTO",IF(M759&lt;TODAY(),"VENCIDO","A VENCER"))))</f>
        <v>PAGO</v>
      </c>
    </row>
    <row r="760" spans="1:27" x14ac:dyDescent="0.3">
      <c r="A760" t="s">
        <v>220</v>
      </c>
      <c r="B760" s="562">
        <v>2026</v>
      </c>
      <c r="C760" t="s">
        <v>248</v>
      </c>
      <c r="D760">
        <v>24140</v>
      </c>
      <c r="E760">
        <v>5526</v>
      </c>
      <c r="F760" s="179">
        <v>46206</v>
      </c>
      <c r="G760" t="s">
        <v>236</v>
      </c>
      <c r="I760" t="s">
        <v>270</v>
      </c>
      <c r="K760" s="583">
        <v>228.27</v>
      </c>
      <c r="L760" s="565">
        <f>J760+K760</f>
        <v>228.27</v>
      </c>
      <c r="M760" s="179">
        <v>46241</v>
      </c>
      <c r="N760" s="179">
        <v>46231</v>
      </c>
      <c r="O760" s="565">
        <v>228.28</v>
      </c>
      <c r="P760" s="565">
        <f>L760-O760</f>
        <v>-9.9999999999909051E-3</v>
      </c>
      <c r="Q760" s="565"/>
      <c r="R760" s="565"/>
      <c r="S760" s="565"/>
      <c r="T760" s="565"/>
      <c r="U760" s="565"/>
      <c r="V760" s="565"/>
      <c r="W760" s="565"/>
      <c r="X760" s="565"/>
      <c r="Y760" t="str">
        <f ca="1">IF(L760=0,"SEM VALOR",IF(P760&lt;=0.01,"PAGO",IF(M760="","SEM VENCIMENTO",IF(M760&lt;TODAY(),"VENCIDO","A VENCER"))))</f>
        <v>PAGO</v>
      </c>
    </row>
    <row r="761" spans="1:27" x14ac:dyDescent="0.3">
      <c r="A761" t="s">
        <v>220</v>
      </c>
      <c r="B761" s="562">
        <v>2026</v>
      </c>
      <c r="C761" t="s">
        <v>248</v>
      </c>
      <c r="D761">
        <v>24140</v>
      </c>
      <c r="E761">
        <v>5526</v>
      </c>
      <c r="F761" s="179">
        <v>46206</v>
      </c>
      <c r="G761" t="s">
        <v>236</v>
      </c>
      <c r="I761" t="s">
        <v>270</v>
      </c>
      <c r="K761" s="583">
        <v>228.28</v>
      </c>
      <c r="L761" s="565">
        <f>J761+K761</f>
        <v>228.28</v>
      </c>
      <c r="M761" s="179">
        <v>46248</v>
      </c>
      <c r="N761" s="179">
        <v>46253</v>
      </c>
      <c r="O761" s="565">
        <v>228.27</v>
      </c>
      <c r="P761" s="565">
        <f>L761-O761</f>
        <v>9.9999999999909051E-3</v>
      </c>
      <c r="Q761" s="565"/>
      <c r="R761" s="565"/>
      <c r="S761" s="565"/>
      <c r="T761" s="565"/>
      <c r="U761" s="565"/>
      <c r="V761" s="565"/>
      <c r="W761" s="565"/>
      <c r="X761" s="565"/>
      <c r="Y761" t="str">
        <f ca="1">IF(L761=0,"SEM VALOR",IF(P761&lt;=0.01,"PAGO",IF(M761="","SEM VENCIMENTO",IF(M761&lt;TODAY(),"VENCIDO","A VENCER"))))</f>
        <v>PAGO</v>
      </c>
    </row>
    <row r="762" spans="1:27" x14ac:dyDescent="0.3">
      <c r="A762" t="s">
        <v>220</v>
      </c>
      <c r="B762" s="562">
        <v>2026</v>
      </c>
      <c r="C762" t="s">
        <v>248</v>
      </c>
      <c r="D762">
        <v>24226</v>
      </c>
      <c r="E762">
        <v>5600</v>
      </c>
      <c r="F762" s="179">
        <v>46210</v>
      </c>
      <c r="G762" t="s">
        <v>236</v>
      </c>
      <c r="I762" t="s">
        <v>270</v>
      </c>
      <c r="J762" s="583">
        <v>0</v>
      </c>
      <c r="K762" s="583">
        <v>577.87</v>
      </c>
      <c r="L762" s="565">
        <f t="shared" si="33"/>
        <v>577.87</v>
      </c>
      <c r="M762" s="179">
        <v>46238</v>
      </c>
      <c r="N762" s="179">
        <v>46231</v>
      </c>
      <c r="O762" s="565">
        <v>577.88</v>
      </c>
      <c r="P762" s="565">
        <f t="shared" si="34"/>
        <v>-9.9999999999909051E-3</v>
      </c>
      <c r="Q762" s="565"/>
      <c r="R762" s="565"/>
      <c r="S762" s="565"/>
      <c r="T762" s="565"/>
      <c r="U762" s="565"/>
      <c r="V762" s="565"/>
      <c r="W762" s="565"/>
      <c r="X762" s="565"/>
      <c r="Y762" t="str">
        <f t="shared" ca="1" si="35"/>
        <v>PAGO</v>
      </c>
      <c r="AA762" t="s">
        <v>411</v>
      </c>
    </row>
    <row r="763" spans="1:27" x14ac:dyDescent="0.3">
      <c r="A763" t="s">
        <v>220</v>
      </c>
      <c r="B763" s="562">
        <v>2026</v>
      </c>
      <c r="C763" t="s">
        <v>248</v>
      </c>
      <c r="D763">
        <v>24226</v>
      </c>
      <c r="E763">
        <v>5600</v>
      </c>
      <c r="F763" s="179">
        <v>46210</v>
      </c>
      <c r="G763" t="s">
        <v>236</v>
      </c>
      <c r="I763" t="s">
        <v>270</v>
      </c>
      <c r="J763" s="583">
        <v>0</v>
      </c>
      <c r="K763" s="583">
        <v>577.87</v>
      </c>
      <c r="L763" s="565">
        <f t="shared" si="33"/>
        <v>577.87</v>
      </c>
      <c r="M763" s="179">
        <v>46245</v>
      </c>
      <c r="N763" s="179">
        <v>46232</v>
      </c>
      <c r="O763" s="565">
        <v>577.88</v>
      </c>
      <c r="P763" s="565">
        <f t="shared" si="34"/>
        <v>-9.9999999999909051E-3</v>
      </c>
      <c r="Q763" s="565"/>
      <c r="R763" s="565"/>
      <c r="S763" s="565"/>
      <c r="T763" s="565"/>
      <c r="U763" s="565"/>
      <c r="V763" s="565"/>
      <c r="W763" s="565"/>
      <c r="X763" s="565"/>
      <c r="Y763" t="str">
        <f t="shared" ca="1" si="35"/>
        <v>PAGO</v>
      </c>
      <c r="AA763" t="s">
        <v>411</v>
      </c>
    </row>
    <row r="764" spans="1:27" x14ac:dyDescent="0.3">
      <c r="A764" t="s">
        <v>220</v>
      </c>
      <c r="B764" s="562">
        <v>2026</v>
      </c>
      <c r="C764" t="s">
        <v>248</v>
      </c>
      <c r="D764">
        <v>24226</v>
      </c>
      <c r="E764">
        <v>5600</v>
      </c>
      <c r="F764" s="179">
        <v>46210</v>
      </c>
      <c r="G764" t="s">
        <v>236</v>
      </c>
      <c r="I764" t="s">
        <v>270</v>
      </c>
      <c r="J764" s="583">
        <v>0</v>
      </c>
      <c r="K764" s="583">
        <v>577.88</v>
      </c>
      <c r="L764" s="565">
        <f t="shared" si="33"/>
        <v>577.88</v>
      </c>
      <c r="M764" s="179">
        <v>46252</v>
      </c>
      <c r="N764" s="179">
        <v>46258</v>
      </c>
      <c r="O764" s="565">
        <v>577.87</v>
      </c>
      <c r="P764" s="565">
        <f t="shared" si="34"/>
        <v>9.9999999999909051E-3</v>
      </c>
      <c r="Q764" s="565"/>
      <c r="R764" s="565"/>
      <c r="S764" s="565"/>
      <c r="T764" s="565"/>
      <c r="U764" s="565"/>
      <c r="V764" s="565"/>
      <c r="W764" s="565"/>
      <c r="X764" s="565"/>
      <c r="Y764" t="str">
        <f t="shared" ca="1" si="35"/>
        <v>PAGO</v>
      </c>
      <c r="AA764" t="s">
        <v>411</v>
      </c>
    </row>
    <row r="765" spans="1:27" x14ac:dyDescent="0.3">
      <c r="A765" t="s">
        <v>220</v>
      </c>
      <c r="B765" s="562">
        <v>2026</v>
      </c>
      <c r="C765" t="s">
        <v>249</v>
      </c>
      <c r="D765">
        <v>960</v>
      </c>
      <c r="E765">
        <v>936</v>
      </c>
      <c r="F765" s="179">
        <v>46212</v>
      </c>
      <c r="G765" t="s">
        <v>376</v>
      </c>
      <c r="I765" t="s">
        <v>272</v>
      </c>
      <c r="J765" s="583">
        <v>7502.2</v>
      </c>
      <c r="K765" s="583">
        <v>0</v>
      </c>
      <c r="L765" s="565">
        <f t="shared" si="33"/>
        <v>7502.2</v>
      </c>
      <c r="M765" s="179">
        <v>46233</v>
      </c>
      <c r="N765" s="179">
        <v>46273</v>
      </c>
      <c r="O765" s="565">
        <v>7502.2</v>
      </c>
      <c r="P765" s="565">
        <f t="shared" si="34"/>
        <v>0</v>
      </c>
      <c r="Q765" s="565"/>
      <c r="R765" s="565"/>
      <c r="S765" s="565"/>
      <c r="T765" s="565"/>
      <c r="U765" s="565"/>
      <c r="V765" s="565"/>
      <c r="W765" s="565"/>
      <c r="X765" s="565"/>
      <c r="Y765" t="str">
        <f t="shared" ca="1" si="35"/>
        <v>PAGO</v>
      </c>
      <c r="AA765" t="s">
        <v>411</v>
      </c>
    </row>
    <row r="766" spans="1:27" x14ac:dyDescent="0.3">
      <c r="A766" t="s">
        <v>220</v>
      </c>
      <c r="B766" s="562">
        <v>2026</v>
      </c>
      <c r="C766" t="s">
        <v>249</v>
      </c>
      <c r="D766">
        <v>960</v>
      </c>
      <c r="E766">
        <v>936</v>
      </c>
      <c r="F766" s="179">
        <v>46212</v>
      </c>
      <c r="G766" t="s">
        <v>376</v>
      </c>
      <c r="I766" t="s">
        <v>272</v>
      </c>
      <c r="J766" s="583">
        <v>7501</v>
      </c>
      <c r="K766" s="583">
        <v>0</v>
      </c>
      <c r="L766" s="565">
        <f t="shared" si="33"/>
        <v>7501</v>
      </c>
      <c r="M766" s="179">
        <v>46240</v>
      </c>
      <c r="N766" s="179">
        <v>46281</v>
      </c>
      <c r="O766" s="565">
        <v>7501</v>
      </c>
      <c r="P766" s="565">
        <f t="shared" si="34"/>
        <v>0</v>
      </c>
      <c r="Q766" s="565"/>
      <c r="R766" s="565"/>
      <c r="S766" s="565"/>
      <c r="T766" s="565"/>
      <c r="U766" s="565"/>
      <c r="V766" s="565"/>
      <c r="W766" s="565"/>
      <c r="X766" s="565"/>
      <c r="Y766" t="str">
        <f t="shared" ca="1" si="35"/>
        <v>PAGO</v>
      </c>
      <c r="AA766" t="s">
        <v>411</v>
      </c>
    </row>
    <row r="767" spans="1:27" x14ac:dyDescent="0.3">
      <c r="A767" t="s">
        <v>220</v>
      </c>
      <c r="B767" s="562">
        <v>2026</v>
      </c>
      <c r="C767" t="s">
        <v>249</v>
      </c>
      <c r="D767">
        <v>960</v>
      </c>
      <c r="E767">
        <v>936</v>
      </c>
      <c r="F767" s="179">
        <v>46212</v>
      </c>
      <c r="G767" t="s">
        <v>376</v>
      </c>
      <c r="I767" t="s">
        <v>272</v>
      </c>
      <c r="J767" s="583">
        <v>7501</v>
      </c>
      <c r="K767" s="583">
        <v>0</v>
      </c>
      <c r="L767" s="565">
        <f t="shared" si="33"/>
        <v>7501</v>
      </c>
      <c r="M767" s="179">
        <v>46247</v>
      </c>
      <c r="N767" s="179">
        <v>46281</v>
      </c>
      <c r="O767" s="565">
        <v>7501</v>
      </c>
      <c r="P767" s="565">
        <f t="shared" si="34"/>
        <v>0</v>
      </c>
      <c r="Q767" s="565"/>
      <c r="R767" s="565"/>
      <c r="S767" s="565"/>
      <c r="T767" s="565"/>
      <c r="U767" s="565"/>
      <c r="V767" s="565"/>
      <c r="W767" s="565"/>
      <c r="X767" s="565"/>
      <c r="Y767" t="str">
        <f t="shared" ca="1" si="35"/>
        <v>PAGO</v>
      </c>
      <c r="AA767" t="s">
        <v>411</v>
      </c>
    </row>
    <row r="768" spans="1:27" x14ac:dyDescent="0.3">
      <c r="A768" t="s">
        <v>220</v>
      </c>
      <c r="B768" s="562">
        <v>2026</v>
      </c>
      <c r="C768" t="s">
        <v>249</v>
      </c>
      <c r="D768">
        <v>960</v>
      </c>
      <c r="E768">
        <v>936</v>
      </c>
      <c r="F768" s="179">
        <v>46212</v>
      </c>
      <c r="G768" t="s">
        <v>376</v>
      </c>
      <c r="I768" t="s">
        <v>272</v>
      </c>
      <c r="J768" s="583">
        <v>7501</v>
      </c>
      <c r="K768" s="583">
        <v>0</v>
      </c>
      <c r="L768" s="565">
        <f t="shared" si="33"/>
        <v>7501</v>
      </c>
      <c r="M768" s="179">
        <v>46254</v>
      </c>
      <c r="N768" s="179">
        <v>46290</v>
      </c>
      <c r="O768" s="565">
        <v>7501</v>
      </c>
      <c r="P768" s="565">
        <f t="shared" si="34"/>
        <v>0</v>
      </c>
      <c r="Q768" s="565"/>
      <c r="R768" s="565"/>
      <c r="S768" s="565"/>
      <c r="T768" s="565"/>
      <c r="U768" s="565"/>
      <c r="V768" s="565"/>
      <c r="W768" s="565"/>
      <c r="X768" s="565"/>
      <c r="Y768" t="str">
        <f t="shared" ca="1" si="35"/>
        <v>PAGO</v>
      </c>
      <c r="AA768" t="s">
        <v>411</v>
      </c>
    </row>
    <row r="769" spans="1:27" x14ac:dyDescent="0.3">
      <c r="A769" t="s">
        <v>220</v>
      </c>
      <c r="B769" s="562">
        <v>2026</v>
      </c>
      <c r="C769" t="s">
        <v>249</v>
      </c>
      <c r="D769">
        <v>960</v>
      </c>
      <c r="E769">
        <v>936</v>
      </c>
      <c r="F769" s="179">
        <v>46212</v>
      </c>
      <c r="G769" t="s">
        <v>376</v>
      </c>
      <c r="I769" t="s">
        <v>272</v>
      </c>
      <c r="J769" s="583">
        <v>7501</v>
      </c>
      <c r="K769" s="583">
        <v>0</v>
      </c>
      <c r="L769" s="565">
        <f t="shared" si="33"/>
        <v>7501</v>
      </c>
      <c r="M769" s="179">
        <v>46261</v>
      </c>
      <c r="N769" s="179">
        <v>46297</v>
      </c>
      <c r="O769" s="565">
        <v>7501</v>
      </c>
      <c r="P769" s="565">
        <f t="shared" si="34"/>
        <v>0</v>
      </c>
      <c r="Q769" s="565"/>
      <c r="R769" s="565"/>
      <c r="S769" s="565"/>
      <c r="T769" s="565"/>
      <c r="U769" s="565"/>
      <c r="V769" s="565"/>
      <c r="W769" s="565"/>
      <c r="X769" s="565"/>
      <c r="Y769" t="str">
        <f t="shared" ca="1" si="35"/>
        <v>PAGO</v>
      </c>
      <c r="AA769" t="s">
        <v>411</v>
      </c>
    </row>
    <row r="770" spans="1:27" x14ac:dyDescent="0.3">
      <c r="A770" t="s">
        <v>220</v>
      </c>
      <c r="B770" s="562">
        <v>2026</v>
      </c>
      <c r="C770" t="s">
        <v>249</v>
      </c>
      <c r="D770">
        <v>960</v>
      </c>
      <c r="E770">
        <v>936</v>
      </c>
      <c r="F770" s="179">
        <v>46212</v>
      </c>
      <c r="G770" t="s">
        <v>376</v>
      </c>
      <c r="I770" t="s">
        <v>272</v>
      </c>
      <c r="J770" s="583">
        <v>7501</v>
      </c>
      <c r="K770" s="583">
        <v>0</v>
      </c>
      <c r="L770" s="565">
        <f t="shared" si="33"/>
        <v>7501</v>
      </c>
      <c r="M770" s="179">
        <v>46268</v>
      </c>
      <c r="N770" s="179">
        <v>46297</v>
      </c>
      <c r="O770" s="565">
        <v>7501</v>
      </c>
      <c r="P770" s="565">
        <f t="shared" si="34"/>
        <v>0</v>
      </c>
      <c r="Q770" s="565"/>
      <c r="R770" s="565"/>
      <c r="S770" s="565"/>
      <c r="T770" s="565"/>
      <c r="U770" s="565"/>
      <c r="V770" s="565"/>
      <c r="W770" s="565"/>
      <c r="X770" s="565"/>
      <c r="Y770" t="str">
        <f t="shared" ca="1" si="35"/>
        <v>PAGO</v>
      </c>
      <c r="AA770" t="s">
        <v>411</v>
      </c>
    </row>
    <row r="771" spans="1:27" x14ac:dyDescent="0.3">
      <c r="A771" t="s">
        <v>220</v>
      </c>
      <c r="B771" s="562">
        <v>2026</v>
      </c>
      <c r="C771" t="s">
        <v>249</v>
      </c>
      <c r="D771">
        <v>961</v>
      </c>
      <c r="E771">
        <v>937</v>
      </c>
      <c r="F771" s="179">
        <v>46212</v>
      </c>
      <c r="G771" t="s">
        <v>377</v>
      </c>
      <c r="I771" t="s">
        <v>272</v>
      </c>
      <c r="J771" s="583">
        <v>11970</v>
      </c>
      <c r="K771" s="583">
        <v>0</v>
      </c>
      <c r="L771" s="565">
        <f t="shared" si="33"/>
        <v>11970</v>
      </c>
      <c r="M771" s="179">
        <v>46233</v>
      </c>
      <c r="N771" s="179">
        <v>46281</v>
      </c>
      <c r="O771" s="565">
        <v>11970</v>
      </c>
      <c r="P771" s="565">
        <f t="shared" si="34"/>
        <v>0</v>
      </c>
      <c r="Q771" s="565"/>
      <c r="R771" s="565"/>
      <c r="S771" s="565"/>
      <c r="T771" s="565"/>
      <c r="U771" s="565"/>
      <c r="V771" s="565"/>
      <c r="W771" s="565"/>
      <c r="X771" s="565"/>
      <c r="Y771" t="str">
        <f t="shared" ca="1" si="35"/>
        <v>PAGO</v>
      </c>
      <c r="AA771" t="s">
        <v>411</v>
      </c>
    </row>
    <row r="772" spans="1:27" x14ac:dyDescent="0.3">
      <c r="A772" t="s">
        <v>220</v>
      </c>
      <c r="B772" s="562">
        <v>2026</v>
      </c>
      <c r="C772" t="s">
        <v>249</v>
      </c>
      <c r="D772">
        <v>961</v>
      </c>
      <c r="E772">
        <v>937</v>
      </c>
      <c r="F772" s="179">
        <v>46212</v>
      </c>
      <c r="G772" t="s">
        <v>377</v>
      </c>
      <c r="I772" t="s">
        <v>272</v>
      </c>
      <c r="J772" s="583">
        <v>11970</v>
      </c>
      <c r="K772" s="583">
        <v>0</v>
      </c>
      <c r="L772" s="565">
        <f t="shared" si="33"/>
        <v>11970</v>
      </c>
      <c r="M772" s="179">
        <v>46240</v>
      </c>
      <c r="N772" s="179">
        <v>46281</v>
      </c>
      <c r="O772" s="565">
        <v>11970</v>
      </c>
      <c r="P772" s="565">
        <f t="shared" si="34"/>
        <v>0</v>
      </c>
      <c r="Q772" s="565"/>
      <c r="R772" s="565"/>
      <c r="S772" s="565"/>
      <c r="T772" s="565"/>
      <c r="U772" s="565"/>
      <c r="V772" s="565"/>
      <c r="W772" s="565"/>
      <c r="X772" s="565"/>
      <c r="Y772" t="str">
        <f t="shared" ca="1" si="35"/>
        <v>PAGO</v>
      </c>
      <c r="AA772" t="s">
        <v>411</v>
      </c>
    </row>
    <row r="773" spans="1:27" x14ac:dyDescent="0.3">
      <c r="A773" t="s">
        <v>220</v>
      </c>
      <c r="B773" s="562">
        <v>2026</v>
      </c>
      <c r="C773" t="s">
        <v>249</v>
      </c>
      <c r="D773">
        <v>961</v>
      </c>
      <c r="E773">
        <v>937</v>
      </c>
      <c r="F773" s="179">
        <v>46212</v>
      </c>
      <c r="G773" t="s">
        <v>377</v>
      </c>
      <c r="I773" t="s">
        <v>272</v>
      </c>
      <c r="J773" s="583">
        <v>11970</v>
      </c>
      <c r="K773" s="583">
        <v>0</v>
      </c>
      <c r="L773" s="565">
        <f t="shared" si="33"/>
        <v>11970</v>
      </c>
      <c r="M773" s="179">
        <v>46247</v>
      </c>
      <c r="N773" s="179">
        <v>46281</v>
      </c>
      <c r="O773" s="565">
        <v>11970</v>
      </c>
      <c r="P773" s="565">
        <f t="shared" si="34"/>
        <v>0</v>
      </c>
      <c r="Q773" s="565"/>
      <c r="R773" s="565"/>
      <c r="S773" s="565"/>
      <c r="T773" s="565"/>
      <c r="U773" s="565"/>
      <c r="V773" s="565"/>
      <c r="W773" s="565"/>
      <c r="X773" s="565"/>
      <c r="Y773" t="str">
        <f t="shared" ca="1" si="35"/>
        <v>PAGO</v>
      </c>
      <c r="AA773" t="s">
        <v>411</v>
      </c>
    </row>
    <row r="774" spans="1:27" x14ac:dyDescent="0.3">
      <c r="A774" t="s">
        <v>220</v>
      </c>
      <c r="B774" s="562">
        <v>2026</v>
      </c>
      <c r="C774" t="s">
        <v>249</v>
      </c>
      <c r="D774">
        <v>961</v>
      </c>
      <c r="E774">
        <v>937</v>
      </c>
      <c r="F774" s="179">
        <v>46212</v>
      </c>
      <c r="G774" t="s">
        <v>377</v>
      </c>
      <c r="I774" t="s">
        <v>272</v>
      </c>
      <c r="J774" s="583">
        <v>11970</v>
      </c>
      <c r="K774" s="583">
        <v>0</v>
      </c>
      <c r="L774" s="565">
        <f t="shared" ref="L774:L802" si="36">J774+K774</f>
        <v>11970</v>
      </c>
      <c r="M774" s="179">
        <v>46254</v>
      </c>
      <c r="N774" s="179">
        <v>46290</v>
      </c>
      <c r="O774" s="565">
        <v>11970</v>
      </c>
      <c r="P774" s="565">
        <f t="shared" ref="P774:P802" si="37">L774-O774</f>
        <v>0</v>
      </c>
      <c r="Q774" s="565"/>
      <c r="R774" s="565"/>
      <c r="S774" s="565"/>
      <c r="T774" s="565"/>
      <c r="U774" s="565"/>
      <c r="V774" s="565"/>
      <c r="W774" s="565"/>
      <c r="X774" s="565"/>
      <c r="Y774" t="str">
        <f t="shared" ref="Y774:Y802" ca="1" si="38">IF(L774=0,"SEM VALOR",IF(P774&lt;=0.01,"PAGO",IF(M774="","SEM VENCIMENTO",IF(M774&lt;TODAY(),"VENCIDO","A VENCER"))))</f>
        <v>PAGO</v>
      </c>
      <c r="AA774" t="s">
        <v>411</v>
      </c>
    </row>
    <row r="775" spans="1:27" x14ac:dyDescent="0.3">
      <c r="A775" t="s">
        <v>220</v>
      </c>
      <c r="B775" s="562">
        <v>2026</v>
      </c>
      <c r="C775" t="s">
        <v>249</v>
      </c>
      <c r="D775">
        <v>961</v>
      </c>
      <c r="E775">
        <v>937</v>
      </c>
      <c r="F775" s="179">
        <v>46212</v>
      </c>
      <c r="G775" t="s">
        <v>377</v>
      </c>
      <c r="I775" t="s">
        <v>272</v>
      </c>
      <c r="J775" s="583">
        <v>11970</v>
      </c>
      <c r="K775" s="583">
        <v>0</v>
      </c>
      <c r="L775" s="565">
        <f t="shared" si="36"/>
        <v>11970</v>
      </c>
      <c r="M775" s="179">
        <v>46261</v>
      </c>
      <c r="N775" s="179">
        <v>46297</v>
      </c>
      <c r="O775" s="565">
        <v>11970</v>
      </c>
      <c r="P775" s="565">
        <f t="shared" si="37"/>
        <v>0</v>
      </c>
      <c r="Q775" s="565"/>
      <c r="R775" s="565"/>
      <c r="S775" s="565"/>
      <c r="T775" s="565"/>
      <c r="U775" s="565"/>
      <c r="V775" s="565"/>
      <c r="W775" s="565"/>
      <c r="X775" s="565"/>
      <c r="Y775" t="str">
        <f t="shared" ca="1" si="38"/>
        <v>PAGO</v>
      </c>
      <c r="AA775" t="s">
        <v>411</v>
      </c>
    </row>
    <row r="776" spans="1:27" x14ac:dyDescent="0.3">
      <c r="A776" t="s">
        <v>220</v>
      </c>
      <c r="B776" s="562">
        <v>2026</v>
      </c>
      <c r="C776" t="s">
        <v>249</v>
      </c>
      <c r="D776">
        <v>961</v>
      </c>
      <c r="E776">
        <v>937</v>
      </c>
      <c r="F776" s="179">
        <v>46212</v>
      </c>
      <c r="G776" t="s">
        <v>377</v>
      </c>
      <c r="I776" t="s">
        <v>272</v>
      </c>
      <c r="J776" s="583">
        <v>11970</v>
      </c>
      <c r="K776" s="583">
        <v>0</v>
      </c>
      <c r="L776" s="565">
        <f t="shared" si="36"/>
        <v>11970</v>
      </c>
      <c r="M776" s="179">
        <v>46268</v>
      </c>
      <c r="N776" s="179">
        <v>46297</v>
      </c>
      <c r="O776" s="565">
        <v>11970</v>
      </c>
      <c r="P776" s="565">
        <f t="shared" si="37"/>
        <v>0</v>
      </c>
      <c r="Q776" s="565"/>
      <c r="R776" s="565"/>
      <c r="S776" s="565"/>
      <c r="T776" s="565"/>
      <c r="U776" s="565"/>
      <c r="V776" s="565"/>
      <c r="W776" s="565"/>
      <c r="X776" s="565"/>
      <c r="Y776" t="str">
        <f t="shared" ca="1" si="38"/>
        <v>PAGO</v>
      </c>
      <c r="AA776" t="s">
        <v>411</v>
      </c>
    </row>
    <row r="777" spans="1:27" x14ac:dyDescent="0.3">
      <c r="A777" t="s">
        <v>220</v>
      </c>
      <c r="B777" s="562">
        <v>2026</v>
      </c>
      <c r="C777" t="s">
        <v>249</v>
      </c>
      <c r="D777">
        <v>962</v>
      </c>
      <c r="E777">
        <v>938</v>
      </c>
      <c r="F777" s="179">
        <v>46212</v>
      </c>
      <c r="G777" t="s">
        <v>378</v>
      </c>
      <c r="I777" t="s">
        <v>272</v>
      </c>
      <c r="J777" s="583">
        <v>4294.4399999999996</v>
      </c>
      <c r="K777" s="583">
        <v>0</v>
      </c>
      <c r="L777" s="565">
        <f t="shared" si="36"/>
        <v>4294.4399999999996</v>
      </c>
      <c r="M777" s="179">
        <v>46233</v>
      </c>
      <c r="N777" s="179">
        <v>46281</v>
      </c>
      <c r="O777" s="565">
        <v>4294.4399999999996</v>
      </c>
      <c r="P777" s="565">
        <f t="shared" si="37"/>
        <v>0</v>
      </c>
      <c r="Q777" s="565"/>
      <c r="R777" s="565"/>
      <c r="S777" s="565"/>
      <c r="T777" s="565"/>
      <c r="U777" s="565"/>
      <c r="V777" s="565"/>
      <c r="W777" s="565"/>
      <c r="X777" s="565"/>
      <c r="Y777" t="str">
        <f t="shared" ca="1" si="38"/>
        <v>PAGO</v>
      </c>
      <c r="AA777" t="s">
        <v>411</v>
      </c>
    </row>
    <row r="778" spans="1:27" x14ac:dyDescent="0.3">
      <c r="A778" t="s">
        <v>220</v>
      </c>
      <c r="B778" s="562">
        <v>2026</v>
      </c>
      <c r="C778" t="s">
        <v>249</v>
      </c>
      <c r="D778">
        <v>962</v>
      </c>
      <c r="E778">
        <v>938</v>
      </c>
      <c r="F778" s="179">
        <v>46212</v>
      </c>
      <c r="G778" t="s">
        <v>378</v>
      </c>
      <c r="I778" t="s">
        <v>272</v>
      </c>
      <c r="J778" s="583">
        <v>4293</v>
      </c>
      <c r="K778" s="583">
        <v>0</v>
      </c>
      <c r="L778" s="565">
        <f t="shared" si="36"/>
        <v>4293</v>
      </c>
      <c r="M778" s="179">
        <v>46240</v>
      </c>
      <c r="N778" s="179">
        <v>46281</v>
      </c>
      <c r="O778" s="565">
        <v>4293</v>
      </c>
      <c r="P778" s="565">
        <f t="shared" si="37"/>
        <v>0</v>
      </c>
      <c r="Q778" s="565"/>
      <c r="R778" s="565"/>
      <c r="S778" s="565"/>
      <c r="T778" s="565"/>
      <c r="U778" s="565"/>
      <c r="V778" s="565"/>
      <c r="W778" s="565"/>
      <c r="X778" s="565"/>
      <c r="Y778" t="str">
        <f t="shared" ca="1" si="38"/>
        <v>PAGO</v>
      </c>
      <c r="AA778" t="s">
        <v>411</v>
      </c>
    </row>
    <row r="779" spans="1:27" x14ac:dyDescent="0.3">
      <c r="A779" t="s">
        <v>220</v>
      </c>
      <c r="B779" s="562">
        <v>2026</v>
      </c>
      <c r="C779" t="s">
        <v>249</v>
      </c>
      <c r="D779">
        <v>962</v>
      </c>
      <c r="E779">
        <v>938</v>
      </c>
      <c r="F779" s="179">
        <v>46212</v>
      </c>
      <c r="G779" t="s">
        <v>378</v>
      </c>
      <c r="I779" t="s">
        <v>272</v>
      </c>
      <c r="J779" s="583">
        <v>4293</v>
      </c>
      <c r="K779" s="583">
        <v>0</v>
      </c>
      <c r="L779" s="565">
        <f t="shared" si="36"/>
        <v>4293</v>
      </c>
      <c r="M779" s="179">
        <v>46247</v>
      </c>
      <c r="N779" s="179">
        <v>46281</v>
      </c>
      <c r="O779" s="565">
        <v>4293</v>
      </c>
      <c r="P779" s="565">
        <f t="shared" si="37"/>
        <v>0</v>
      </c>
      <c r="Q779" s="565"/>
      <c r="R779" s="565"/>
      <c r="S779" s="565"/>
      <c r="T779" s="565"/>
      <c r="U779" s="565"/>
      <c r="V779" s="565"/>
      <c r="W779" s="565"/>
      <c r="X779" s="565"/>
      <c r="Y779" t="str">
        <f t="shared" ca="1" si="38"/>
        <v>PAGO</v>
      </c>
      <c r="AA779" t="s">
        <v>411</v>
      </c>
    </row>
    <row r="780" spans="1:27" x14ac:dyDescent="0.3">
      <c r="A780" t="s">
        <v>220</v>
      </c>
      <c r="B780" s="562">
        <v>2026</v>
      </c>
      <c r="C780" t="s">
        <v>249</v>
      </c>
      <c r="D780">
        <v>962</v>
      </c>
      <c r="E780">
        <v>938</v>
      </c>
      <c r="F780" s="179">
        <v>46212</v>
      </c>
      <c r="G780" t="s">
        <v>378</v>
      </c>
      <c r="I780" t="s">
        <v>272</v>
      </c>
      <c r="J780" s="583">
        <v>4293</v>
      </c>
      <c r="K780" s="583">
        <v>0</v>
      </c>
      <c r="L780" s="565">
        <f t="shared" si="36"/>
        <v>4293</v>
      </c>
      <c r="M780" s="179">
        <v>46254</v>
      </c>
      <c r="N780" s="179">
        <v>46290</v>
      </c>
      <c r="O780" s="565">
        <v>4293</v>
      </c>
      <c r="P780" s="565">
        <f t="shared" si="37"/>
        <v>0</v>
      </c>
      <c r="Q780" s="565"/>
      <c r="R780" s="565"/>
      <c r="S780" s="565"/>
      <c r="T780" s="565"/>
      <c r="U780" s="565"/>
      <c r="V780" s="565"/>
      <c r="W780" s="565"/>
      <c r="X780" s="565"/>
      <c r="Y780" t="str">
        <f t="shared" ca="1" si="38"/>
        <v>PAGO</v>
      </c>
      <c r="AA780" t="s">
        <v>411</v>
      </c>
    </row>
    <row r="781" spans="1:27" x14ac:dyDescent="0.3">
      <c r="A781" t="s">
        <v>220</v>
      </c>
      <c r="B781" s="562">
        <v>2026</v>
      </c>
      <c r="C781" t="s">
        <v>249</v>
      </c>
      <c r="D781">
        <v>962</v>
      </c>
      <c r="E781">
        <v>938</v>
      </c>
      <c r="F781" s="179">
        <v>46212</v>
      </c>
      <c r="G781" t="s">
        <v>378</v>
      </c>
      <c r="I781" t="s">
        <v>272</v>
      </c>
      <c r="J781" s="583">
        <v>4293</v>
      </c>
      <c r="K781" s="583">
        <v>0</v>
      </c>
      <c r="L781" s="565">
        <f t="shared" si="36"/>
        <v>4293</v>
      </c>
      <c r="M781" s="179">
        <v>46261</v>
      </c>
      <c r="N781" s="179">
        <v>46297</v>
      </c>
      <c r="O781" s="565">
        <v>4293</v>
      </c>
      <c r="P781" s="565">
        <f t="shared" si="37"/>
        <v>0</v>
      </c>
      <c r="Q781" s="565"/>
      <c r="R781" s="565"/>
      <c r="S781" s="565"/>
      <c r="T781" s="565"/>
      <c r="U781" s="565"/>
      <c r="V781" s="565"/>
      <c r="W781" s="565"/>
      <c r="X781" s="565"/>
      <c r="Y781" t="str">
        <f t="shared" ca="1" si="38"/>
        <v>PAGO</v>
      </c>
      <c r="AA781" t="s">
        <v>411</v>
      </c>
    </row>
    <row r="782" spans="1:27" x14ac:dyDescent="0.3">
      <c r="A782" t="s">
        <v>220</v>
      </c>
      <c r="B782" s="562">
        <v>2026</v>
      </c>
      <c r="C782" t="s">
        <v>249</v>
      </c>
      <c r="D782">
        <v>962</v>
      </c>
      <c r="E782">
        <v>938</v>
      </c>
      <c r="F782" s="179">
        <v>46212</v>
      </c>
      <c r="G782" t="s">
        <v>378</v>
      </c>
      <c r="I782" t="s">
        <v>272</v>
      </c>
      <c r="J782" s="583">
        <v>4293</v>
      </c>
      <c r="K782" s="583">
        <v>0</v>
      </c>
      <c r="L782" s="565">
        <f t="shared" si="36"/>
        <v>4293</v>
      </c>
      <c r="M782" s="179">
        <v>46268</v>
      </c>
      <c r="N782" s="179">
        <v>46297</v>
      </c>
      <c r="O782" s="565">
        <v>4293</v>
      </c>
      <c r="P782" s="565">
        <f t="shared" si="37"/>
        <v>0</v>
      </c>
      <c r="Q782" s="565"/>
      <c r="R782" s="565"/>
      <c r="S782" s="565"/>
      <c r="T782" s="565"/>
      <c r="U782" s="565"/>
      <c r="V782" s="565"/>
      <c r="W782" s="565"/>
      <c r="X782" s="565"/>
      <c r="Y782" t="str">
        <f t="shared" ca="1" si="38"/>
        <v>PAGO</v>
      </c>
      <c r="AA782" t="s">
        <v>411</v>
      </c>
    </row>
    <row r="783" spans="1:27" x14ac:dyDescent="0.3">
      <c r="A783" t="s">
        <v>220</v>
      </c>
      <c r="B783" s="562">
        <v>2026</v>
      </c>
      <c r="C783" t="s">
        <v>249</v>
      </c>
      <c r="D783">
        <v>24315</v>
      </c>
      <c r="E783">
        <v>5727</v>
      </c>
      <c r="F783" s="179">
        <v>46213</v>
      </c>
      <c r="G783" t="s">
        <v>255</v>
      </c>
      <c r="I783" t="s">
        <v>272</v>
      </c>
      <c r="J783" s="583">
        <v>5247</v>
      </c>
      <c r="K783" s="583">
        <v>0</v>
      </c>
      <c r="L783" s="565">
        <f t="shared" si="36"/>
        <v>5247</v>
      </c>
      <c r="M783" s="179">
        <v>46213</v>
      </c>
      <c r="N783" s="179">
        <v>46213</v>
      </c>
      <c r="O783" s="565">
        <v>5247</v>
      </c>
      <c r="P783" s="565">
        <f t="shared" si="37"/>
        <v>0</v>
      </c>
      <c r="Q783" s="565"/>
      <c r="R783" s="565"/>
      <c r="S783" s="565"/>
      <c r="T783" s="565"/>
      <c r="U783" s="565"/>
      <c r="V783" s="565"/>
      <c r="W783" s="565"/>
      <c r="X783" s="565"/>
      <c r="Y783" t="str">
        <f t="shared" ca="1" si="38"/>
        <v>PAGO</v>
      </c>
      <c r="AA783" t="s">
        <v>411</v>
      </c>
    </row>
    <row r="784" spans="1:27" x14ac:dyDescent="0.3">
      <c r="A784" t="s">
        <v>220</v>
      </c>
      <c r="B784" s="562">
        <v>2026</v>
      </c>
      <c r="C784" t="s">
        <v>248</v>
      </c>
      <c r="D784">
        <v>24359</v>
      </c>
      <c r="E784">
        <v>5688</v>
      </c>
      <c r="F784" s="179">
        <v>46216</v>
      </c>
      <c r="G784" t="s">
        <v>236</v>
      </c>
      <c r="I784" t="s">
        <v>270</v>
      </c>
      <c r="J784" s="583">
        <v>0</v>
      </c>
      <c r="K784" s="583">
        <v>543.37</v>
      </c>
      <c r="L784" s="565">
        <f t="shared" si="36"/>
        <v>543.37</v>
      </c>
      <c r="M784" s="179">
        <v>46251</v>
      </c>
      <c r="N784" s="179">
        <v>46232</v>
      </c>
      <c r="O784" s="565">
        <v>543.38</v>
      </c>
      <c r="P784" s="565">
        <f t="shared" si="37"/>
        <v>-9.9999999999909051E-3</v>
      </c>
      <c r="Q784" s="565"/>
      <c r="R784" s="565"/>
      <c r="S784" s="565"/>
      <c r="T784" s="565"/>
      <c r="U784" s="565"/>
      <c r="V784" s="565"/>
      <c r="W784" s="565"/>
      <c r="X784" s="565"/>
      <c r="Y784" t="str">
        <f t="shared" ca="1" si="38"/>
        <v>PAGO</v>
      </c>
      <c r="AA784" t="s">
        <v>411</v>
      </c>
    </row>
    <row r="785" spans="1:27" x14ac:dyDescent="0.3">
      <c r="A785" t="s">
        <v>220</v>
      </c>
      <c r="B785" s="562">
        <v>2026</v>
      </c>
      <c r="C785" t="s">
        <v>248</v>
      </c>
      <c r="D785">
        <v>24360</v>
      </c>
      <c r="E785">
        <v>5600</v>
      </c>
      <c r="F785" s="179">
        <v>46216</v>
      </c>
      <c r="G785" t="s">
        <v>236</v>
      </c>
      <c r="I785" t="s">
        <v>270</v>
      </c>
      <c r="J785" s="583">
        <v>0</v>
      </c>
      <c r="K785" s="583">
        <v>410.55</v>
      </c>
      <c r="L785" s="565">
        <f t="shared" si="36"/>
        <v>410.55</v>
      </c>
      <c r="M785" s="179">
        <v>46251</v>
      </c>
      <c r="N785" s="179">
        <v>46232</v>
      </c>
      <c r="O785" s="565">
        <v>410.56</v>
      </c>
      <c r="P785" s="565">
        <f t="shared" si="37"/>
        <v>-9.9999999999909051E-3</v>
      </c>
      <c r="Q785" s="565"/>
      <c r="R785" s="565"/>
      <c r="S785" s="565"/>
      <c r="T785" s="565"/>
      <c r="U785" s="565"/>
      <c r="V785" s="565"/>
      <c r="W785" s="565"/>
      <c r="X785" s="565"/>
      <c r="Y785" t="str">
        <f t="shared" ca="1" si="38"/>
        <v>PAGO</v>
      </c>
      <c r="AA785" t="s">
        <v>411</v>
      </c>
    </row>
    <row r="786" spans="1:27" x14ac:dyDescent="0.3">
      <c r="A786" t="s">
        <v>220</v>
      </c>
      <c r="B786" s="562">
        <v>2026</v>
      </c>
      <c r="C786" t="s">
        <v>248</v>
      </c>
      <c r="D786">
        <v>24360</v>
      </c>
      <c r="E786">
        <v>5600</v>
      </c>
      <c r="F786" s="179">
        <v>46216</v>
      </c>
      <c r="G786" t="s">
        <v>236</v>
      </c>
      <c r="I786" t="s">
        <v>270</v>
      </c>
      <c r="J786" s="583">
        <v>0</v>
      </c>
      <c r="K786" s="583">
        <v>410.54</v>
      </c>
      <c r="L786" s="565">
        <f t="shared" si="36"/>
        <v>410.54</v>
      </c>
      <c r="M786" s="179">
        <v>46258</v>
      </c>
      <c r="N786" s="179">
        <v>46258</v>
      </c>
      <c r="O786" s="565">
        <v>410.55</v>
      </c>
      <c r="P786" s="565">
        <f t="shared" si="37"/>
        <v>-9.9999999999909051E-3</v>
      </c>
      <c r="Q786" s="565"/>
      <c r="R786" s="565"/>
      <c r="S786" s="565"/>
      <c r="T786" s="565"/>
      <c r="U786" s="565"/>
      <c r="V786" s="565"/>
      <c r="W786" s="565"/>
      <c r="X786" s="565"/>
      <c r="Y786" t="str">
        <f t="shared" ca="1" si="38"/>
        <v>PAGO</v>
      </c>
      <c r="AA786" t="s">
        <v>411</v>
      </c>
    </row>
    <row r="787" spans="1:27" x14ac:dyDescent="0.3">
      <c r="A787" t="s">
        <v>220</v>
      </c>
      <c r="B787" s="562">
        <v>2026</v>
      </c>
      <c r="C787" t="s">
        <v>248</v>
      </c>
      <c r="D787">
        <v>24403</v>
      </c>
      <c r="E787">
        <v>5707</v>
      </c>
      <c r="F787" s="179">
        <v>46217</v>
      </c>
      <c r="G787" t="s">
        <v>237</v>
      </c>
      <c r="I787" t="s">
        <v>270</v>
      </c>
      <c r="J787" s="583">
        <v>0</v>
      </c>
      <c r="K787" s="583">
        <v>7105.72</v>
      </c>
      <c r="L787" s="565">
        <f t="shared" si="36"/>
        <v>7105.72</v>
      </c>
      <c r="M787" s="179">
        <v>46238</v>
      </c>
      <c r="N787" s="179">
        <v>46238</v>
      </c>
      <c r="O787" s="565">
        <v>7105.72</v>
      </c>
      <c r="P787" s="565">
        <f t="shared" si="37"/>
        <v>0</v>
      </c>
      <c r="Q787" s="565"/>
      <c r="R787" s="565"/>
      <c r="S787" s="565"/>
      <c r="T787" s="565"/>
      <c r="U787" s="565"/>
      <c r="V787" s="565"/>
      <c r="W787" s="565"/>
      <c r="X787" s="565"/>
      <c r="Y787" t="str">
        <f t="shared" ca="1" si="38"/>
        <v>PAGO</v>
      </c>
      <c r="AA787" t="s">
        <v>411</v>
      </c>
    </row>
    <row r="788" spans="1:27" x14ac:dyDescent="0.3">
      <c r="A788" t="s">
        <v>220</v>
      </c>
      <c r="B788" s="562">
        <v>2026</v>
      </c>
      <c r="C788" t="s">
        <v>248</v>
      </c>
      <c r="D788">
        <v>24405</v>
      </c>
      <c r="E788">
        <v>5757</v>
      </c>
      <c r="F788" s="179">
        <v>46217</v>
      </c>
      <c r="G788" t="s">
        <v>236</v>
      </c>
      <c r="I788" t="s">
        <v>270</v>
      </c>
      <c r="J788" s="583">
        <v>0</v>
      </c>
      <c r="K788" s="583">
        <v>418.56</v>
      </c>
      <c r="L788" s="565">
        <f>J788+K788</f>
        <v>418.56</v>
      </c>
      <c r="M788" s="179">
        <v>46252</v>
      </c>
      <c r="N788" s="179">
        <v>46232</v>
      </c>
      <c r="O788" s="565">
        <v>402.55</v>
      </c>
      <c r="P788" s="565">
        <f>L788-O788</f>
        <v>16.009999999999991</v>
      </c>
      <c r="Q788" s="565"/>
      <c r="R788" s="565"/>
      <c r="S788" s="565"/>
      <c r="T788" s="565"/>
      <c r="U788" s="565"/>
      <c r="V788" s="565"/>
      <c r="W788" s="565"/>
      <c r="X788" s="565"/>
      <c r="Y788" t="str">
        <f t="shared" ca="1" si="38"/>
        <v>VENCIDO</v>
      </c>
      <c r="AA788" t="s">
        <v>411</v>
      </c>
    </row>
    <row r="789" spans="1:27" x14ac:dyDescent="0.3">
      <c r="A789" t="s">
        <v>220</v>
      </c>
      <c r="B789" s="562">
        <v>2026</v>
      </c>
      <c r="C789" t="s">
        <v>249</v>
      </c>
      <c r="D789">
        <v>966</v>
      </c>
      <c r="E789">
        <v>946</v>
      </c>
      <c r="F789" s="179">
        <v>46218</v>
      </c>
      <c r="G789" t="s">
        <v>376</v>
      </c>
      <c r="I789" t="s">
        <v>272</v>
      </c>
      <c r="J789" s="583">
        <v>9323.84</v>
      </c>
      <c r="K789" s="583">
        <v>0</v>
      </c>
      <c r="L789" s="565">
        <f t="shared" si="36"/>
        <v>9323.84</v>
      </c>
      <c r="M789" s="179">
        <v>46239</v>
      </c>
      <c r="N789" s="179">
        <v>46281</v>
      </c>
      <c r="O789" s="565">
        <v>9323.84</v>
      </c>
      <c r="P789" s="565">
        <f t="shared" si="37"/>
        <v>0</v>
      </c>
      <c r="Q789" s="565"/>
      <c r="R789" s="565"/>
      <c r="S789" s="565"/>
      <c r="T789" s="565"/>
      <c r="U789" s="565"/>
      <c r="V789" s="565"/>
      <c r="W789" s="565"/>
      <c r="X789" s="565"/>
      <c r="Y789" t="str">
        <f t="shared" ca="1" si="38"/>
        <v>PAGO</v>
      </c>
      <c r="AA789" t="s">
        <v>411</v>
      </c>
    </row>
    <row r="790" spans="1:27" x14ac:dyDescent="0.3">
      <c r="A790" t="s">
        <v>220</v>
      </c>
      <c r="B790" s="562">
        <v>2026</v>
      </c>
      <c r="C790" t="s">
        <v>249</v>
      </c>
      <c r="D790">
        <v>966</v>
      </c>
      <c r="E790">
        <v>946</v>
      </c>
      <c r="F790" s="179">
        <v>46218</v>
      </c>
      <c r="G790" t="s">
        <v>376</v>
      </c>
      <c r="I790" t="s">
        <v>272</v>
      </c>
      <c r="J790" s="583">
        <v>9320</v>
      </c>
      <c r="K790" s="583">
        <v>0</v>
      </c>
      <c r="L790" s="565">
        <f t="shared" si="36"/>
        <v>9320</v>
      </c>
      <c r="M790" s="179">
        <v>46246</v>
      </c>
      <c r="N790" s="179">
        <v>46297</v>
      </c>
      <c r="O790" s="565">
        <v>9319.9999999999964</v>
      </c>
      <c r="P790" s="565">
        <f t="shared" si="37"/>
        <v>0</v>
      </c>
      <c r="Q790" s="565"/>
      <c r="R790" s="565"/>
      <c r="S790" s="565"/>
      <c r="T790" s="565"/>
      <c r="U790" s="565"/>
      <c r="V790" s="565"/>
      <c r="W790" s="565"/>
      <c r="X790" s="565"/>
      <c r="Y790" t="str">
        <f t="shared" ca="1" si="38"/>
        <v>PAGO</v>
      </c>
      <c r="AA790" t="s">
        <v>411</v>
      </c>
    </row>
    <row r="791" spans="1:27" x14ac:dyDescent="0.3">
      <c r="A791" t="s">
        <v>220</v>
      </c>
      <c r="B791" s="562">
        <v>2026</v>
      </c>
      <c r="C791" t="s">
        <v>249</v>
      </c>
      <c r="D791">
        <v>966</v>
      </c>
      <c r="E791">
        <v>946</v>
      </c>
      <c r="F791" s="179">
        <v>46218</v>
      </c>
      <c r="G791" t="s">
        <v>376</v>
      </c>
      <c r="I791" t="s">
        <v>272</v>
      </c>
      <c r="J791" s="583">
        <v>9320</v>
      </c>
      <c r="K791" s="583">
        <v>0</v>
      </c>
      <c r="L791" s="565">
        <f t="shared" si="36"/>
        <v>9320</v>
      </c>
      <c r="M791" s="179">
        <v>46253</v>
      </c>
      <c r="N791" s="179">
        <v>46290</v>
      </c>
      <c r="O791" s="565">
        <v>9320</v>
      </c>
      <c r="P791" s="565">
        <f t="shared" si="37"/>
        <v>0</v>
      </c>
      <c r="Q791" s="565"/>
      <c r="R791" s="565"/>
      <c r="S791" s="565"/>
      <c r="T791" s="565"/>
      <c r="U791" s="565"/>
      <c r="V791" s="565"/>
      <c r="W791" s="565"/>
      <c r="X791" s="565"/>
      <c r="Y791" t="str">
        <f t="shared" ca="1" si="38"/>
        <v>PAGO</v>
      </c>
      <c r="AA791" t="s">
        <v>411</v>
      </c>
    </row>
    <row r="792" spans="1:27" x14ac:dyDescent="0.3">
      <c r="A792" t="s">
        <v>220</v>
      </c>
      <c r="B792" s="562">
        <v>2026</v>
      </c>
      <c r="C792" t="s">
        <v>249</v>
      </c>
      <c r="D792">
        <v>966</v>
      </c>
      <c r="E792">
        <v>946</v>
      </c>
      <c r="F792" s="179">
        <v>46218</v>
      </c>
      <c r="G792" t="s">
        <v>376</v>
      </c>
      <c r="I792" t="s">
        <v>272</v>
      </c>
      <c r="J792" s="583">
        <v>9320</v>
      </c>
      <c r="K792" s="583">
        <v>0</v>
      </c>
      <c r="L792" s="565">
        <f t="shared" si="36"/>
        <v>9320</v>
      </c>
      <c r="M792" s="179">
        <v>46260</v>
      </c>
      <c r="N792" s="179">
        <v>46290</v>
      </c>
      <c r="O792" s="565">
        <v>9320</v>
      </c>
      <c r="P792" s="565">
        <f t="shared" si="37"/>
        <v>0</v>
      </c>
      <c r="Q792" s="565"/>
      <c r="R792" s="565"/>
      <c r="S792" s="565"/>
      <c r="T792" s="565"/>
      <c r="U792" s="565"/>
      <c r="V792" s="565"/>
      <c r="W792" s="565"/>
      <c r="X792" s="565"/>
      <c r="Y792" t="str">
        <f t="shared" ca="1" si="38"/>
        <v>PAGO</v>
      </c>
      <c r="AA792" t="s">
        <v>411</v>
      </c>
    </row>
    <row r="793" spans="1:27" x14ac:dyDescent="0.3">
      <c r="A793" t="s">
        <v>220</v>
      </c>
      <c r="B793" s="562">
        <v>2026</v>
      </c>
      <c r="C793" t="s">
        <v>249</v>
      </c>
      <c r="D793">
        <v>966</v>
      </c>
      <c r="E793">
        <v>946</v>
      </c>
      <c r="F793" s="179">
        <v>46218</v>
      </c>
      <c r="G793" t="s">
        <v>376</v>
      </c>
      <c r="I793" t="s">
        <v>272</v>
      </c>
      <c r="J793" s="583">
        <v>9320</v>
      </c>
      <c r="K793" s="583">
        <v>0</v>
      </c>
      <c r="L793" s="565">
        <f t="shared" si="36"/>
        <v>9320</v>
      </c>
      <c r="M793" s="179">
        <v>46267</v>
      </c>
      <c r="N793" s="179">
        <v>46273</v>
      </c>
      <c r="O793" s="565">
        <v>9320</v>
      </c>
      <c r="P793" s="565">
        <f t="shared" si="37"/>
        <v>0</v>
      </c>
      <c r="Q793" s="565"/>
      <c r="R793" s="565"/>
      <c r="S793" s="565"/>
      <c r="T793" s="565"/>
      <c r="U793" s="565"/>
      <c r="V793" s="565"/>
      <c r="W793" s="565"/>
      <c r="X793" s="565"/>
      <c r="Y793" t="str">
        <f t="shared" ca="1" si="38"/>
        <v>PAGO</v>
      </c>
      <c r="AA793" t="s">
        <v>411</v>
      </c>
    </row>
    <row r="794" spans="1:27" x14ac:dyDescent="0.3">
      <c r="A794" t="s">
        <v>220</v>
      </c>
      <c r="B794" s="562">
        <v>2026</v>
      </c>
      <c r="C794" t="s">
        <v>249</v>
      </c>
      <c r="D794">
        <v>966</v>
      </c>
      <c r="E794">
        <v>946</v>
      </c>
      <c r="F794" s="179">
        <v>46218</v>
      </c>
      <c r="G794" t="s">
        <v>376</v>
      </c>
      <c r="I794" t="s">
        <v>272</v>
      </c>
      <c r="J794" s="583">
        <v>9320</v>
      </c>
      <c r="K794" s="583">
        <v>0</v>
      </c>
      <c r="L794" s="565">
        <f t="shared" si="36"/>
        <v>9320</v>
      </c>
      <c r="M794" s="179">
        <v>46274</v>
      </c>
      <c r="N794" s="179">
        <v>46304</v>
      </c>
      <c r="O794" s="565">
        <v>9320</v>
      </c>
      <c r="P794" s="565">
        <f t="shared" si="37"/>
        <v>0</v>
      </c>
      <c r="Q794" s="565"/>
      <c r="R794" s="565"/>
      <c r="S794" s="565"/>
      <c r="T794" s="565"/>
      <c r="U794" s="565"/>
      <c r="V794" s="565"/>
      <c r="W794" s="565"/>
      <c r="X794" s="565"/>
      <c r="Y794" t="str">
        <f t="shared" ca="1" si="38"/>
        <v>PAGO</v>
      </c>
      <c r="AA794" t="s">
        <v>411</v>
      </c>
    </row>
    <row r="795" spans="1:27" x14ac:dyDescent="0.3">
      <c r="A795" t="s">
        <v>220</v>
      </c>
      <c r="B795" s="562">
        <v>2026</v>
      </c>
      <c r="C795" t="s">
        <v>249</v>
      </c>
      <c r="D795">
        <v>967</v>
      </c>
      <c r="E795">
        <v>950</v>
      </c>
      <c r="F795" s="179">
        <v>46219</v>
      </c>
      <c r="G795" t="s">
        <v>264</v>
      </c>
      <c r="I795" t="s">
        <v>372</v>
      </c>
      <c r="J795" s="583">
        <v>6777</v>
      </c>
      <c r="K795" s="583">
        <v>0</v>
      </c>
      <c r="L795" s="565">
        <f t="shared" si="36"/>
        <v>6777</v>
      </c>
      <c r="M795" s="179">
        <v>46239</v>
      </c>
      <c r="N795" s="179">
        <v>46240</v>
      </c>
      <c r="O795" s="565">
        <v>6777</v>
      </c>
      <c r="P795" s="565">
        <f t="shared" si="37"/>
        <v>0</v>
      </c>
      <c r="Q795" s="565"/>
      <c r="R795" s="565"/>
      <c r="S795" s="565"/>
      <c r="T795" s="565"/>
      <c r="U795" s="565"/>
      <c r="V795" s="565"/>
      <c r="W795" s="565"/>
      <c r="X795" s="565"/>
      <c r="Y795" t="str">
        <f t="shared" ca="1" si="38"/>
        <v>PAGO</v>
      </c>
      <c r="AA795" t="s">
        <v>411</v>
      </c>
    </row>
    <row r="796" spans="1:27" x14ac:dyDescent="0.3">
      <c r="A796" t="s">
        <v>220</v>
      </c>
      <c r="B796" s="562">
        <v>2026</v>
      </c>
      <c r="C796" t="s">
        <v>249</v>
      </c>
      <c r="D796">
        <v>967</v>
      </c>
      <c r="E796">
        <v>950</v>
      </c>
      <c r="F796" s="179">
        <v>46219</v>
      </c>
      <c r="G796" t="s">
        <v>264</v>
      </c>
      <c r="I796" t="s">
        <v>372</v>
      </c>
      <c r="J796" s="583">
        <v>6777</v>
      </c>
      <c r="K796" s="583">
        <v>0</v>
      </c>
      <c r="L796" s="565">
        <f t="shared" si="36"/>
        <v>6777</v>
      </c>
      <c r="M796" s="179">
        <v>46249</v>
      </c>
      <c r="N796" s="179">
        <v>46251</v>
      </c>
      <c r="O796" s="565">
        <v>6777</v>
      </c>
      <c r="P796" s="565">
        <f t="shared" si="37"/>
        <v>0</v>
      </c>
      <c r="Q796" s="565"/>
      <c r="R796" s="565"/>
      <c r="S796" s="565"/>
      <c r="T796" s="565"/>
      <c r="U796" s="565"/>
      <c r="V796" s="565"/>
      <c r="W796" s="565"/>
      <c r="X796" s="565"/>
      <c r="Y796" t="str">
        <f t="shared" ca="1" si="38"/>
        <v>PAGO</v>
      </c>
      <c r="AA796" t="s">
        <v>411</v>
      </c>
    </row>
    <row r="797" spans="1:27" x14ac:dyDescent="0.3">
      <c r="A797" t="s">
        <v>220</v>
      </c>
      <c r="B797" s="562">
        <v>2026</v>
      </c>
      <c r="C797" t="s">
        <v>249</v>
      </c>
      <c r="D797">
        <v>967</v>
      </c>
      <c r="E797">
        <v>950</v>
      </c>
      <c r="F797" s="179">
        <v>46219</v>
      </c>
      <c r="G797" t="s">
        <v>264</v>
      </c>
      <c r="I797" t="s">
        <v>372</v>
      </c>
      <c r="J797" s="583">
        <v>6777</v>
      </c>
      <c r="K797" s="583">
        <v>0</v>
      </c>
      <c r="L797" s="565">
        <f t="shared" si="36"/>
        <v>6777</v>
      </c>
      <c r="M797" s="179">
        <v>46259</v>
      </c>
      <c r="N797" s="179">
        <v>46259</v>
      </c>
      <c r="O797" s="565">
        <v>6777</v>
      </c>
      <c r="P797" s="565">
        <f t="shared" si="37"/>
        <v>0</v>
      </c>
      <c r="Q797" s="565"/>
      <c r="R797" s="565"/>
      <c r="S797" s="565"/>
      <c r="T797" s="565"/>
      <c r="U797" s="565"/>
      <c r="V797" s="565"/>
      <c r="W797" s="565"/>
      <c r="X797" s="565"/>
      <c r="Y797" t="str">
        <f t="shared" ca="1" si="38"/>
        <v>PAGO</v>
      </c>
      <c r="AA797" t="s">
        <v>411</v>
      </c>
    </row>
    <row r="798" spans="1:27" x14ac:dyDescent="0.3">
      <c r="A798" t="s">
        <v>220</v>
      </c>
      <c r="B798" s="562">
        <v>2026</v>
      </c>
      <c r="C798" t="s">
        <v>249</v>
      </c>
      <c r="D798">
        <v>967</v>
      </c>
      <c r="E798">
        <v>950</v>
      </c>
      <c r="F798" s="179">
        <v>46219</v>
      </c>
      <c r="G798" t="s">
        <v>264</v>
      </c>
      <c r="I798" t="s">
        <v>372</v>
      </c>
      <c r="J798" s="583">
        <v>6777</v>
      </c>
      <c r="K798" s="583">
        <v>0</v>
      </c>
      <c r="L798" s="565">
        <f t="shared" si="36"/>
        <v>6777</v>
      </c>
      <c r="M798" s="179">
        <v>46269</v>
      </c>
      <c r="N798" s="179">
        <v>46240</v>
      </c>
      <c r="O798" s="565">
        <v>6777</v>
      </c>
      <c r="P798" s="565">
        <f t="shared" si="37"/>
        <v>0</v>
      </c>
      <c r="Q798" s="565"/>
      <c r="R798" s="565"/>
      <c r="S798" s="565"/>
      <c r="T798" s="565"/>
      <c r="U798" s="565"/>
      <c r="V798" s="565"/>
      <c r="W798" s="565"/>
      <c r="X798" s="565"/>
      <c r="Y798" t="str">
        <f t="shared" ca="1" si="38"/>
        <v>PAGO</v>
      </c>
      <c r="AA798" t="s">
        <v>411</v>
      </c>
    </row>
    <row r="799" spans="1:27" x14ac:dyDescent="0.3">
      <c r="A799" t="s">
        <v>220</v>
      </c>
      <c r="B799" s="562">
        <v>2026</v>
      </c>
      <c r="C799" t="s">
        <v>249</v>
      </c>
      <c r="D799">
        <v>967</v>
      </c>
      <c r="E799">
        <v>950</v>
      </c>
      <c r="F799" s="179">
        <v>46219</v>
      </c>
      <c r="G799" t="s">
        <v>264</v>
      </c>
      <c r="I799" t="s">
        <v>372</v>
      </c>
      <c r="J799" s="583">
        <v>6777</v>
      </c>
      <c r="K799" s="583">
        <v>0</v>
      </c>
      <c r="L799" s="565">
        <f t="shared" si="36"/>
        <v>6777</v>
      </c>
      <c r="M799" s="179">
        <v>46279</v>
      </c>
      <c r="N799" s="179">
        <v>46251</v>
      </c>
      <c r="O799" s="565">
        <v>6777</v>
      </c>
      <c r="P799" s="565">
        <f t="shared" si="37"/>
        <v>0</v>
      </c>
      <c r="Q799" s="565"/>
      <c r="R799" s="565"/>
      <c r="S799" s="565"/>
      <c r="T799" s="565"/>
      <c r="U799" s="565"/>
      <c r="V799" s="565"/>
      <c r="W799" s="565"/>
      <c r="X799" s="565"/>
      <c r="Y799" t="str">
        <f t="shared" ca="1" si="38"/>
        <v>PAGO</v>
      </c>
      <c r="AA799" t="s">
        <v>411</v>
      </c>
    </row>
    <row r="800" spans="1:27" x14ac:dyDescent="0.3">
      <c r="A800" t="s">
        <v>220</v>
      </c>
      <c r="B800" s="562">
        <v>2026</v>
      </c>
      <c r="C800" t="s">
        <v>249</v>
      </c>
      <c r="D800">
        <v>967</v>
      </c>
      <c r="E800">
        <v>950</v>
      </c>
      <c r="F800" s="179">
        <v>46219</v>
      </c>
      <c r="G800" t="s">
        <v>264</v>
      </c>
      <c r="I800" t="s">
        <v>372</v>
      </c>
      <c r="J800" s="583">
        <v>6777</v>
      </c>
      <c r="K800" s="583">
        <v>0</v>
      </c>
      <c r="L800" s="565">
        <f t="shared" si="36"/>
        <v>6777</v>
      </c>
      <c r="M800" s="179">
        <v>46289</v>
      </c>
      <c r="N800" s="179">
        <v>46260</v>
      </c>
      <c r="O800" s="565">
        <v>6777</v>
      </c>
      <c r="P800" s="565">
        <f t="shared" si="37"/>
        <v>0</v>
      </c>
      <c r="Q800" s="565"/>
      <c r="R800" s="565"/>
      <c r="S800" s="565"/>
      <c r="T800" s="565"/>
      <c r="U800" s="565"/>
      <c r="V800" s="565"/>
      <c r="W800" s="565"/>
      <c r="X800" s="565"/>
      <c r="Y800" t="str">
        <f t="shared" ca="1" si="38"/>
        <v>PAGO</v>
      </c>
      <c r="AA800" t="s">
        <v>411</v>
      </c>
    </row>
    <row r="801" spans="1:27" x14ac:dyDescent="0.3">
      <c r="A801" t="s">
        <v>220</v>
      </c>
      <c r="B801" s="562">
        <v>2026</v>
      </c>
      <c r="C801" t="s">
        <v>249</v>
      </c>
      <c r="D801">
        <v>967</v>
      </c>
      <c r="E801">
        <v>950</v>
      </c>
      <c r="F801" s="179">
        <v>46219</v>
      </c>
      <c r="G801" t="s">
        <v>264</v>
      </c>
      <c r="I801" t="s">
        <v>372</v>
      </c>
      <c r="J801" s="583">
        <v>6777</v>
      </c>
      <c r="K801" s="583">
        <v>0</v>
      </c>
      <c r="L801" s="565">
        <f t="shared" si="36"/>
        <v>6777</v>
      </c>
      <c r="M801" s="179">
        <v>46299</v>
      </c>
      <c r="N801" s="179">
        <v>46269</v>
      </c>
      <c r="O801" s="565">
        <v>6777</v>
      </c>
      <c r="P801" s="565">
        <f t="shared" si="37"/>
        <v>0</v>
      </c>
      <c r="Q801" s="565"/>
      <c r="R801" s="565"/>
      <c r="S801" s="565"/>
      <c r="T801" s="565"/>
      <c r="U801" s="565"/>
      <c r="V801" s="565"/>
      <c r="W801" s="565"/>
      <c r="X801" s="565"/>
      <c r="Y801" t="str">
        <f t="shared" ca="1" si="38"/>
        <v>PAGO</v>
      </c>
      <c r="AA801" t="s">
        <v>411</v>
      </c>
    </row>
    <row r="802" spans="1:27" x14ac:dyDescent="0.3">
      <c r="A802" t="s">
        <v>220</v>
      </c>
      <c r="B802" s="562">
        <v>2026</v>
      </c>
      <c r="C802" t="s">
        <v>249</v>
      </c>
      <c r="D802">
        <v>967</v>
      </c>
      <c r="E802">
        <v>950</v>
      </c>
      <c r="F802" s="179">
        <v>46219</v>
      </c>
      <c r="G802" t="s">
        <v>264</v>
      </c>
      <c r="I802" t="s">
        <v>372</v>
      </c>
      <c r="J802" s="583">
        <v>6777</v>
      </c>
      <c r="K802" s="583">
        <v>0</v>
      </c>
      <c r="L802" s="565">
        <f t="shared" si="36"/>
        <v>6777</v>
      </c>
      <c r="M802" s="179">
        <v>46309</v>
      </c>
      <c r="N802" s="179">
        <v>46279</v>
      </c>
      <c r="O802" s="565">
        <v>6777</v>
      </c>
      <c r="P802" s="565">
        <f t="shared" si="37"/>
        <v>0</v>
      </c>
      <c r="Q802" s="565"/>
      <c r="R802" s="565"/>
      <c r="S802" s="565"/>
      <c r="T802" s="565"/>
      <c r="U802" s="565"/>
      <c r="V802" s="565"/>
      <c r="W802" s="565"/>
      <c r="X802" s="565"/>
      <c r="Y802" t="str">
        <f t="shared" ca="1" si="38"/>
        <v>PAGO</v>
      </c>
      <c r="AA802" t="s">
        <v>411</v>
      </c>
    </row>
    <row r="803" spans="1:27" x14ac:dyDescent="0.3">
      <c r="A803" t="s">
        <v>220</v>
      </c>
      <c r="B803" s="562">
        <v>2026</v>
      </c>
      <c r="C803" t="s">
        <v>248</v>
      </c>
      <c r="D803">
        <v>24453</v>
      </c>
      <c r="E803">
        <v>5757</v>
      </c>
      <c r="F803" s="179">
        <v>46219</v>
      </c>
      <c r="G803" t="s">
        <v>236</v>
      </c>
      <c r="I803" t="s">
        <v>270</v>
      </c>
      <c r="K803" s="583">
        <v>404.51</v>
      </c>
      <c r="L803" s="565">
        <f t="shared" ref="L803:L836" si="39">J803+K803</f>
        <v>404.51</v>
      </c>
      <c r="M803" s="179">
        <v>46254</v>
      </c>
      <c r="N803" s="179">
        <v>46232</v>
      </c>
      <c r="O803" s="565">
        <v>404.52</v>
      </c>
      <c r="P803" s="565">
        <f t="shared" ref="P803:P836" si="40">L803-O803</f>
        <v>-9.9999999999909051E-3</v>
      </c>
      <c r="Q803" s="565"/>
      <c r="R803" s="565"/>
      <c r="S803" s="565"/>
      <c r="T803" s="565"/>
      <c r="U803" s="565"/>
      <c r="V803" s="565"/>
      <c r="W803" s="565"/>
      <c r="X803" s="565"/>
      <c r="Y803" t="str">
        <f t="shared" ref="Y803:Y836" ca="1" si="41">IF(L803=0,"SEM VALOR",IF(P803&lt;=0.01,"PAGO",IF(M803="","SEM VENCIMENTO",IF(M803&lt;TODAY(),"VENCIDO","A VENCER"))))</f>
        <v>PAGO</v>
      </c>
    </row>
    <row r="804" spans="1:27" x14ac:dyDescent="0.3">
      <c r="A804" t="s">
        <v>220</v>
      </c>
      <c r="B804" s="562">
        <v>2026</v>
      </c>
      <c r="C804" t="s">
        <v>248</v>
      </c>
      <c r="D804">
        <v>24453</v>
      </c>
      <c r="E804">
        <v>5757</v>
      </c>
      <c r="F804" s="179">
        <v>46219</v>
      </c>
      <c r="G804" t="s">
        <v>236</v>
      </c>
      <c r="I804" t="s">
        <v>270</v>
      </c>
      <c r="K804" s="583">
        <v>404.51</v>
      </c>
      <c r="L804" s="565">
        <f t="shared" si="39"/>
        <v>404.51</v>
      </c>
      <c r="M804" s="179">
        <v>46261</v>
      </c>
      <c r="N804" s="179">
        <v>46258</v>
      </c>
      <c r="O804" s="565">
        <v>404.51</v>
      </c>
      <c r="P804" s="565">
        <f t="shared" si="40"/>
        <v>0</v>
      </c>
      <c r="Q804" s="565"/>
      <c r="R804" s="565"/>
      <c r="S804" s="565"/>
      <c r="T804" s="565"/>
      <c r="U804" s="565"/>
      <c r="V804" s="565"/>
      <c r="W804" s="565"/>
      <c r="X804" s="565"/>
      <c r="Y804" t="str">
        <f t="shared" ca="1" si="41"/>
        <v>PAGO</v>
      </c>
    </row>
    <row r="805" spans="1:27" x14ac:dyDescent="0.3">
      <c r="A805" t="s">
        <v>220</v>
      </c>
      <c r="B805" s="562">
        <v>2026</v>
      </c>
      <c r="C805" t="s">
        <v>248</v>
      </c>
      <c r="D805">
        <v>24473</v>
      </c>
      <c r="E805">
        <v>5839</v>
      </c>
      <c r="F805" s="179">
        <v>46220</v>
      </c>
      <c r="G805" t="s">
        <v>236</v>
      </c>
      <c r="I805" t="s">
        <v>270</v>
      </c>
      <c r="K805" s="583">
        <v>349.6</v>
      </c>
      <c r="L805" s="565">
        <f t="shared" ref="L805:L818" si="42">J805+K805</f>
        <v>349.6</v>
      </c>
      <c r="M805" s="179">
        <v>46248</v>
      </c>
      <c r="N805" s="179">
        <v>46253</v>
      </c>
      <c r="O805" s="565">
        <v>349.6</v>
      </c>
      <c r="P805" s="565">
        <f t="shared" ref="P805:P818" si="43">L805-O805</f>
        <v>0</v>
      </c>
      <c r="Q805" s="565"/>
      <c r="R805" s="565"/>
      <c r="S805" s="565"/>
      <c r="T805" s="565"/>
      <c r="U805" s="565"/>
      <c r="V805" s="565"/>
      <c r="W805" s="565"/>
      <c r="X805" s="565"/>
      <c r="Y805" t="str">
        <f t="shared" ref="Y805:Y818" ca="1" si="44">IF(L805=0,"SEM VALOR",IF(P805&lt;=0.01,"PAGO",IF(M805="","SEM VENCIMENTO",IF(M805&lt;TODAY(),"VENCIDO","A VENCER"))))</f>
        <v>PAGO</v>
      </c>
    </row>
    <row r="806" spans="1:27" x14ac:dyDescent="0.3">
      <c r="A806" t="s">
        <v>220</v>
      </c>
      <c r="B806" s="562">
        <v>2026</v>
      </c>
      <c r="C806" t="s">
        <v>248</v>
      </c>
      <c r="D806">
        <v>24473</v>
      </c>
      <c r="E806">
        <v>5839</v>
      </c>
      <c r="F806" s="179">
        <v>46220</v>
      </c>
      <c r="G806" t="s">
        <v>236</v>
      </c>
      <c r="I806" t="s">
        <v>270</v>
      </c>
      <c r="K806" s="583">
        <v>349.6</v>
      </c>
      <c r="L806" s="565">
        <f t="shared" si="42"/>
        <v>349.6</v>
      </c>
      <c r="M806" s="179">
        <v>46255</v>
      </c>
      <c r="N806" s="179">
        <v>46258</v>
      </c>
      <c r="O806" s="565">
        <v>349.6</v>
      </c>
      <c r="P806" s="565">
        <f t="shared" si="43"/>
        <v>0</v>
      </c>
      <c r="Q806" s="565"/>
      <c r="R806" s="565"/>
      <c r="S806" s="565"/>
      <c r="T806" s="565"/>
      <c r="U806" s="565"/>
      <c r="V806" s="565"/>
      <c r="W806" s="565"/>
      <c r="X806" s="565"/>
      <c r="Y806" t="str">
        <f t="shared" ca="1" si="44"/>
        <v>PAGO</v>
      </c>
    </row>
    <row r="807" spans="1:27" x14ac:dyDescent="0.3">
      <c r="A807" t="s">
        <v>220</v>
      </c>
      <c r="B807" s="562">
        <v>2026</v>
      </c>
      <c r="C807" t="s">
        <v>248</v>
      </c>
      <c r="D807">
        <v>24473</v>
      </c>
      <c r="E807">
        <v>5839</v>
      </c>
      <c r="F807" s="179">
        <v>46220</v>
      </c>
      <c r="G807" t="s">
        <v>236</v>
      </c>
      <c r="I807" t="s">
        <v>270</v>
      </c>
      <c r="K807" s="583">
        <v>349.6</v>
      </c>
      <c r="L807" s="565">
        <f t="shared" si="42"/>
        <v>349.6</v>
      </c>
      <c r="M807" s="179">
        <v>46262</v>
      </c>
      <c r="N807" s="179">
        <v>46258</v>
      </c>
      <c r="O807" s="565">
        <v>349.6</v>
      </c>
      <c r="P807" s="565">
        <f t="shared" si="43"/>
        <v>0</v>
      </c>
      <c r="Q807" s="565"/>
      <c r="R807" s="565"/>
      <c r="S807" s="565"/>
      <c r="T807" s="565"/>
      <c r="U807" s="565"/>
      <c r="V807" s="565"/>
      <c r="W807" s="565"/>
      <c r="X807" s="565"/>
      <c r="Y807" t="str">
        <f t="shared" ca="1" si="44"/>
        <v>PAGO</v>
      </c>
    </row>
    <row r="808" spans="1:27" x14ac:dyDescent="0.3">
      <c r="A808" t="s">
        <v>220</v>
      </c>
      <c r="B808" s="562">
        <v>2026</v>
      </c>
      <c r="C808" t="s">
        <v>249</v>
      </c>
      <c r="D808">
        <v>967</v>
      </c>
      <c r="E808" t="s">
        <v>427</v>
      </c>
      <c r="F808" s="179">
        <v>46219</v>
      </c>
      <c r="G808" t="s">
        <v>264</v>
      </c>
      <c r="I808" t="s">
        <v>332</v>
      </c>
      <c r="J808" s="583">
        <v>6777</v>
      </c>
      <c r="L808" s="565">
        <f t="shared" si="42"/>
        <v>6777</v>
      </c>
      <c r="M808" s="179">
        <v>46289</v>
      </c>
      <c r="N808" s="179">
        <v>46289</v>
      </c>
      <c r="O808" s="565">
        <v>6777</v>
      </c>
      <c r="P808" s="565">
        <f t="shared" si="43"/>
        <v>0</v>
      </c>
      <c r="Q808" s="565"/>
      <c r="R808" s="565"/>
      <c r="S808" s="565"/>
      <c r="T808" s="565"/>
      <c r="U808" s="565"/>
      <c r="V808" s="565"/>
      <c r="W808" s="565"/>
      <c r="X808" s="565"/>
      <c r="Y808" t="str">
        <f t="shared" ca="1" si="44"/>
        <v>PAGO</v>
      </c>
    </row>
    <row r="809" spans="1:27" x14ac:dyDescent="0.3">
      <c r="A809" t="s">
        <v>220</v>
      </c>
      <c r="B809" s="562">
        <v>2026</v>
      </c>
      <c r="C809" t="s">
        <v>249</v>
      </c>
      <c r="D809">
        <v>967</v>
      </c>
      <c r="E809" t="s">
        <v>427</v>
      </c>
      <c r="F809" s="179">
        <v>46219</v>
      </c>
      <c r="G809" t="s">
        <v>264</v>
      </c>
      <c r="I809" t="s">
        <v>332</v>
      </c>
      <c r="J809" s="583">
        <v>6777</v>
      </c>
      <c r="L809" s="565">
        <f t="shared" si="42"/>
        <v>6777</v>
      </c>
      <c r="M809" s="179">
        <v>46299</v>
      </c>
      <c r="N809" s="179">
        <v>46300</v>
      </c>
      <c r="O809" s="565">
        <v>6777</v>
      </c>
      <c r="P809" s="565">
        <f t="shared" si="43"/>
        <v>0</v>
      </c>
      <c r="Q809" s="565"/>
      <c r="R809" s="565"/>
      <c r="S809" s="565"/>
      <c r="T809" s="565"/>
      <c r="U809" s="565"/>
      <c r="V809" s="565"/>
      <c r="W809" s="565"/>
      <c r="X809" s="565"/>
      <c r="Y809" t="str">
        <f t="shared" ca="1" si="44"/>
        <v>PAGO</v>
      </c>
    </row>
    <row r="810" spans="1:27" x14ac:dyDescent="0.3">
      <c r="A810" t="s">
        <v>220</v>
      </c>
      <c r="B810" s="562">
        <v>2026</v>
      </c>
      <c r="C810" t="s">
        <v>249</v>
      </c>
      <c r="D810">
        <v>967</v>
      </c>
      <c r="E810" t="s">
        <v>427</v>
      </c>
      <c r="F810" s="179">
        <v>46219</v>
      </c>
      <c r="G810" t="s">
        <v>264</v>
      </c>
      <c r="I810" t="s">
        <v>332</v>
      </c>
      <c r="J810" s="583">
        <v>6777</v>
      </c>
      <c r="L810" s="565">
        <f t="shared" si="42"/>
        <v>6777</v>
      </c>
      <c r="M810" s="179">
        <v>46309</v>
      </c>
      <c r="N810" s="179">
        <v>46309</v>
      </c>
      <c r="O810" s="565">
        <v>6777</v>
      </c>
      <c r="P810" s="565">
        <f t="shared" si="43"/>
        <v>0</v>
      </c>
      <c r="Q810" s="565"/>
      <c r="R810" s="565"/>
      <c r="S810" s="565"/>
      <c r="T810" s="565"/>
      <c r="U810" s="565"/>
      <c r="V810" s="565"/>
      <c r="W810" s="565"/>
      <c r="X810" s="565"/>
      <c r="Y810" t="str">
        <f t="shared" ca="1" si="44"/>
        <v>PAGO</v>
      </c>
    </row>
    <row r="811" spans="1:27" x14ac:dyDescent="0.3">
      <c r="A811" t="s">
        <v>220</v>
      </c>
      <c r="B811" s="562">
        <v>2026</v>
      </c>
      <c r="C811" t="s">
        <v>249</v>
      </c>
      <c r="D811">
        <v>974</v>
      </c>
      <c r="E811" t="s">
        <v>428</v>
      </c>
      <c r="F811" s="179">
        <v>46224</v>
      </c>
      <c r="G811" t="s">
        <v>264</v>
      </c>
      <c r="I811" t="s">
        <v>271</v>
      </c>
      <c r="J811" s="583">
        <v>7290</v>
      </c>
      <c r="L811" s="565">
        <f t="shared" si="42"/>
        <v>7290</v>
      </c>
      <c r="M811" s="179">
        <v>46269</v>
      </c>
      <c r="N811" s="179">
        <v>46269</v>
      </c>
      <c r="O811" s="565">
        <v>7290</v>
      </c>
      <c r="P811" s="565">
        <f t="shared" si="43"/>
        <v>0</v>
      </c>
      <c r="Q811" s="565"/>
      <c r="R811" s="565"/>
      <c r="S811" s="565"/>
      <c r="T811" s="565"/>
      <c r="U811" s="565"/>
      <c r="V811" s="565"/>
      <c r="W811" s="565"/>
      <c r="X811" s="565"/>
      <c r="Y811" t="str">
        <f t="shared" ca="1" si="44"/>
        <v>PAGO</v>
      </c>
    </row>
    <row r="812" spans="1:27" x14ac:dyDescent="0.3">
      <c r="A812" t="s">
        <v>220</v>
      </c>
      <c r="B812" s="562">
        <v>2026</v>
      </c>
      <c r="C812" t="s">
        <v>249</v>
      </c>
      <c r="D812">
        <v>975</v>
      </c>
      <c r="E812">
        <v>955</v>
      </c>
      <c r="F812" s="179">
        <v>46224</v>
      </c>
      <c r="G812" t="s">
        <v>264</v>
      </c>
      <c r="I812" t="s">
        <v>332</v>
      </c>
      <c r="J812" s="583">
        <v>3987.9</v>
      </c>
      <c r="L812" s="565">
        <f t="shared" si="42"/>
        <v>3987.9</v>
      </c>
      <c r="M812" s="179">
        <v>46239</v>
      </c>
      <c r="N812" s="179">
        <v>46238</v>
      </c>
      <c r="O812" s="565">
        <v>3987.9</v>
      </c>
      <c r="P812" s="565">
        <f t="shared" si="43"/>
        <v>0</v>
      </c>
      <c r="Q812" s="565"/>
      <c r="R812" s="565"/>
      <c r="S812" s="565"/>
      <c r="T812" s="565"/>
      <c r="U812" s="565"/>
      <c r="V812" s="565"/>
      <c r="W812" s="565"/>
      <c r="X812" s="565"/>
      <c r="Y812" t="str">
        <f t="shared" ca="1" si="44"/>
        <v>PAGO</v>
      </c>
    </row>
    <row r="813" spans="1:27" x14ac:dyDescent="0.3">
      <c r="A813" t="s">
        <v>220</v>
      </c>
      <c r="B813" s="562">
        <v>2026</v>
      </c>
      <c r="C813" t="s">
        <v>249</v>
      </c>
      <c r="D813">
        <v>975</v>
      </c>
      <c r="E813">
        <v>955</v>
      </c>
      <c r="F813" s="179">
        <v>46224</v>
      </c>
      <c r="G813" t="s">
        <v>264</v>
      </c>
      <c r="I813" t="s">
        <v>332</v>
      </c>
      <c r="J813" s="583">
        <v>3987.9</v>
      </c>
      <c r="L813" s="565">
        <f t="shared" si="42"/>
        <v>3987.9</v>
      </c>
      <c r="M813" s="179">
        <v>46254</v>
      </c>
      <c r="N813" s="179">
        <v>46254</v>
      </c>
      <c r="O813" s="565">
        <v>3987.9</v>
      </c>
      <c r="P813" s="565">
        <f t="shared" si="43"/>
        <v>0</v>
      </c>
      <c r="Q813" s="565"/>
      <c r="R813" s="565"/>
      <c r="S813" s="565"/>
      <c r="T813" s="565"/>
      <c r="U813" s="565"/>
      <c r="V813" s="565"/>
      <c r="W813" s="565"/>
      <c r="X813" s="565"/>
      <c r="Y813" t="str">
        <f t="shared" ca="1" si="44"/>
        <v>PAGO</v>
      </c>
    </row>
    <row r="814" spans="1:27" x14ac:dyDescent="0.3">
      <c r="A814" t="s">
        <v>220</v>
      </c>
      <c r="B814" s="562">
        <v>2026</v>
      </c>
      <c r="C814" t="s">
        <v>249</v>
      </c>
      <c r="D814">
        <v>975</v>
      </c>
      <c r="E814">
        <v>955</v>
      </c>
      <c r="F814" s="179">
        <v>46224</v>
      </c>
      <c r="G814" t="s">
        <v>264</v>
      </c>
      <c r="I814" t="s">
        <v>332</v>
      </c>
      <c r="J814" s="583">
        <v>3987.9</v>
      </c>
      <c r="L814" s="565">
        <f t="shared" si="42"/>
        <v>3987.9</v>
      </c>
      <c r="M814" s="179">
        <v>46269</v>
      </c>
      <c r="N814" s="179">
        <v>46268</v>
      </c>
      <c r="O814" s="565">
        <v>3987.9</v>
      </c>
      <c r="P814" s="565">
        <f t="shared" si="43"/>
        <v>0</v>
      </c>
      <c r="Q814" s="565"/>
      <c r="R814" s="565"/>
      <c r="S814" s="565"/>
      <c r="T814" s="565"/>
      <c r="U814" s="565"/>
      <c r="V814" s="565"/>
      <c r="W814" s="565"/>
      <c r="X814" s="565"/>
      <c r="Y814" t="str">
        <f t="shared" ca="1" si="44"/>
        <v>PAGO</v>
      </c>
    </row>
    <row r="815" spans="1:27" x14ac:dyDescent="0.3">
      <c r="A815" t="s">
        <v>220</v>
      </c>
      <c r="B815" s="562">
        <v>2026</v>
      </c>
      <c r="C815" t="s">
        <v>249</v>
      </c>
      <c r="D815">
        <v>975</v>
      </c>
      <c r="E815">
        <v>955</v>
      </c>
      <c r="F815" s="179">
        <v>46224</v>
      </c>
      <c r="G815" t="s">
        <v>264</v>
      </c>
      <c r="I815" t="s">
        <v>332</v>
      </c>
      <c r="J815" s="583">
        <v>3987.9</v>
      </c>
      <c r="L815" s="565">
        <f t="shared" si="42"/>
        <v>3987.9</v>
      </c>
      <c r="M815" s="179">
        <v>46284</v>
      </c>
      <c r="N815" s="179">
        <v>46283</v>
      </c>
      <c r="O815" s="565">
        <v>3987.9</v>
      </c>
      <c r="P815" s="565">
        <f t="shared" si="43"/>
        <v>0</v>
      </c>
      <c r="Q815" s="565"/>
      <c r="R815" s="565"/>
      <c r="S815" s="565"/>
      <c r="T815" s="565"/>
      <c r="U815" s="565"/>
      <c r="V815" s="565"/>
      <c r="W815" s="565"/>
      <c r="X815" s="565"/>
      <c r="Y815" t="str">
        <f t="shared" ca="1" si="44"/>
        <v>PAGO</v>
      </c>
    </row>
    <row r="816" spans="1:27" x14ac:dyDescent="0.3">
      <c r="A816" t="s">
        <v>220</v>
      </c>
      <c r="B816" s="562">
        <v>2026</v>
      </c>
      <c r="C816" t="s">
        <v>248</v>
      </c>
      <c r="D816">
        <v>24536</v>
      </c>
      <c r="E816">
        <v>5839</v>
      </c>
      <c r="F816" s="179">
        <v>46224</v>
      </c>
      <c r="G816" t="s">
        <v>236</v>
      </c>
      <c r="I816" t="s">
        <v>270</v>
      </c>
      <c r="K816" s="583">
        <v>412.27</v>
      </c>
      <c r="L816" s="565">
        <f t="shared" si="42"/>
        <v>412.27</v>
      </c>
      <c r="M816" s="179">
        <v>46259</v>
      </c>
      <c r="N816" s="179">
        <v>46258</v>
      </c>
      <c r="O816" s="565">
        <v>412.28</v>
      </c>
      <c r="P816" s="565">
        <f t="shared" si="43"/>
        <v>-9.9999999999909051E-3</v>
      </c>
      <c r="Q816" s="565"/>
      <c r="R816" s="565"/>
      <c r="S816" s="565"/>
      <c r="T816" s="565"/>
      <c r="U816" s="565"/>
      <c r="V816" s="565"/>
      <c r="W816" s="565"/>
      <c r="X816" s="565"/>
      <c r="Y816" t="str">
        <f t="shared" ca="1" si="44"/>
        <v>PAGO</v>
      </c>
    </row>
    <row r="817" spans="1:25" x14ac:dyDescent="0.3">
      <c r="A817" t="s">
        <v>220</v>
      </c>
      <c r="B817" s="562">
        <v>2026</v>
      </c>
      <c r="C817" t="s">
        <v>248</v>
      </c>
      <c r="D817">
        <v>24536</v>
      </c>
      <c r="E817">
        <v>5839</v>
      </c>
      <c r="F817" s="179">
        <v>46224</v>
      </c>
      <c r="G817" t="s">
        <v>236</v>
      </c>
      <c r="I817" t="s">
        <v>270</v>
      </c>
      <c r="K817" s="583">
        <v>412.27</v>
      </c>
      <c r="L817" s="565">
        <f t="shared" si="42"/>
        <v>412.27</v>
      </c>
      <c r="M817" s="179">
        <v>46266</v>
      </c>
      <c r="N817" s="179">
        <v>46258</v>
      </c>
      <c r="O817" s="565">
        <v>412.28</v>
      </c>
      <c r="P817" s="565">
        <f t="shared" si="43"/>
        <v>-9.9999999999909051E-3</v>
      </c>
      <c r="Q817" s="565"/>
      <c r="R817" s="565"/>
      <c r="S817" s="565"/>
      <c r="T817" s="565"/>
      <c r="U817" s="565"/>
      <c r="V817" s="565"/>
      <c r="W817" s="565"/>
      <c r="X817" s="565"/>
      <c r="Y817" t="str">
        <f t="shared" ca="1" si="44"/>
        <v>PAGO</v>
      </c>
    </row>
    <row r="818" spans="1:25" x14ac:dyDescent="0.3">
      <c r="A818" t="s">
        <v>220</v>
      </c>
      <c r="B818" s="562">
        <v>2026</v>
      </c>
      <c r="C818" t="s">
        <v>249</v>
      </c>
      <c r="D818">
        <v>24570</v>
      </c>
      <c r="E818" t="s">
        <v>429</v>
      </c>
      <c r="F818" s="179">
        <v>46225</v>
      </c>
      <c r="G818" t="s">
        <v>264</v>
      </c>
      <c r="I818" t="s">
        <v>332</v>
      </c>
      <c r="J818" s="583">
        <v>3112</v>
      </c>
      <c r="L818" s="565">
        <f t="shared" si="42"/>
        <v>3112</v>
      </c>
      <c r="M818" s="179">
        <v>46245</v>
      </c>
      <c r="N818" s="179">
        <v>46241</v>
      </c>
      <c r="O818" s="565">
        <v>3112</v>
      </c>
      <c r="P818" s="565">
        <f t="shared" si="43"/>
        <v>0</v>
      </c>
      <c r="Q818" s="565"/>
      <c r="R818" s="565"/>
      <c r="S818" s="565"/>
      <c r="T818" s="565"/>
      <c r="U818" s="565"/>
      <c r="V818" s="565"/>
      <c r="W818" s="565"/>
      <c r="X818" s="565"/>
      <c r="Y818" t="str">
        <f t="shared" ca="1" si="44"/>
        <v>PAGO</v>
      </c>
    </row>
    <row r="819" spans="1:25" x14ac:dyDescent="0.3">
      <c r="A819" t="s">
        <v>220</v>
      </c>
      <c r="B819" s="562">
        <v>2026</v>
      </c>
      <c r="C819" t="s">
        <v>249</v>
      </c>
      <c r="D819">
        <v>24570</v>
      </c>
      <c r="E819" t="s">
        <v>429</v>
      </c>
      <c r="F819" s="179">
        <v>46225</v>
      </c>
      <c r="G819" t="s">
        <v>264</v>
      </c>
      <c r="I819" t="s">
        <v>332</v>
      </c>
      <c r="J819" s="583">
        <v>3112</v>
      </c>
      <c r="L819" s="565">
        <f t="shared" si="39"/>
        <v>3112</v>
      </c>
      <c r="M819" s="179">
        <v>46255</v>
      </c>
      <c r="N819" s="179">
        <v>46262</v>
      </c>
      <c r="O819" s="565">
        <v>3112</v>
      </c>
      <c r="P819" s="565">
        <f t="shared" si="40"/>
        <v>0</v>
      </c>
      <c r="Q819" s="565"/>
      <c r="R819" s="565"/>
      <c r="S819" s="565"/>
      <c r="T819" s="565"/>
      <c r="U819" s="565"/>
      <c r="V819" s="565"/>
      <c r="W819" s="565"/>
      <c r="X819" s="565"/>
      <c r="Y819" t="str">
        <f t="shared" ca="1" si="41"/>
        <v>PAGO</v>
      </c>
    </row>
    <row r="820" spans="1:25" x14ac:dyDescent="0.3">
      <c r="A820" t="s">
        <v>220</v>
      </c>
      <c r="B820" s="562">
        <v>2026</v>
      </c>
      <c r="C820" t="s">
        <v>249</v>
      </c>
      <c r="D820">
        <v>24570</v>
      </c>
      <c r="E820" t="s">
        <v>429</v>
      </c>
      <c r="F820" s="179">
        <v>46225</v>
      </c>
      <c r="G820" t="s">
        <v>264</v>
      </c>
      <c r="I820" t="s">
        <v>332</v>
      </c>
      <c r="J820" s="583">
        <v>3112</v>
      </c>
      <c r="L820" s="565">
        <f t="shared" si="39"/>
        <v>3112</v>
      </c>
      <c r="M820" s="179">
        <v>46265</v>
      </c>
      <c r="N820" s="179">
        <v>46255</v>
      </c>
      <c r="O820" s="565">
        <v>3112</v>
      </c>
      <c r="P820" s="565">
        <f t="shared" si="40"/>
        <v>0</v>
      </c>
      <c r="Q820" s="565"/>
      <c r="R820" s="565"/>
      <c r="S820" s="565"/>
      <c r="T820" s="565"/>
      <c r="U820" s="565"/>
      <c r="V820" s="565"/>
      <c r="W820" s="565"/>
      <c r="X820" s="565"/>
      <c r="Y820" t="str">
        <f t="shared" ca="1" si="41"/>
        <v>PAGO</v>
      </c>
    </row>
    <row r="821" spans="1:25" x14ac:dyDescent="0.3">
      <c r="A821" t="s">
        <v>220</v>
      </c>
      <c r="B821" s="562">
        <v>2026</v>
      </c>
      <c r="C821" t="s">
        <v>249</v>
      </c>
      <c r="D821">
        <v>24570</v>
      </c>
      <c r="E821" t="s">
        <v>429</v>
      </c>
      <c r="F821" s="179">
        <v>46225</v>
      </c>
      <c r="G821" t="s">
        <v>264</v>
      </c>
      <c r="I821" t="s">
        <v>332</v>
      </c>
      <c r="J821" s="583">
        <v>3112</v>
      </c>
      <c r="L821" s="565">
        <f t="shared" ref="L821:L832" si="45">J821+K821</f>
        <v>3112</v>
      </c>
      <c r="M821" s="179">
        <v>46275</v>
      </c>
      <c r="N821" s="179">
        <v>46275</v>
      </c>
      <c r="O821" s="565">
        <v>3112</v>
      </c>
      <c r="P821" s="565">
        <f t="shared" ref="P821:P832" si="46">L821-O821</f>
        <v>0</v>
      </c>
      <c r="Q821" s="565"/>
      <c r="R821" s="565"/>
      <c r="S821" s="565"/>
      <c r="T821" s="565"/>
      <c r="U821" s="565"/>
      <c r="V821" s="565"/>
      <c r="W821" s="565"/>
      <c r="X821" s="565"/>
      <c r="Y821" t="str">
        <f t="shared" ref="Y821:Y832" ca="1" si="47">IF(L821=0,"SEM VALOR",IF(P821&lt;=0.01,"PAGO",IF(M821="","SEM VENCIMENTO",IF(M821&lt;TODAY(),"VENCIDO","A VENCER"))))</f>
        <v>PAGO</v>
      </c>
    </row>
    <row r="822" spans="1:25" x14ac:dyDescent="0.3">
      <c r="A822" t="s">
        <v>220</v>
      </c>
      <c r="B822" s="562">
        <v>2026</v>
      </c>
      <c r="C822" t="s">
        <v>249</v>
      </c>
      <c r="D822">
        <v>24570</v>
      </c>
      <c r="E822" t="s">
        <v>429</v>
      </c>
      <c r="F822" s="179">
        <v>46225</v>
      </c>
      <c r="G822" t="s">
        <v>264</v>
      </c>
      <c r="I822" t="s">
        <v>332</v>
      </c>
      <c r="J822" s="583">
        <v>3112</v>
      </c>
      <c r="L822" s="565">
        <f t="shared" si="45"/>
        <v>3112</v>
      </c>
      <c r="M822" s="179">
        <v>46285</v>
      </c>
      <c r="N822" s="179">
        <v>46286</v>
      </c>
      <c r="O822" s="565">
        <v>3112</v>
      </c>
      <c r="P822" s="565">
        <f t="shared" si="46"/>
        <v>0</v>
      </c>
      <c r="Q822" s="565"/>
      <c r="R822" s="565"/>
      <c r="S822" s="565"/>
      <c r="T822" s="565"/>
      <c r="U822" s="565"/>
      <c r="V822" s="565"/>
      <c r="W822" s="565"/>
      <c r="X822" s="565"/>
      <c r="Y822" t="str">
        <f t="shared" ca="1" si="47"/>
        <v>PAGO</v>
      </c>
    </row>
    <row r="823" spans="1:25" x14ac:dyDescent="0.3">
      <c r="A823" t="s">
        <v>220</v>
      </c>
      <c r="B823" s="562">
        <v>2026</v>
      </c>
      <c r="C823" t="s">
        <v>249</v>
      </c>
      <c r="D823">
        <v>24570</v>
      </c>
      <c r="E823" t="s">
        <v>429</v>
      </c>
      <c r="F823" s="179">
        <v>46225</v>
      </c>
      <c r="G823" t="s">
        <v>264</v>
      </c>
      <c r="I823" t="s">
        <v>332</v>
      </c>
      <c r="J823" s="583">
        <v>3112</v>
      </c>
      <c r="L823" s="565">
        <f t="shared" si="45"/>
        <v>3112</v>
      </c>
      <c r="M823" s="179">
        <v>46295</v>
      </c>
      <c r="N823" s="179">
        <v>46295</v>
      </c>
      <c r="O823" s="565">
        <v>3112</v>
      </c>
      <c r="P823" s="565">
        <f t="shared" si="46"/>
        <v>0</v>
      </c>
      <c r="Q823" s="565"/>
      <c r="R823" s="565"/>
      <c r="S823" s="565"/>
      <c r="T823" s="565"/>
      <c r="U823" s="565"/>
      <c r="V823" s="565"/>
      <c r="W823" s="565"/>
      <c r="X823" s="565"/>
      <c r="Y823" t="str">
        <f t="shared" ca="1" si="47"/>
        <v>PAGO</v>
      </c>
    </row>
    <row r="824" spans="1:25" x14ac:dyDescent="0.3">
      <c r="A824" t="s">
        <v>220</v>
      </c>
      <c r="B824" s="562">
        <v>2026</v>
      </c>
      <c r="C824" t="s">
        <v>249</v>
      </c>
      <c r="D824">
        <v>24570</v>
      </c>
      <c r="E824" t="s">
        <v>429</v>
      </c>
      <c r="F824" s="179">
        <v>46225</v>
      </c>
      <c r="G824" t="s">
        <v>264</v>
      </c>
      <c r="I824" t="s">
        <v>332</v>
      </c>
      <c r="J824" s="583">
        <v>3112</v>
      </c>
      <c r="L824" s="565">
        <f t="shared" si="45"/>
        <v>3112</v>
      </c>
      <c r="M824" s="179">
        <v>46305</v>
      </c>
      <c r="N824" s="179">
        <v>46304</v>
      </c>
      <c r="O824" s="565">
        <v>3112</v>
      </c>
      <c r="P824" s="565">
        <f t="shared" si="46"/>
        <v>0</v>
      </c>
      <c r="Q824" s="565"/>
      <c r="R824" s="565"/>
      <c r="S824" s="565"/>
      <c r="T824" s="565"/>
      <c r="U824" s="565"/>
      <c r="V824" s="565"/>
      <c r="W824" s="565"/>
      <c r="X824" s="565"/>
      <c r="Y824" t="str">
        <f t="shared" ca="1" si="47"/>
        <v>PAGO</v>
      </c>
    </row>
    <row r="825" spans="1:25" x14ac:dyDescent="0.3">
      <c r="A825" t="s">
        <v>220</v>
      </c>
      <c r="B825" s="562">
        <v>2026</v>
      </c>
      <c r="C825" t="s">
        <v>249</v>
      </c>
      <c r="D825">
        <v>24570</v>
      </c>
      <c r="E825" t="s">
        <v>429</v>
      </c>
      <c r="F825" s="179">
        <v>46225</v>
      </c>
      <c r="G825" t="s">
        <v>264</v>
      </c>
      <c r="I825" t="s">
        <v>332</v>
      </c>
      <c r="J825" s="583">
        <v>3112</v>
      </c>
      <c r="L825" s="565">
        <f t="shared" si="45"/>
        <v>3112</v>
      </c>
      <c r="M825" s="179">
        <v>46315</v>
      </c>
      <c r="N825" s="179">
        <v>46315</v>
      </c>
      <c r="O825" s="565">
        <v>3112</v>
      </c>
      <c r="P825" s="565">
        <f t="shared" si="46"/>
        <v>0</v>
      </c>
      <c r="Q825" s="565"/>
      <c r="R825" s="565"/>
      <c r="S825" s="565"/>
      <c r="T825" s="565"/>
      <c r="U825" s="565"/>
      <c r="V825" s="565"/>
      <c r="W825" s="565"/>
      <c r="X825" s="565"/>
      <c r="Y825" t="str">
        <f t="shared" ca="1" si="47"/>
        <v>PAGO</v>
      </c>
    </row>
    <row r="826" spans="1:25" x14ac:dyDescent="0.3">
      <c r="A826" t="s">
        <v>220</v>
      </c>
      <c r="B826" s="562">
        <v>2026</v>
      </c>
      <c r="C826" t="s">
        <v>249</v>
      </c>
      <c r="D826">
        <v>976</v>
      </c>
      <c r="E826" t="s">
        <v>430</v>
      </c>
      <c r="F826" s="179">
        <v>46225</v>
      </c>
      <c r="G826" t="s">
        <v>264</v>
      </c>
      <c r="I826" t="s">
        <v>271</v>
      </c>
      <c r="J826" s="583">
        <v>6861.95</v>
      </c>
      <c r="L826" s="565">
        <f t="shared" si="45"/>
        <v>6861.95</v>
      </c>
      <c r="M826" s="179">
        <v>46240</v>
      </c>
      <c r="N826" s="179">
        <v>46240</v>
      </c>
      <c r="O826" s="565">
        <v>6861.95</v>
      </c>
      <c r="P826" s="565">
        <f t="shared" si="46"/>
        <v>0</v>
      </c>
      <c r="Q826" s="565"/>
      <c r="R826" s="565"/>
      <c r="S826" s="565"/>
      <c r="T826" s="565"/>
      <c r="U826" s="565"/>
      <c r="V826" s="565"/>
      <c r="W826" s="565"/>
      <c r="X826" s="565"/>
      <c r="Y826" t="str">
        <f t="shared" ca="1" si="47"/>
        <v>PAGO</v>
      </c>
    </row>
    <row r="827" spans="1:25" x14ac:dyDescent="0.3">
      <c r="A827" t="s">
        <v>220</v>
      </c>
      <c r="B827" s="562">
        <v>2026</v>
      </c>
      <c r="C827" t="s">
        <v>249</v>
      </c>
      <c r="D827">
        <v>976</v>
      </c>
      <c r="E827" t="s">
        <v>430</v>
      </c>
      <c r="F827" s="179">
        <v>46225</v>
      </c>
      <c r="G827" t="s">
        <v>264</v>
      </c>
      <c r="I827" t="s">
        <v>271</v>
      </c>
      <c r="J827" s="583">
        <v>6861.93</v>
      </c>
      <c r="L827" s="565">
        <f t="shared" si="45"/>
        <v>6861.93</v>
      </c>
      <c r="M827" s="179">
        <v>46255</v>
      </c>
      <c r="N827" s="179">
        <v>46254</v>
      </c>
      <c r="O827" s="565">
        <v>6861.93</v>
      </c>
      <c r="P827" s="565">
        <f t="shared" si="46"/>
        <v>0</v>
      </c>
      <c r="Q827" s="565"/>
      <c r="R827" s="565"/>
      <c r="S827" s="565"/>
      <c r="T827" s="565"/>
      <c r="U827" s="565"/>
      <c r="V827" s="565"/>
      <c r="W827" s="565"/>
      <c r="X827" s="565"/>
      <c r="Y827" t="str">
        <f t="shared" ca="1" si="47"/>
        <v>PAGO</v>
      </c>
    </row>
    <row r="828" spans="1:25" x14ac:dyDescent="0.3">
      <c r="A828" t="s">
        <v>220</v>
      </c>
      <c r="B828" s="562">
        <v>2026</v>
      </c>
      <c r="C828" t="s">
        <v>249</v>
      </c>
      <c r="D828">
        <v>976</v>
      </c>
      <c r="E828" t="s">
        <v>430</v>
      </c>
      <c r="F828" s="179">
        <v>46225</v>
      </c>
      <c r="G828" t="s">
        <v>264</v>
      </c>
      <c r="I828" t="s">
        <v>271</v>
      </c>
      <c r="J828" s="583">
        <v>6861.93</v>
      </c>
      <c r="L828" s="565">
        <f t="shared" si="45"/>
        <v>6861.93</v>
      </c>
      <c r="M828" s="179">
        <v>46270</v>
      </c>
      <c r="N828" s="179">
        <v>46268</v>
      </c>
      <c r="O828" s="565">
        <v>6861.93</v>
      </c>
      <c r="P828" s="565">
        <f t="shared" si="46"/>
        <v>0</v>
      </c>
      <c r="Q828" s="565"/>
      <c r="R828" s="565"/>
      <c r="S828" s="565"/>
      <c r="T828" s="565"/>
      <c r="U828" s="565"/>
      <c r="V828" s="565"/>
      <c r="W828" s="565"/>
      <c r="X828" s="565"/>
      <c r="Y828" t="str">
        <f t="shared" ca="1" si="47"/>
        <v>PAGO</v>
      </c>
    </row>
    <row r="829" spans="1:25" x14ac:dyDescent="0.3">
      <c r="A829" t="s">
        <v>220</v>
      </c>
      <c r="B829" s="562">
        <v>2026</v>
      </c>
      <c r="C829" t="s">
        <v>249</v>
      </c>
      <c r="D829">
        <v>976</v>
      </c>
      <c r="E829" t="s">
        <v>430</v>
      </c>
      <c r="F829" s="179">
        <v>46225</v>
      </c>
      <c r="G829" t="s">
        <v>264</v>
      </c>
      <c r="I829" t="s">
        <v>271</v>
      </c>
      <c r="J829" s="583">
        <v>6861.93</v>
      </c>
      <c r="L829" s="565">
        <f t="shared" si="45"/>
        <v>6861.93</v>
      </c>
      <c r="M829" s="179">
        <v>46285</v>
      </c>
      <c r="N829" s="179">
        <v>46283</v>
      </c>
      <c r="O829" s="565">
        <v>6861.93</v>
      </c>
      <c r="P829" s="565">
        <f t="shared" si="46"/>
        <v>0</v>
      </c>
      <c r="Q829" s="565"/>
      <c r="R829" s="565"/>
      <c r="S829" s="565"/>
      <c r="T829" s="565"/>
      <c r="U829" s="565"/>
      <c r="V829" s="565"/>
      <c r="W829" s="565"/>
      <c r="X829" s="565"/>
      <c r="Y829" t="str">
        <f t="shared" ca="1" si="47"/>
        <v>PAGO</v>
      </c>
    </row>
    <row r="830" spans="1:25" x14ac:dyDescent="0.3">
      <c r="A830" t="s">
        <v>220</v>
      </c>
      <c r="B830" s="562">
        <v>2026</v>
      </c>
      <c r="C830" t="s">
        <v>249</v>
      </c>
      <c r="D830">
        <v>976</v>
      </c>
      <c r="E830" t="s">
        <v>430</v>
      </c>
      <c r="F830" s="179">
        <v>46225</v>
      </c>
      <c r="G830" t="s">
        <v>264</v>
      </c>
      <c r="I830" t="s">
        <v>271</v>
      </c>
      <c r="J830" s="583">
        <v>6861.93</v>
      </c>
      <c r="L830" s="565">
        <f t="shared" si="45"/>
        <v>6861.93</v>
      </c>
      <c r="M830" s="179">
        <v>46300</v>
      </c>
      <c r="N830" s="179">
        <v>46302</v>
      </c>
      <c r="O830" s="565">
        <v>6861.93</v>
      </c>
      <c r="P830" s="565">
        <f t="shared" si="46"/>
        <v>0</v>
      </c>
      <c r="Q830" s="565"/>
      <c r="R830" s="565"/>
      <c r="S830" s="565"/>
      <c r="T830" s="565"/>
      <c r="U830" s="565"/>
      <c r="V830" s="565"/>
      <c r="W830" s="565"/>
      <c r="X830" s="565"/>
      <c r="Y830" t="str">
        <f t="shared" ca="1" si="47"/>
        <v>PAGO</v>
      </c>
    </row>
    <row r="831" spans="1:25" x14ac:dyDescent="0.3">
      <c r="A831" t="s">
        <v>220</v>
      </c>
      <c r="B831" s="562">
        <v>2026</v>
      </c>
      <c r="C831" t="s">
        <v>249</v>
      </c>
      <c r="D831">
        <v>976</v>
      </c>
      <c r="E831" t="s">
        <v>430</v>
      </c>
      <c r="F831" s="179">
        <v>46225</v>
      </c>
      <c r="G831" t="s">
        <v>264</v>
      </c>
      <c r="I831" t="s">
        <v>271</v>
      </c>
      <c r="J831" s="583">
        <v>6861.93</v>
      </c>
      <c r="L831" s="565">
        <f t="shared" si="45"/>
        <v>6861.93</v>
      </c>
      <c r="M831" s="179">
        <v>46315</v>
      </c>
      <c r="O831" s="565"/>
      <c r="P831" s="565">
        <f t="shared" si="46"/>
        <v>6861.93</v>
      </c>
      <c r="Q831" s="565"/>
      <c r="R831" s="565"/>
      <c r="S831" s="565"/>
      <c r="T831" s="565"/>
      <c r="U831" s="565"/>
      <c r="V831" s="565"/>
      <c r="W831" s="565"/>
      <c r="X831" s="565"/>
      <c r="Y831" t="str">
        <f t="shared" ca="1" si="47"/>
        <v>VENCIDO</v>
      </c>
    </row>
    <row r="832" spans="1:25" x14ac:dyDescent="0.3">
      <c r="A832" t="s">
        <v>220</v>
      </c>
      <c r="B832" s="562">
        <v>2026</v>
      </c>
      <c r="C832" t="s">
        <v>249</v>
      </c>
      <c r="D832">
        <v>24569</v>
      </c>
      <c r="E832" t="s">
        <v>431</v>
      </c>
      <c r="F832" s="179">
        <v>46225</v>
      </c>
      <c r="G832" t="s">
        <v>264</v>
      </c>
      <c r="I832" t="s">
        <v>271</v>
      </c>
      <c r="J832" s="583">
        <v>14028.97</v>
      </c>
      <c r="L832" s="565">
        <f t="shared" si="45"/>
        <v>14028.97</v>
      </c>
      <c r="M832" s="179">
        <v>46240</v>
      </c>
      <c r="N832" s="179">
        <v>46240</v>
      </c>
      <c r="O832" s="565">
        <v>14028.97</v>
      </c>
      <c r="P832" s="565">
        <f t="shared" si="46"/>
        <v>0</v>
      </c>
      <c r="Q832" s="565"/>
      <c r="R832" s="565"/>
      <c r="S832" s="565"/>
      <c r="T832" s="565"/>
      <c r="U832" s="565"/>
      <c r="V832" s="565"/>
      <c r="W832" s="565"/>
      <c r="X832" s="565"/>
      <c r="Y832" t="str">
        <f t="shared" ca="1" si="47"/>
        <v>PAGO</v>
      </c>
    </row>
    <row r="833" spans="1:25" x14ac:dyDescent="0.3">
      <c r="A833" t="s">
        <v>220</v>
      </c>
      <c r="B833" s="562">
        <v>2026</v>
      </c>
      <c r="C833" t="s">
        <v>249</v>
      </c>
      <c r="D833">
        <v>24569</v>
      </c>
      <c r="E833" t="s">
        <v>431</v>
      </c>
      <c r="F833" s="179">
        <v>46225</v>
      </c>
      <c r="G833" t="s">
        <v>264</v>
      </c>
      <c r="I833" t="s">
        <v>271</v>
      </c>
      <c r="J833" s="583">
        <v>14028.92</v>
      </c>
      <c r="L833" s="565">
        <f t="shared" si="39"/>
        <v>14028.92</v>
      </c>
      <c r="M833" s="179">
        <v>46255</v>
      </c>
      <c r="O833" s="565">
        <v>14028.92</v>
      </c>
      <c r="P833" s="565">
        <f t="shared" si="40"/>
        <v>0</v>
      </c>
      <c r="Q833" s="565"/>
      <c r="R833" s="565"/>
      <c r="S833" s="565"/>
      <c r="T833" s="565"/>
      <c r="U833" s="565"/>
      <c r="V833" s="565"/>
      <c r="W833" s="565"/>
      <c r="X833" s="565"/>
      <c r="Y833" t="str">
        <f t="shared" ca="1" si="41"/>
        <v>PAGO</v>
      </c>
    </row>
    <row r="834" spans="1:25" x14ac:dyDescent="0.3">
      <c r="A834" t="s">
        <v>220</v>
      </c>
      <c r="B834" s="562">
        <v>2026</v>
      </c>
      <c r="C834" t="s">
        <v>249</v>
      </c>
      <c r="D834">
        <v>24569</v>
      </c>
      <c r="E834" t="s">
        <v>431</v>
      </c>
      <c r="F834" s="179">
        <v>46225</v>
      </c>
      <c r="G834" t="s">
        <v>264</v>
      </c>
      <c r="I834" t="s">
        <v>271</v>
      </c>
      <c r="J834" s="583">
        <v>14028.92</v>
      </c>
      <c r="L834" s="565">
        <f t="shared" si="39"/>
        <v>14028.92</v>
      </c>
      <c r="M834" s="179">
        <v>46270</v>
      </c>
      <c r="N834" s="179">
        <v>46268</v>
      </c>
      <c r="O834" s="565">
        <v>14028.92</v>
      </c>
      <c r="P834" s="565">
        <f t="shared" si="40"/>
        <v>0</v>
      </c>
      <c r="Q834" s="565"/>
      <c r="R834" s="565"/>
      <c r="S834" s="565"/>
      <c r="T834" s="565"/>
      <c r="U834" s="565"/>
      <c r="V834" s="565"/>
      <c r="W834" s="565"/>
      <c r="X834" s="565"/>
      <c r="Y834" t="str">
        <f t="shared" ca="1" si="41"/>
        <v>PAGO</v>
      </c>
    </row>
    <row r="835" spans="1:25" x14ac:dyDescent="0.3">
      <c r="A835" t="s">
        <v>220</v>
      </c>
      <c r="B835" s="562">
        <v>2026</v>
      </c>
      <c r="C835" t="s">
        <v>249</v>
      </c>
      <c r="D835">
        <v>24569</v>
      </c>
      <c r="E835" t="s">
        <v>431</v>
      </c>
      <c r="F835" s="179">
        <v>46225</v>
      </c>
      <c r="G835" t="s">
        <v>264</v>
      </c>
      <c r="I835" t="s">
        <v>271</v>
      </c>
      <c r="J835" s="583">
        <v>14028.92</v>
      </c>
      <c r="L835" s="565">
        <f t="shared" si="39"/>
        <v>14028.92</v>
      </c>
      <c r="M835" s="179">
        <v>46285</v>
      </c>
      <c r="N835" s="179">
        <v>46283</v>
      </c>
      <c r="O835" s="565">
        <v>14028.92</v>
      </c>
      <c r="P835" s="565">
        <f t="shared" si="40"/>
        <v>0</v>
      </c>
      <c r="Q835" s="565"/>
      <c r="R835" s="565"/>
      <c r="S835" s="565"/>
      <c r="T835" s="565"/>
      <c r="U835" s="565"/>
      <c r="V835" s="565"/>
      <c r="W835" s="565"/>
      <c r="X835" s="565"/>
      <c r="Y835" t="str">
        <f t="shared" ca="1" si="41"/>
        <v>PAGO</v>
      </c>
    </row>
    <row r="836" spans="1:25" x14ac:dyDescent="0.3">
      <c r="A836" t="s">
        <v>220</v>
      </c>
      <c r="B836" s="562">
        <v>2026</v>
      </c>
      <c r="C836" t="s">
        <v>249</v>
      </c>
      <c r="D836">
        <v>24569</v>
      </c>
      <c r="E836" t="s">
        <v>431</v>
      </c>
      <c r="F836" s="179">
        <v>46225</v>
      </c>
      <c r="G836" t="s">
        <v>264</v>
      </c>
      <c r="I836" t="s">
        <v>271</v>
      </c>
      <c r="J836" s="583">
        <v>14028.92</v>
      </c>
      <c r="L836" s="565">
        <f t="shared" si="39"/>
        <v>14028.92</v>
      </c>
      <c r="M836" s="179">
        <v>46300</v>
      </c>
      <c r="N836" s="179">
        <v>46302</v>
      </c>
      <c r="O836" s="565">
        <v>14028.92</v>
      </c>
      <c r="P836" s="565">
        <f t="shared" si="40"/>
        <v>0</v>
      </c>
      <c r="Q836" s="565"/>
      <c r="R836" s="565"/>
      <c r="S836" s="565"/>
      <c r="T836" s="565"/>
      <c r="U836" s="565"/>
      <c r="V836" s="565"/>
      <c r="W836" s="565"/>
      <c r="X836" s="565"/>
      <c r="Y836" t="str">
        <f t="shared" ca="1" si="41"/>
        <v>PAGO</v>
      </c>
    </row>
    <row r="837" spans="1:25" x14ac:dyDescent="0.3">
      <c r="A837" t="s">
        <v>220</v>
      </c>
      <c r="B837" s="562">
        <v>2026</v>
      </c>
      <c r="C837" t="s">
        <v>249</v>
      </c>
      <c r="D837">
        <v>24569</v>
      </c>
      <c r="E837" t="s">
        <v>431</v>
      </c>
      <c r="F837" s="179">
        <v>46225</v>
      </c>
      <c r="G837" t="s">
        <v>264</v>
      </c>
      <c r="I837" t="s">
        <v>271</v>
      </c>
      <c r="J837" s="583">
        <v>14028.92</v>
      </c>
      <c r="L837" s="565">
        <f t="shared" ref="L837:L840" si="48">J837+K837</f>
        <v>14028.92</v>
      </c>
      <c r="M837" s="179">
        <v>46315</v>
      </c>
      <c r="O837" s="565"/>
      <c r="P837" s="565">
        <f t="shared" ref="P837:P840" si="49">L837-O837</f>
        <v>14028.92</v>
      </c>
      <c r="Q837" s="565"/>
      <c r="R837" s="565"/>
      <c r="S837" s="565"/>
      <c r="T837" s="565"/>
      <c r="U837" s="565"/>
      <c r="V837" s="565"/>
      <c r="W837" s="565"/>
      <c r="X837" s="565"/>
      <c r="Y837" t="str">
        <f t="shared" ref="Y837:Y840" ca="1" si="50">IF(L837=0,"SEM VALOR",IF(P837&lt;=0.01,"PAGO",IF(M837="","SEM VENCIMENTO",IF(M837&lt;TODAY(),"VENCIDO","A VENCER"))))</f>
        <v>VENCIDO</v>
      </c>
    </row>
    <row r="838" spans="1:25" x14ac:dyDescent="0.3">
      <c r="A838" t="s">
        <v>220</v>
      </c>
      <c r="B838" s="562">
        <v>2026</v>
      </c>
      <c r="C838" t="s">
        <v>248</v>
      </c>
      <c r="D838">
        <v>24663</v>
      </c>
      <c r="E838">
        <v>5975</v>
      </c>
      <c r="F838" s="179">
        <v>46230</v>
      </c>
      <c r="G838" t="s">
        <v>236</v>
      </c>
      <c r="I838" t="s">
        <v>270</v>
      </c>
      <c r="K838" s="583">
        <v>1132.74</v>
      </c>
      <c r="L838" s="565">
        <f t="shared" si="48"/>
        <v>1132.74</v>
      </c>
      <c r="M838" s="179">
        <v>46258</v>
      </c>
      <c r="N838" s="179">
        <v>46258</v>
      </c>
      <c r="O838" s="565">
        <v>1132.76</v>
      </c>
      <c r="P838" s="565">
        <f t="shared" si="49"/>
        <v>-1.999999999998181E-2</v>
      </c>
      <c r="Q838" s="565"/>
      <c r="R838" s="565"/>
      <c r="S838" s="565"/>
      <c r="T838" s="565"/>
      <c r="U838" s="565"/>
      <c r="V838" s="565"/>
      <c r="W838" s="565"/>
      <c r="X838" s="565"/>
      <c r="Y838" t="str">
        <f t="shared" ca="1" si="50"/>
        <v>PAGO</v>
      </c>
    </row>
    <row r="839" spans="1:25" x14ac:dyDescent="0.3">
      <c r="A839" t="s">
        <v>220</v>
      </c>
      <c r="B839" s="562">
        <v>2026</v>
      </c>
      <c r="C839" t="s">
        <v>248</v>
      </c>
      <c r="D839">
        <v>24663</v>
      </c>
      <c r="E839">
        <v>5975</v>
      </c>
      <c r="F839" s="179">
        <v>46230</v>
      </c>
      <c r="G839" t="s">
        <v>236</v>
      </c>
      <c r="I839" t="s">
        <v>270</v>
      </c>
      <c r="K839" s="583">
        <v>1132.74</v>
      </c>
      <c r="L839" s="565">
        <f t="shared" si="48"/>
        <v>1132.74</v>
      </c>
      <c r="M839" s="179">
        <v>46265</v>
      </c>
      <c r="N839" s="179">
        <v>46260</v>
      </c>
      <c r="O839" s="565">
        <v>1132.76</v>
      </c>
      <c r="P839" s="565">
        <f t="shared" si="49"/>
        <v>-1.999999999998181E-2</v>
      </c>
      <c r="Q839" s="565"/>
      <c r="R839" s="565"/>
      <c r="S839" s="565"/>
      <c r="T839" s="565"/>
      <c r="U839" s="565"/>
      <c r="V839" s="565"/>
      <c r="W839" s="565"/>
      <c r="X839" s="565"/>
      <c r="Y839" t="str">
        <f t="shared" ca="1" si="50"/>
        <v>PAGO</v>
      </c>
    </row>
    <row r="840" spans="1:25" x14ac:dyDescent="0.3">
      <c r="A840" t="s">
        <v>220</v>
      </c>
      <c r="B840" s="562">
        <v>2026</v>
      </c>
      <c r="C840" t="s">
        <v>248</v>
      </c>
      <c r="D840">
        <v>24663</v>
      </c>
      <c r="E840">
        <v>5975</v>
      </c>
      <c r="F840" s="179">
        <v>46230</v>
      </c>
      <c r="G840" t="s">
        <v>236</v>
      </c>
      <c r="I840" t="s">
        <v>270</v>
      </c>
      <c r="K840" s="583">
        <v>1132.75</v>
      </c>
      <c r="L840" s="565">
        <f t="shared" si="48"/>
        <v>1132.75</v>
      </c>
      <c r="M840" s="179">
        <v>46272</v>
      </c>
      <c r="N840" s="179">
        <v>46262</v>
      </c>
      <c r="O840" s="565">
        <v>1132.75</v>
      </c>
      <c r="P840" s="565">
        <f t="shared" si="49"/>
        <v>0</v>
      </c>
      <c r="Q840" s="565"/>
      <c r="R840" s="565"/>
      <c r="S840" s="565"/>
      <c r="T840" s="565"/>
      <c r="U840" s="565"/>
      <c r="V840" s="565"/>
      <c r="W840" s="565"/>
      <c r="X840" s="565"/>
      <c r="Y840" t="str">
        <f t="shared" ca="1" si="50"/>
        <v>PAGO</v>
      </c>
    </row>
    <row r="841" spans="1:25" x14ac:dyDescent="0.3">
      <c r="A841" t="s">
        <v>220</v>
      </c>
      <c r="B841" s="562">
        <v>2026</v>
      </c>
      <c r="C841" t="s">
        <v>249</v>
      </c>
      <c r="D841">
        <v>24704</v>
      </c>
      <c r="E841">
        <v>5933</v>
      </c>
      <c r="F841" s="179">
        <v>46231</v>
      </c>
      <c r="G841" t="s">
        <v>432</v>
      </c>
      <c r="I841" t="s">
        <v>326</v>
      </c>
      <c r="J841" s="583">
        <v>2533.33</v>
      </c>
      <c r="L841" s="565">
        <f t="shared" ref="L841:L842" si="51">J841+K841</f>
        <v>2533.33</v>
      </c>
      <c r="M841" s="179">
        <v>46246</v>
      </c>
      <c r="N841" s="179">
        <v>46247</v>
      </c>
      <c r="O841" s="565">
        <v>2533.33</v>
      </c>
      <c r="P841" s="565">
        <f t="shared" ref="P841:P842" si="52">L841-O841</f>
        <v>0</v>
      </c>
      <c r="Q841" s="565"/>
      <c r="R841" s="565"/>
      <c r="S841" s="565"/>
      <c r="T841" s="565"/>
      <c r="U841" s="565"/>
      <c r="V841" s="565"/>
      <c r="W841" s="565"/>
      <c r="X841" s="565"/>
      <c r="Y841" t="str">
        <f t="shared" ref="Y841:Y842" ca="1" si="53">IF(L841=0,"SEM VALOR",IF(P841&lt;=0.01,"PAGO",IF(M841="","SEM VENCIMENTO",IF(M841&lt;TODAY(),"VENCIDO","A VENCER"))))</f>
        <v>PAGO</v>
      </c>
    </row>
    <row r="842" spans="1:25" x14ac:dyDescent="0.3">
      <c r="A842" t="s">
        <v>220</v>
      </c>
      <c r="B842" s="562">
        <v>2026</v>
      </c>
      <c r="C842" t="s">
        <v>249</v>
      </c>
      <c r="D842">
        <v>24704</v>
      </c>
      <c r="E842">
        <v>5933</v>
      </c>
      <c r="F842" s="179">
        <v>46231</v>
      </c>
      <c r="G842" t="s">
        <v>432</v>
      </c>
      <c r="I842" t="s">
        <v>326</v>
      </c>
      <c r="J842" s="583">
        <v>2533.33</v>
      </c>
      <c r="L842" s="565">
        <f t="shared" si="51"/>
        <v>2533.33</v>
      </c>
      <c r="M842" s="179">
        <v>46261</v>
      </c>
      <c r="N842" s="179">
        <v>46261</v>
      </c>
      <c r="O842" s="565">
        <v>2533.33</v>
      </c>
      <c r="P842" s="565">
        <f t="shared" si="52"/>
        <v>0</v>
      </c>
      <c r="Q842" s="565"/>
      <c r="R842" s="565"/>
      <c r="S842" s="565"/>
      <c r="T842" s="565"/>
      <c r="U842" s="565"/>
      <c r="V842" s="565"/>
      <c r="W842" s="565"/>
      <c r="X842" s="565"/>
      <c r="Y842" t="str">
        <f t="shared" ca="1" si="53"/>
        <v>PAGO</v>
      </c>
    </row>
    <row r="843" spans="1:25" x14ac:dyDescent="0.3">
      <c r="A843" t="s">
        <v>220</v>
      </c>
      <c r="B843" s="562">
        <v>2026</v>
      </c>
      <c r="C843" t="s">
        <v>249</v>
      </c>
      <c r="D843">
        <v>24704</v>
      </c>
      <c r="E843">
        <v>5933</v>
      </c>
      <c r="F843" s="179">
        <v>46231</v>
      </c>
      <c r="G843" t="s">
        <v>432</v>
      </c>
      <c r="I843" t="s">
        <v>326</v>
      </c>
      <c r="J843" s="583">
        <v>2533.34</v>
      </c>
      <c r="L843" s="565">
        <f>J843+K843</f>
        <v>2533.34</v>
      </c>
      <c r="M843" s="179">
        <v>46276</v>
      </c>
      <c r="N843" s="179">
        <v>46276</v>
      </c>
      <c r="O843" s="565">
        <v>2533.33</v>
      </c>
      <c r="P843" s="565">
        <f>L843-O843</f>
        <v>1.0000000000218279E-2</v>
      </c>
      <c r="Q843" s="565"/>
      <c r="R843" s="565"/>
      <c r="S843" s="565"/>
      <c r="T843" s="565"/>
      <c r="U843" s="565"/>
      <c r="V843" s="565"/>
      <c r="W843" s="565"/>
      <c r="X843" s="565"/>
      <c r="Y843" t="str">
        <f ca="1">IF(L843=0,"SEM VALOR",IF(P843&lt;=0.01,"PAGO",IF(M843="","SEM VENCIMENTO",IF(M843&lt;TODAY(),"VENCIDO","A VENCER"))))</f>
        <v>VENCIDO</v>
      </c>
    </row>
    <row r="844" spans="1:25" x14ac:dyDescent="0.3">
      <c r="A844" t="s">
        <v>220</v>
      </c>
      <c r="B844" s="562">
        <v>2026</v>
      </c>
      <c r="C844" t="s">
        <v>249</v>
      </c>
      <c r="D844">
        <v>24744</v>
      </c>
      <c r="E844">
        <v>6083</v>
      </c>
      <c r="F844" s="179">
        <v>46233</v>
      </c>
      <c r="G844" t="s">
        <v>379</v>
      </c>
      <c r="I844" t="s">
        <v>272</v>
      </c>
      <c r="J844" s="583">
        <v>5299.47</v>
      </c>
      <c r="K844" s="583">
        <v>0</v>
      </c>
      <c r="L844" s="565">
        <f>J844+K844</f>
        <v>5299.47</v>
      </c>
      <c r="M844" s="179">
        <v>46233</v>
      </c>
      <c r="N844" s="179">
        <v>46233</v>
      </c>
      <c r="O844" s="565">
        <v>5299.74</v>
      </c>
      <c r="P844" s="565">
        <f>L844-O844</f>
        <v>-0.26999999999952706</v>
      </c>
      <c r="Q844" s="565"/>
      <c r="R844" s="565"/>
      <c r="S844" s="565"/>
      <c r="T844" s="565"/>
      <c r="U844" s="565"/>
      <c r="V844" s="565"/>
      <c r="W844" s="565"/>
      <c r="X844" s="565"/>
      <c r="Y844" t="str">
        <f ca="1">IF(L844=0,"SEM VALOR",IF(P844&lt;=0.01,"PAGO",IF(M844="","SEM VENCIMENTO",IF(M844&lt;TODAY(),"VENCIDO","A VENCER"))))</f>
        <v>PAGO</v>
      </c>
    </row>
    <row r="845" spans="1:25" x14ac:dyDescent="0.3">
      <c r="A845" t="s">
        <v>221</v>
      </c>
      <c r="B845" s="562">
        <v>2026</v>
      </c>
      <c r="C845" t="s">
        <v>248</v>
      </c>
      <c r="D845">
        <v>24903</v>
      </c>
      <c r="E845">
        <v>6146</v>
      </c>
      <c r="F845" s="179">
        <v>46239</v>
      </c>
      <c r="G845" t="s">
        <v>236</v>
      </c>
      <c r="I845" t="s">
        <v>270</v>
      </c>
      <c r="K845" s="583">
        <v>317.39999999999998</v>
      </c>
      <c r="L845" s="565">
        <f>J845+K845</f>
        <v>317.39999999999998</v>
      </c>
      <c r="M845" s="179">
        <v>46267</v>
      </c>
      <c r="N845" s="179">
        <v>46260</v>
      </c>
      <c r="O845" s="565">
        <v>317.39999999999998</v>
      </c>
      <c r="P845" s="565">
        <f>L845-O845</f>
        <v>0</v>
      </c>
      <c r="Q845" s="565"/>
      <c r="R845" s="565"/>
      <c r="S845" s="565"/>
      <c r="T845" s="565"/>
      <c r="U845" s="565"/>
      <c r="V845" s="565"/>
      <c r="W845" s="565"/>
      <c r="X845" s="565"/>
      <c r="Y845" t="str">
        <f ca="1">IF(L845=0,"SEM VALOR",IF(P845&lt;=0.01,"PAGO",IF(M845="","SEM VENCIMENTO",IF(M845&lt;TODAY(),"VENCIDO","A VENCER"))))</f>
        <v>PAGO</v>
      </c>
    </row>
    <row r="846" spans="1:25" x14ac:dyDescent="0.3">
      <c r="A846" t="s">
        <v>221</v>
      </c>
      <c r="B846" s="562">
        <v>2026</v>
      </c>
      <c r="C846" t="s">
        <v>248</v>
      </c>
      <c r="D846">
        <v>24903</v>
      </c>
      <c r="E846">
        <v>6146</v>
      </c>
      <c r="F846" s="179">
        <v>46239</v>
      </c>
      <c r="G846" t="s">
        <v>236</v>
      </c>
      <c r="I846" t="s">
        <v>270</v>
      </c>
      <c r="K846" s="583">
        <v>317.39999999999998</v>
      </c>
      <c r="L846" s="565">
        <f t="shared" ref="L846:L853" si="54">J846+K846</f>
        <v>317.39999999999998</v>
      </c>
      <c r="M846" s="179">
        <v>46274</v>
      </c>
      <c r="N846" s="179">
        <v>46262</v>
      </c>
      <c r="O846" s="565">
        <v>317.39999999999998</v>
      </c>
      <c r="P846" s="565">
        <f t="shared" ref="P846:P853" si="55">L846-O846</f>
        <v>0</v>
      </c>
      <c r="Q846" s="565"/>
      <c r="R846" s="565"/>
      <c r="S846" s="565"/>
      <c r="T846" s="565"/>
      <c r="U846" s="565"/>
      <c r="V846" s="565"/>
      <c r="W846" s="565"/>
      <c r="X846" s="565"/>
      <c r="Y846" t="str">
        <f t="shared" ref="Y846:Y853" ca="1" si="56">IF(L846=0,"SEM VALOR",IF(P846&lt;=0.01,"PAGO",IF(M846="","SEM VENCIMENTO",IF(M846&lt;TODAY(),"VENCIDO","A VENCER"))))</f>
        <v>PAGO</v>
      </c>
    </row>
    <row r="847" spans="1:25" x14ac:dyDescent="0.3">
      <c r="A847" t="s">
        <v>221</v>
      </c>
      <c r="B847" s="562">
        <v>2026</v>
      </c>
      <c r="C847" t="s">
        <v>248</v>
      </c>
      <c r="D847">
        <v>24903</v>
      </c>
      <c r="E847">
        <v>6146</v>
      </c>
      <c r="F847" s="179">
        <v>46239</v>
      </c>
      <c r="G847" t="s">
        <v>236</v>
      </c>
      <c r="I847" t="s">
        <v>270</v>
      </c>
      <c r="K847" s="583">
        <v>317.39</v>
      </c>
      <c r="L847" s="565">
        <f t="shared" si="54"/>
        <v>317.39</v>
      </c>
      <c r="M847" s="179">
        <v>46281</v>
      </c>
      <c r="N847" s="179">
        <v>46262</v>
      </c>
      <c r="O847" s="565">
        <v>317.41000000000003</v>
      </c>
      <c r="P847" s="565">
        <f t="shared" si="55"/>
        <v>-2.0000000000038654E-2</v>
      </c>
      <c r="Q847" s="565"/>
      <c r="R847" s="565"/>
      <c r="S847" s="565"/>
      <c r="T847" s="565"/>
      <c r="U847" s="565"/>
      <c r="V847" s="565"/>
      <c r="W847" s="565"/>
      <c r="X847" s="565"/>
      <c r="Y847" t="str">
        <f t="shared" ca="1" si="56"/>
        <v>PAGO</v>
      </c>
    </row>
    <row r="848" spans="1:25" x14ac:dyDescent="0.3">
      <c r="A848" t="s">
        <v>221</v>
      </c>
      <c r="B848" s="562">
        <v>2026</v>
      </c>
      <c r="C848" t="s">
        <v>248</v>
      </c>
      <c r="D848">
        <v>24900</v>
      </c>
      <c r="E848">
        <v>6188</v>
      </c>
      <c r="F848" s="179">
        <v>46239</v>
      </c>
      <c r="G848" t="s">
        <v>236</v>
      </c>
      <c r="I848" t="s">
        <v>270</v>
      </c>
      <c r="K848" s="583">
        <v>1133.9000000000001</v>
      </c>
      <c r="L848" s="565">
        <f t="shared" si="54"/>
        <v>1133.9000000000001</v>
      </c>
      <c r="M848" s="179">
        <v>46267</v>
      </c>
      <c r="N848" s="179">
        <v>46260</v>
      </c>
      <c r="O848" s="565">
        <v>1133.9000000000001</v>
      </c>
      <c r="P848" s="565">
        <f t="shared" si="55"/>
        <v>0</v>
      </c>
      <c r="Q848" s="565"/>
      <c r="R848" s="565"/>
      <c r="S848" s="565"/>
      <c r="T848" s="565"/>
      <c r="U848" s="565"/>
      <c r="V848" s="565"/>
      <c r="W848" s="565"/>
      <c r="X848" s="565"/>
      <c r="Y848" t="str">
        <f t="shared" ca="1" si="56"/>
        <v>PAGO</v>
      </c>
    </row>
    <row r="849" spans="1:25" x14ac:dyDescent="0.3">
      <c r="A849" t="s">
        <v>221</v>
      </c>
      <c r="B849" s="562">
        <v>2026</v>
      </c>
      <c r="C849" t="s">
        <v>248</v>
      </c>
      <c r="D849">
        <v>24900</v>
      </c>
      <c r="E849">
        <v>6188</v>
      </c>
      <c r="F849" s="179">
        <v>46239</v>
      </c>
      <c r="G849" t="s">
        <v>236</v>
      </c>
      <c r="I849" t="s">
        <v>270</v>
      </c>
      <c r="K849" s="583">
        <v>1133.9000000000001</v>
      </c>
      <c r="L849" s="565">
        <f t="shared" si="54"/>
        <v>1133.9000000000001</v>
      </c>
      <c r="M849" s="179">
        <v>46274</v>
      </c>
      <c r="N849" s="179">
        <v>46262</v>
      </c>
      <c r="O849" s="565">
        <v>1133.9000000000001</v>
      </c>
      <c r="P849" s="565">
        <f t="shared" si="55"/>
        <v>0</v>
      </c>
      <c r="Q849" s="565"/>
      <c r="R849" s="565"/>
      <c r="S849" s="565"/>
      <c r="T849" s="565"/>
      <c r="U849" s="565"/>
      <c r="V849" s="565"/>
      <c r="W849" s="565"/>
      <c r="X849" s="565"/>
      <c r="Y849" t="str">
        <f t="shared" ca="1" si="56"/>
        <v>PAGO</v>
      </c>
    </row>
    <row r="850" spans="1:25" x14ac:dyDescent="0.3">
      <c r="A850" t="s">
        <v>221</v>
      </c>
      <c r="B850" s="562">
        <v>2026</v>
      </c>
      <c r="C850" t="s">
        <v>248</v>
      </c>
      <c r="D850">
        <v>24900</v>
      </c>
      <c r="E850">
        <v>6188</v>
      </c>
      <c r="F850" s="179">
        <v>46239</v>
      </c>
      <c r="G850" t="s">
        <v>236</v>
      </c>
      <c r="I850" t="s">
        <v>270</v>
      </c>
      <c r="K850" s="583">
        <v>1133.9000000000001</v>
      </c>
      <c r="L850" s="565">
        <f t="shared" si="54"/>
        <v>1133.9000000000001</v>
      </c>
      <c r="M850" s="179">
        <v>46281</v>
      </c>
      <c r="N850" s="179">
        <v>46262</v>
      </c>
      <c r="O850" s="565">
        <v>1133.9000000000001</v>
      </c>
      <c r="P850" s="565">
        <f t="shared" si="55"/>
        <v>0</v>
      </c>
      <c r="Q850" s="565"/>
      <c r="R850" s="565"/>
      <c r="S850" s="565"/>
      <c r="T850" s="565"/>
      <c r="U850" s="565"/>
      <c r="V850" s="565"/>
      <c r="W850" s="565"/>
      <c r="X850" s="565"/>
      <c r="Y850" t="str">
        <f t="shared" ca="1" si="56"/>
        <v>PAGO</v>
      </c>
    </row>
    <row r="851" spans="1:25" x14ac:dyDescent="0.3">
      <c r="A851" t="s">
        <v>221</v>
      </c>
      <c r="B851" s="562">
        <v>2026</v>
      </c>
      <c r="C851" t="s">
        <v>248</v>
      </c>
      <c r="D851">
        <v>24933</v>
      </c>
      <c r="E851">
        <v>6216</v>
      </c>
      <c r="F851" s="179">
        <v>46240</v>
      </c>
      <c r="G851" t="s">
        <v>237</v>
      </c>
      <c r="I851" t="s">
        <v>270</v>
      </c>
      <c r="K851" s="583">
        <v>351.95</v>
      </c>
      <c r="L851" s="565">
        <f t="shared" si="54"/>
        <v>351.95</v>
      </c>
      <c r="M851" s="179">
        <v>46248</v>
      </c>
      <c r="N851" s="179">
        <v>46265</v>
      </c>
      <c r="O851" s="565">
        <v>351.95</v>
      </c>
      <c r="P851" s="565">
        <f t="shared" si="55"/>
        <v>0</v>
      </c>
      <c r="Q851" s="565"/>
      <c r="R851" s="565"/>
      <c r="S851" s="565"/>
      <c r="T851" s="565"/>
      <c r="U851" s="565"/>
      <c r="V851" s="565"/>
      <c r="W851" s="565"/>
      <c r="X851" s="565"/>
      <c r="Y851" t="str">
        <f t="shared" ca="1" si="56"/>
        <v>PAGO</v>
      </c>
    </row>
    <row r="852" spans="1:25" x14ac:dyDescent="0.3">
      <c r="A852" t="s">
        <v>221</v>
      </c>
      <c r="B852" s="562">
        <v>2026</v>
      </c>
      <c r="C852" t="s">
        <v>248</v>
      </c>
      <c r="D852">
        <v>24934</v>
      </c>
      <c r="E852">
        <v>6218</v>
      </c>
      <c r="F852" s="179">
        <v>46240</v>
      </c>
      <c r="G852" t="s">
        <v>237</v>
      </c>
      <c r="I852" t="s">
        <v>270</v>
      </c>
      <c r="K852" s="583">
        <v>1398.87</v>
      </c>
      <c r="L852" s="565">
        <f t="shared" si="54"/>
        <v>1398.87</v>
      </c>
      <c r="M852" s="179">
        <v>46248</v>
      </c>
      <c r="N852" s="179">
        <v>46265</v>
      </c>
      <c r="O852" s="565">
        <v>1398.87</v>
      </c>
      <c r="P852" s="565">
        <f t="shared" si="55"/>
        <v>0</v>
      </c>
      <c r="Q852" s="565"/>
      <c r="R852" s="565"/>
      <c r="S852" s="565"/>
      <c r="T852" s="565"/>
      <c r="U852" s="565"/>
      <c r="V852" s="565"/>
      <c r="W852" s="565"/>
      <c r="X852" s="565"/>
      <c r="Y852" t="str">
        <f t="shared" ca="1" si="56"/>
        <v>PAGO</v>
      </c>
    </row>
    <row r="853" spans="1:25" x14ac:dyDescent="0.3">
      <c r="A853" t="s">
        <v>221</v>
      </c>
      <c r="B853" s="562">
        <v>2026</v>
      </c>
      <c r="C853" t="s">
        <v>248</v>
      </c>
      <c r="D853">
        <v>25063</v>
      </c>
      <c r="E853">
        <v>6323</v>
      </c>
      <c r="F853" s="179">
        <v>46246</v>
      </c>
      <c r="G853" t="s">
        <v>236</v>
      </c>
      <c r="I853" t="s">
        <v>270</v>
      </c>
      <c r="K853" s="583">
        <v>497.95</v>
      </c>
      <c r="L853" s="565">
        <f t="shared" si="54"/>
        <v>497.95</v>
      </c>
      <c r="M853" s="179">
        <v>46274</v>
      </c>
      <c r="N853" s="179">
        <v>46262</v>
      </c>
      <c r="O853" s="565">
        <v>497.95</v>
      </c>
      <c r="P853" s="565">
        <f t="shared" si="55"/>
        <v>0</v>
      </c>
      <c r="Q853" s="565"/>
      <c r="R853" s="565"/>
      <c r="S853" s="565"/>
      <c r="T853" s="565"/>
      <c r="U853" s="565"/>
      <c r="V853" s="565"/>
      <c r="W853" s="565"/>
      <c r="X853" s="565"/>
      <c r="Y853" t="str">
        <f t="shared" ca="1" si="56"/>
        <v>PAGO</v>
      </c>
    </row>
    <row r="854" spans="1:25" x14ac:dyDescent="0.3">
      <c r="A854" t="s">
        <v>221</v>
      </c>
      <c r="B854" s="562">
        <v>2026</v>
      </c>
      <c r="C854" t="s">
        <v>248</v>
      </c>
      <c r="D854">
        <v>25063</v>
      </c>
      <c r="E854">
        <v>6323</v>
      </c>
      <c r="F854" s="179">
        <v>46246</v>
      </c>
      <c r="G854" t="s">
        <v>236</v>
      </c>
      <c r="I854" t="s">
        <v>270</v>
      </c>
      <c r="K854" s="583">
        <v>497.95</v>
      </c>
      <c r="L854" s="565">
        <f t="shared" ref="L854:L855" si="57">J854+K854</f>
        <v>497.95</v>
      </c>
      <c r="M854" s="179">
        <v>46250</v>
      </c>
      <c r="N854" s="179">
        <v>46267</v>
      </c>
      <c r="O854" s="565">
        <v>497.95</v>
      </c>
      <c r="P854" s="565">
        <f t="shared" ref="P854:P855" si="58">L854-O854</f>
        <v>0</v>
      </c>
      <c r="Q854" s="565"/>
      <c r="R854" s="565"/>
      <c r="S854" s="565"/>
      <c r="T854" s="565"/>
      <c r="U854" s="565"/>
      <c r="V854" s="565"/>
      <c r="W854" s="565"/>
      <c r="X854" s="565"/>
      <c r="Y854" t="str">
        <f t="shared" ref="Y854:Y855" ca="1" si="59">IF(L854=0,"SEM VALOR",IF(P854&lt;=0.01,"PAGO",IF(M854="","SEM VENCIMENTO",IF(M854&lt;TODAY(),"VENCIDO","A VENCER"))))</f>
        <v>PAGO</v>
      </c>
    </row>
    <row r="855" spans="1:25" x14ac:dyDescent="0.3">
      <c r="A855" t="s">
        <v>221</v>
      </c>
      <c r="B855" s="562">
        <v>2026</v>
      </c>
      <c r="C855" t="s">
        <v>248</v>
      </c>
      <c r="D855">
        <v>25063</v>
      </c>
      <c r="E855">
        <v>6323</v>
      </c>
      <c r="F855" s="179">
        <v>46246</v>
      </c>
      <c r="G855" t="s">
        <v>236</v>
      </c>
      <c r="I855" t="s">
        <v>270</v>
      </c>
      <c r="K855" s="583">
        <v>497.94</v>
      </c>
      <c r="L855" s="565">
        <f t="shared" si="57"/>
        <v>497.94</v>
      </c>
      <c r="M855" s="179">
        <v>46257</v>
      </c>
      <c r="N855" s="179">
        <v>46267</v>
      </c>
      <c r="O855" s="565">
        <v>497.96</v>
      </c>
      <c r="P855" s="565">
        <f t="shared" si="58"/>
        <v>-1.999999999998181E-2</v>
      </c>
      <c r="Q855" s="565"/>
      <c r="R855" s="565"/>
      <c r="S855" s="565"/>
      <c r="T855" s="565"/>
      <c r="U855" s="565"/>
      <c r="V855" s="565"/>
      <c r="W855" s="565"/>
      <c r="X855" s="565"/>
      <c r="Y855" t="str">
        <f t="shared" ca="1" si="59"/>
        <v>PAGO</v>
      </c>
    </row>
    <row r="856" spans="1:25" x14ac:dyDescent="0.3">
      <c r="A856" t="s">
        <v>221</v>
      </c>
      <c r="B856" s="562">
        <v>2026</v>
      </c>
      <c r="C856" t="s">
        <v>248</v>
      </c>
      <c r="D856">
        <v>25220</v>
      </c>
      <c r="E856">
        <v>6434</v>
      </c>
      <c r="F856" s="179">
        <v>46253</v>
      </c>
      <c r="G856" t="s">
        <v>236</v>
      </c>
      <c r="I856" t="s">
        <v>270</v>
      </c>
      <c r="K856" s="583">
        <v>272.55</v>
      </c>
      <c r="L856" s="565">
        <f t="shared" ref="L856:L866" si="60">J856+K856</f>
        <v>272.55</v>
      </c>
      <c r="M856" s="179">
        <v>46281</v>
      </c>
      <c r="N856" s="179">
        <v>46267</v>
      </c>
      <c r="O856" s="565">
        <v>272.55</v>
      </c>
      <c r="P856" s="565">
        <f t="shared" ref="P856:P866" si="61">L856-O856</f>
        <v>0</v>
      </c>
      <c r="Q856" s="565"/>
      <c r="R856" s="565"/>
      <c r="S856" s="565"/>
      <c r="T856" s="565"/>
      <c r="U856" s="565"/>
      <c r="V856" s="565"/>
      <c r="W856" s="565"/>
      <c r="X856" s="565"/>
      <c r="Y856" t="str">
        <f t="shared" ref="Y856:Y866" ca="1" si="62">IF(L856=0,"SEM VALOR",IF(P856&lt;=0.01,"PAGO",IF(M856="","SEM VENCIMENTO",IF(M856&lt;TODAY(),"VENCIDO","A VENCER"))))</f>
        <v>PAGO</v>
      </c>
    </row>
    <row r="857" spans="1:25" x14ac:dyDescent="0.3">
      <c r="A857" t="s">
        <v>221</v>
      </c>
      <c r="B857" s="562">
        <v>2026</v>
      </c>
      <c r="C857" t="s">
        <v>248</v>
      </c>
      <c r="D857">
        <v>25240</v>
      </c>
      <c r="E857">
        <v>6433</v>
      </c>
      <c r="F857" s="179">
        <v>46253</v>
      </c>
      <c r="G857" t="s">
        <v>236</v>
      </c>
      <c r="I857" t="s">
        <v>270</v>
      </c>
      <c r="K857" s="583">
        <v>536.47</v>
      </c>
      <c r="L857" s="565">
        <f t="shared" si="60"/>
        <v>536.47</v>
      </c>
      <c r="M857" s="179">
        <v>46281</v>
      </c>
      <c r="N857" s="179">
        <v>46267</v>
      </c>
      <c r="O857" s="565">
        <v>536.48</v>
      </c>
      <c r="P857" s="565">
        <f t="shared" si="61"/>
        <v>-9.9999999999909051E-3</v>
      </c>
      <c r="Q857" s="565"/>
      <c r="R857" s="565"/>
      <c r="S857" s="565"/>
      <c r="T857" s="565"/>
      <c r="U857" s="565"/>
      <c r="V857" s="565"/>
      <c r="W857" s="565"/>
      <c r="X857" s="565"/>
      <c r="Y857" t="str">
        <f t="shared" ca="1" si="62"/>
        <v>PAGO</v>
      </c>
    </row>
    <row r="858" spans="1:25" x14ac:dyDescent="0.3">
      <c r="A858" t="s">
        <v>221</v>
      </c>
      <c r="B858" s="562">
        <v>2026</v>
      </c>
      <c r="C858" t="s">
        <v>248</v>
      </c>
      <c r="D858">
        <v>25237</v>
      </c>
      <c r="E858">
        <v>6429</v>
      </c>
      <c r="F858" s="179">
        <v>46253</v>
      </c>
      <c r="G858" t="s">
        <v>236</v>
      </c>
      <c r="I858" t="s">
        <v>270</v>
      </c>
      <c r="K858" s="583">
        <v>410.55</v>
      </c>
      <c r="L858" s="565">
        <f t="shared" si="60"/>
        <v>410.55</v>
      </c>
      <c r="M858" s="179">
        <v>46250</v>
      </c>
      <c r="N858" s="179">
        <v>46267</v>
      </c>
      <c r="O858" s="565">
        <v>410.56</v>
      </c>
      <c r="P858" s="565">
        <f t="shared" si="61"/>
        <v>-9.9999999999909051E-3</v>
      </c>
      <c r="Q858" s="565"/>
      <c r="R858" s="565"/>
      <c r="S858" s="565"/>
      <c r="T858" s="565"/>
      <c r="U858" s="565"/>
      <c r="V858" s="565"/>
      <c r="W858" s="565"/>
      <c r="X858" s="565"/>
      <c r="Y858" t="str">
        <f t="shared" ca="1" si="62"/>
        <v>PAGO</v>
      </c>
    </row>
    <row r="859" spans="1:25" x14ac:dyDescent="0.3">
      <c r="A859" t="s">
        <v>221</v>
      </c>
      <c r="B859" s="562">
        <v>2026</v>
      </c>
      <c r="C859" t="s">
        <v>248</v>
      </c>
      <c r="D859">
        <v>25237</v>
      </c>
      <c r="E859">
        <v>6429</v>
      </c>
      <c r="F859" s="179">
        <v>46253</v>
      </c>
      <c r="G859" t="s">
        <v>236</v>
      </c>
      <c r="I859" t="s">
        <v>270</v>
      </c>
      <c r="K859" s="583">
        <v>410.55</v>
      </c>
      <c r="L859" s="565">
        <f t="shared" si="60"/>
        <v>410.55</v>
      </c>
      <c r="M859" s="179">
        <v>46288</v>
      </c>
      <c r="N859" s="179">
        <v>46301</v>
      </c>
      <c r="O859" s="565">
        <v>410.55</v>
      </c>
      <c r="P859" s="565">
        <f t="shared" si="61"/>
        <v>0</v>
      </c>
      <c r="Q859" s="565"/>
      <c r="R859" s="565"/>
      <c r="S859" s="565"/>
      <c r="T859" s="565"/>
      <c r="U859" s="565"/>
      <c r="V859" s="565"/>
      <c r="W859" s="565"/>
      <c r="X859" s="565"/>
      <c r="Y859" t="str">
        <f t="shared" ca="1" si="62"/>
        <v>PAGO</v>
      </c>
    </row>
    <row r="860" spans="1:25" x14ac:dyDescent="0.3">
      <c r="A860" t="s">
        <v>221</v>
      </c>
      <c r="B860" s="562">
        <v>2026</v>
      </c>
      <c r="C860" t="s">
        <v>248</v>
      </c>
      <c r="D860">
        <v>25267</v>
      </c>
      <c r="E860">
        <v>6429</v>
      </c>
      <c r="F860" s="179">
        <v>46254</v>
      </c>
      <c r="G860" t="s">
        <v>236</v>
      </c>
      <c r="I860" t="s">
        <v>270</v>
      </c>
      <c r="K860" s="583">
        <v>499.1</v>
      </c>
      <c r="L860" s="565">
        <f t="shared" si="60"/>
        <v>499.1</v>
      </c>
      <c r="M860" s="179">
        <v>46282</v>
      </c>
      <c r="N860" s="179">
        <v>46267</v>
      </c>
      <c r="O860" s="565">
        <v>499.1</v>
      </c>
      <c r="P860" s="565">
        <f t="shared" si="61"/>
        <v>0</v>
      </c>
      <c r="Q860" s="565"/>
      <c r="R860" s="565"/>
      <c r="S860" s="565"/>
      <c r="T860" s="565"/>
      <c r="U860" s="565"/>
      <c r="V860" s="565"/>
      <c r="W860" s="565"/>
      <c r="X860" s="565"/>
      <c r="Y860" t="str">
        <f t="shared" ca="1" si="62"/>
        <v>PAGO</v>
      </c>
    </row>
    <row r="861" spans="1:25" x14ac:dyDescent="0.3">
      <c r="A861" t="s">
        <v>221</v>
      </c>
      <c r="B861" s="562">
        <v>2026</v>
      </c>
      <c r="C861" t="s">
        <v>248</v>
      </c>
      <c r="D861">
        <v>25267</v>
      </c>
      <c r="E861">
        <v>6429</v>
      </c>
      <c r="F861" s="179">
        <v>46254</v>
      </c>
      <c r="G861" t="s">
        <v>236</v>
      </c>
      <c r="I861" t="s">
        <v>270</v>
      </c>
      <c r="K861" s="583">
        <v>499.1</v>
      </c>
      <c r="L861" s="565">
        <f t="shared" si="60"/>
        <v>499.1</v>
      </c>
      <c r="M861" s="179">
        <v>46289</v>
      </c>
      <c r="N861" s="179">
        <v>46267</v>
      </c>
      <c r="O861" s="565">
        <v>499.1</v>
      </c>
      <c r="P861" s="565">
        <f t="shared" si="61"/>
        <v>0</v>
      </c>
      <c r="Q861" s="565"/>
      <c r="R861" s="565"/>
      <c r="S861" s="565"/>
      <c r="T861" s="565"/>
      <c r="U861" s="565"/>
      <c r="V861" s="565"/>
      <c r="W861" s="565"/>
      <c r="X861" s="565"/>
      <c r="Y861" t="str">
        <f t="shared" ca="1" si="62"/>
        <v>PAGO</v>
      </c>
    </row>
    <row r="862" spans="1:25" x14ac:dyDescent="0.3">
      <c r="A862" t="s">
        <v>221</v>
      </c>
      <c r="B862" s="562">
        <v>2026</v>
      </c>
      <c r="C862" t="s">
        <v>248</v>
      </c>
      <c r="D862">
        <v>25267</v>
      </c>
      <c r="E862">
        <v>6429</v>
      </c>
      <c r="F862" s="179">
        <v>46254</v>
      </c>
      <c r="G862" t="s">
        <v>236</v>
      </c>
      <c r="I862" t="s">
        <v>270</v>
      </c>
      <c r="K862" s="583">
        <v>499.09</v>
      </c>
      <c r="L862" s="565">
        <f t="shared" si="60"/>
        <v>499.09</v>
      </c>
      <c r="M862" s="179">
        <v>46296</v>
      </c>
      <c r="N862" s="179">
        <v>46274</v>
      </c>
      <c r="O862" s="565">
        <v>499.11</v>
      </c>
      <c r="P862" s="565">
        <f t="shared" si="61"/>
        <v>-2.0000000000038654E-2</v>
      </c>
      <c r="Q862" s="565"/>
      <c r="R862" s="565"/>
      <c r="S862" s="565"/>
      <c r="T862" s="565"/>
      <c r="U862" s="565"/>
      <c r="V862" s="565"/>
      <c r="W862" s="565"/>
      <c r="X862" s="565"/>
      <c r="Y862" t="str">
        <f t="shared" ca="1" si="62"/>
        <v>PAGO</v>
      </c>
    </row>
    <row r="863" spans="1:25" x14ac:dyDescent="0.3">
      <c r="A863" t="s">
        <v>221</v>
      </c>
      <c r="B863" s="562">
        <v>2026</v>
      </c>
      <c r="C863" t="s">
        <v>248</v>
      </c>
      <c r="D863">
        <v>25342</v>
      </c>
      <c r="E863">
        <v>6490</v>
      </c>
      <c r="F863" s="179">
        <v>46258</v>
      </c>
      <c r="G863" t="s">
        <v>236</v>
      </c>
      <c r="I863" t="s">
        <v>270</v>
      </c>
      <c r="K863" s="583">
        <v>986.7</v>
      </c>
      <c r="L863" s="565">
        <f t="shared" si="60"/>
        <v>986.7</v>
      </c>
      <c r="M863" s="179">
        <v>46286</v>
      </c>
      <c r="N863" s="179">
        <v>46267</v>
      </c>
      <c r="O863" s="565">
        <v>986.7</v>
      </c>
      <c r="P863" s="565">
        <f t="shared" si="61"/>
        <v>0</v>
      </c>
      <c r="Q863" s="565"/>
      <c r="R863" s="565"/>
      <c r="S863" s="565"/>
      <c r="T863" s="565"/>
      <c r="U863" s="565"/>
      <c r="V863" s="565"/>
      <c r="W863" s="565"/>
      <c r="X863" s="565"/>
      <c r="Y863" t="str">
        <f t="shared" ca="1" si="62"/>
        <v>PAGO</v>
      </c>
    </row>
    <row r="864" spans="1:25" x14ac:dyDescent="0.3">
      <c r="A864" t="s">
        <v>221</v>
      </c>
      <c r="B864" s="562">
        <v>2026</v>
      </c>
      <c r="C864" t="s">
        <v>248</v>
      </c>
      <c r="D864">
        <v>25342</v>
      </c>
      <c r="E864">
        <v>6490</v>
      </c>
      <c r="F864" s="179">
        <v>46258</v>
      </c>
      <c r="G864" t="s">
        <v>236</v>
      </c>
      <c r="I864" t="s">
        <v>270</v>
      </c>
      <c r="K864" s="583">
        <v>986.7</v>
      </c>
      <c r="L864" s="565">
        <f t="shared" si="60"/>
        <v>986.7</v>
      </c>
      <c r="M864" s="179">
        <v>46293</v>
      </c>
      <c r="N864" s="179">
        <v>46267</v>
      </c>
      <c r="O864" s="565">
        <v>986.7</v>
      </c>
      <c r="P864" s="565">
        <f t="shared" si="61"/>
        <v>0</v>
      </c>
      <c r="Q864" s="565"/>
      <c r="R864" s="565"/>
      <c r="S864" s="565"/>
      <c r="T864" s="565"/>
      <c r="U864" s="565"/>
      <c r="V864" s="565"/>
      <c r="W864" s="565"/>
      <c r="X864" s="565"/>
      <c r="Y864" t="str">
        <f t="shared" ca="1" si="62"/>
        <v>PAGO</v>
      </c>
    </row>
    <row r="865" spans="1:25" x14ac:dyDescent="0.3">
      <c r="A865" t="s">
        <v>221</v>
      </c>
      <c r="B865" s="562">
        <v>2026</v>
      </c>
      <c r="C865" t="s">
        <v>248</v>
      </c>
      <c r="D865">
        <v>25342</v>
      </c>
      <c r="E865">
        <v>6490</v>
      </c>
      <c r="F865" s="179">
        <v>46258</v>
      </c>
      <c r="G865" t="s">
        <v>236</v>
      </c>
      <c r="I865" t="s">
        <v>270</v>
      </c>
      <c r="K865" s="583">
        <v>986.69</v>
      </c>
      <c r="L865" s="565">
        <f t="shared" si="60"/>
        <v>986.69</v>
      </c>
      <c r="M865" s="179">
        <v>46300</v>
      </c>
      <c r="N865" s="179">
        <v>46301</v>
      </c>
      <c r="O865" s="565">
        <v>986.71</v>
      </c>
      <c r="P865" s="565">
        <f t="shared" si="61"/>
        <v>-1.999999999998181E-2</v>
      </c>
      <c r="Q865" s="565"/>
      <c r="R865" s="565"/>
      <c r="S865" s="565"/>
      <c r="T865" s="565"/>
      <c r="U865" s="565"/>
      <c r="V865" s="565"/>
      <c r="W865" s="565"/>
      <c r="X865" s="565"/>
      <c r="Y865" t="str">
        <f t="shared" ca="1" si="62"/>
        <v>PAGO</v>
      </c>
    </row>
    <row r="866" spans="1:25" x14ac:dyDescent="0.3">
      <c r="A866" t="s">
        <v>221</v>
      </c>
      <c r="B866" s="562">
        <v>2026</v>
      </c>
      <c r="C866" t="s">
        <v>248</v>
      </c>
      <c r="D866">
        <v>25380</v>
      </c>
      <c r="E866">
        <v>6490</v>
      </c>
      <c r="F866" s="179">
        <v>46259</v>
      </c>
      <c r="G866" t="s">
        <v>236</v>
      </c>
      <c r="I866" t="s">
        <v>270</v>
      </c>
      <c r="K866" s="583">
        <v>367.42</v>
      </c>
      <c r="L866" s="565">
        <f t="shared" si="60"/>
        <v>367.42</v>
      </c>
      <c r="M866" s="179">
        <v>46287</v>
      </c>
      <c r="N866" s="179">
        <v>46267</v>
      </c>
      <c r="O866" s="565">
        <v>367.43</v>
      </c>
      <c r="P866" s="565">
        <f t="shared" si="61"/>
        <v>-9.9999999999909051E-3</v>
      </c>
      <c r="Q866" s="565"/>
      <c r="R866" s="565"/>
      <c r="S866" s="565"/>
      <c r="T866" s="565"/>
      <c r="U866" s="565"/>
      <c r="V866" s="565"/>
      <c r="W866" s="565"/>
      <c r="X866" s="565"/>
      <c r="Y866" t="str">
        <f t="shared" ca="1" si="62"/>
        <v>PAGO</v>
      </c>
    </row>
    <row r="867" spans="1:25" x14ac:dyDescent="0.3">
      <c r="A867" t="s">
        <v>221</v>
      </c>
      <c r="B867" s="562">
        <v>2026</v>
      </c>
      <c r="C867" t="s">
        <v>248</v>
      </c>
      <c r="D867">
        <v>25380</v>
      </c>
      <c r="E867">
        <v>6490</v>
      </c>
      <c r="F867" s="179">
        <v>46259</v>
      </c>
      <c r="G867" t="s">
        <v>236</v>
      </c>
      <c r="I867" t="s">
        <v>270</v>
      </c>
      <c r="K867" s="583">
        <v>367.42</v>
      </c>
      <c r="L867" s="565">
        <f t="shared" ref="L867:L904" si="63">J867+K867</f>
        <v>367.42</v>
      </c>
      <c r="M867" s="179">
        <v>46294</v>
      </c>
      <c r="N867" s="179">
        <v>46267</v>
      </c>
      <c r="O867" s="565">
        <v>367.43</v>
      </c>
      <c r="P867" s="565">
        <f t="shared" ref="P867:P903" si="64">L867-O867</f>
        <v>-9.9999999999909051E-3</v>
      </c>
      <c r="Q867" s="565"/>
      <c r="R867" s="565"/>
      <c r="S867" s="565"/>
      <c r="T867" s="565"/>
      <c r="U867" s="565"/>
      <c r="V867" s="565"/>
      <c r="W867" s="565"/>
      <c r="X867" s="565"/>
      <c r="Y867" t="str">
        <f t="shared" ref="Y867:Y903" ca="1" si="65">IF(L867=0,"SEM VALOR",IF(P867&lt;=0.01,"PAGO",IF(M867="","SEM VENCIMENTO",IF(M867&lt;TODAY(),"VENCIDO","A VENCER"))))</f>
        <v>PAGO</v>
      </c>
    </row>
    <row r="868" spans="1:25" x14ac:dyDescent="0.3">
      <c r="A868" t="s">
        <v>221</v>
      </c>
      <c r="B868" s="562">
        <v>2026</v>
      </c>
      <c r="C868" t="s">
        <v>248</v>
      </c>
      <c r="D868">
        <v>25380</v>
      </c>
      <c r="E868">
        <v>6490</v>
      </c>
      <c r="F868" s="179">
        <v>46259</v>
      </c>
      <c r="G868" t="s">
        <v>236</v>
      </c>
      <c r="I868" t="s">
        <v>270</v>
      </c>
      <c r="K868" s="583">
        <v>367.43</v>
      </c>
      <c r="L868" s="565">
        <f t="shared" si="63"/>
        <v>367.43</v>
      </c>
      <c r="M868" s="179">
        <v>46301</v>
      </c>
      <c r="N868" s="179">
        <v>46301</v>
      </c>
      <c r="O868" s="565">
        <v>367.42</v>
      </c>
      <c r="P868" s="565">
        <f t="shared" si="64"/>
        <v>9.9999999999909051E-3</v>
      </c>
      <c r="Q868" s="565"/>
      <c r="R868" s="565"/>
      <c r="S868" s="565"/>
      <c r="T868" s="565"/>
      <c r="U868" s="565"/>
      <c r="V868" s="565"/>
      <c r="W868" s="565"/>
      <c r="X868" s="565"/>
      <c r="Y868" t="str">
        <f t="shared" ca="1" si="65"/>
        <v>PAGO</v>
      </c>
    </row>
    <row r="869" spans="1:25" x14ac:dyDescent="0.3">
      <c r="A869" t="s">
        <v>221</v>
      </c>
      <c r="B869" s="562">
        <v>2026</v>
      </c>
      <c r="C869" t="s">
        <v>248</v>
      </c>
      <c r="D869">
        <v>25414</v>
      </c>
      <c r="E869">
        <v>6510</v>
      </c>
      <c r="F869" s="179">
        <v>46260</v>
      </c>
      <c r="G869" t="s">
        <v>236</v>
      </c>
      <c r="I869" t="s">
        <v>270</v>
      </c>
      <c r="K869" s="583">
        <v>549.12</v>
      </c>
      <c r="L869" s="565">
        <f t="shared" si="63"/>
        <v>549.12</v>
      </c>
      <c r="M869" s="179">
        <v>46288</v>
      </c>
      <c r="N869" s="179">
        <v>46267</v>
      </c>
      <c r="O869" s="565">
        <v>549.13</v>
      </c>
      <c r="P869" s="565">
        <f t="shared" si="64"/>
        <v>-9.9999999999909051E-3</v>
      </c>
      <c r="Q869" s="565"/>
      <c r="R869" s="565"/>
      <c r="S869" s="565"/>
      <c r="T869" s="565"/>
      <c r="U869" s="565"/>
      <c r="V869" s="565"/>
      <c r="W869" s="565"/>
      <c r="X869" s="565"/>
      <c r="Y869" t="str">
        <f t="shared" ca="1" si="65"/>
        <v>PAGO</v>
      </c>
    </row>
    <row r="870" spans="1:25" x14ac:dyDescent="0.3">
      <c r="A870" t="s">
        <v>221</v>
      </c>
      <c r="B870" s="562">
        <v>2026</v>
      </c>
      <c r="C870" t="s">
        <v>248</v>
      </c>
      <c r="D870">
        <v>25414</v>
      </c>
      <c r="E870">
        <v>6510</v>
      </c>
      <c r="F870" s="179">
        <v>46260</v>
      </c>
      <c r="G870" t="s">
        <v>236</v>
      </c>
      <c r="I870" t="s">
        <v>270</v>
      </c>
      <c r="K870" s="583">
        <v>549.12</v>
      </c>
      <c r="L870" s="565">
        <f t="shared" si="63"/>
        <v>549.12</v>
      </c>
      <c r="M870" s="179">
        <v>46295</v>
      </c>
      <c r="N870" s="179">
        <v>46267</v>
      </c>
      <c r="O870" s="565">
        <v>549.13</v>
      </c>
      <c r="P870" s="565">
        <f t="shared" si="64"/>
        <v>-9.9999999999909051E-3</v>
      </c>
      <c r="Q870" s="565"/>
      <c r="R870" s="565"/>
      <c r="S870" s="565"/>
      <c r="T870" s="565"/>
      <c r="U870" s="565"/>
      <c r="V870" s="565"/>
      <c r="W870" s="565"/>
      <c r="X870" s="565"/>
      <c r="Y870" t="str">
        <f t="shared" ca="1" si="65"/>
        <v>PAGO</v>
      </c>
    </row>
    <row r="871" spans="1:25" x14ac:dyDescent="0.3">
      <c r="A871" t="s">
        <v>221</v>
      </c>
      <c r="B871" s="562">
        <v>2026</v>
      </c>
      <c r="C871" t="s">
        <v>248</v>
      </c>
      <c r="D871">
        <v>25414</v>
      </c>
      <c r="E871">
        <v>6510</v>
      </c>
      <c r="F871" s="179">
        <v>46260</v>
      </c>
      <c r="G871" t="s">
        <v>236</v>
      </c>
      <c r="I871" t="s">
        <v>270</v>
      </c>
      <c r="K871" s="583">
        <v>549.13</v>
      </c>
      <c r="L871" s="565">
        <f t="shared" ref="L871:L897" si="66">J871+K871</f>
        <v>549.13</v>
      </c>
      <c r="M871" s="179">
        <v>46302</v>
      </c>
      <c r="N871" s="179">
        <v>46301</v>
      </c>
      <c r="O871" s="565">
        <v>549.12</v>
      </c>
      <c r="P871" s="565">
        <f t="shared" ref="P871:P897" si="67">L871-O871</f>
        <v>9.9999999999909051E-3</v>
      </c>
      <c r="Q871" s="565"/>
      <c r="R871" s="565"/>
      <c r="S871" s="565"/>
      <c r="T871" s="565"/>
      <c r="U871" s="565"/>
      <c r="V871" s="565"/>
      <c r="W871" s="565"/>
      <c r="X871" s="565"/>
      <c r="Y871" t="str">
        <f t="shared" ref="Y871:Y897" ca="1" si="68">IF(L871=0,"SEM VALOR",IF(P871&lt;=0.01,"PAGO",IF(M871="","SEM VENCIMENTO",IF(M871&lt;TODAY(),"VENCIDO","A VENCER"))))</f>
        <v>PAGO</v>
      </c>
    </row>
    <row r="872" spans="1:25" x14ac:dyDescent="0.3">
      <c r="A872" t="s">
        <v>221</v>
      </c>
      <c r="B872" s="562">
        <v>2026</v>
      </c>
      <c r="C872" t="s">
        <v>249</v>
      </c>
      <c r="D872">
        <v>1002</v>
      </c>
      <c r="E872">
        <v>957</v>
      </c>
      <c r="F872" s="179">
        <v>46260</v>
      </c>
      <c r="G872" t="s">
        <v>422</v>
      </c>
      <c r="I872" t="s">
        <v>332</v>
      </c>
      <c r="J872" s="583">
        <v>9315</v>
      </c>
      <c r="L872" s="565">
        <f t="shared" si="66"/>
        <v>9315</v>
      </c>
      <c r="M872" s="179">
        <v>46290</v>
      </c>
      <c r="O872" s="565"/>
      <c r="P872" s="565">
        <f t="shared" si="67"/>
        <v>9315</v>
      </c>
      <c r="Q872" s="565"/>
      <c r="R872" s="565"/>
      <c r="S872" s="565"/>
      <c r="T872" s="565"/>
      <c r="U872" s="565"/>
      <c r="V872" s="565"/>
      <c r="W872" s="565"/>
      <c r="X872" s="565"/>
      <c r="Y872" t="str">
        <f t="shared" ca="1" si="68"/>
        <v>VENCIDO</v>
      </c>
    </row>
    <row r="873" spans="1:25" x14ac:dyDescent="0.3">
      <c r="A873" t="s">
        <v>221</v>
      </c>
      <c r="B873" s="562">
        <v>2026</v>
      </c>
      <c r="C873" t="s">
        <v>249</v>
      </c>
      <c r="D873">
        <v>1002</v>
      </c>
      <c r="E873">
        <v>957</v>
      </c>
      <c r="F873" s="179">
        <v>46260</v>
      </c>
      <c r="G873" t="s">
        <v>422</v>
      </c>
      <c r="I873" t="s">
        <v>332</v>
      </c>
      <c r="J873" s="583">
        <v>9315</v>
      </c>
      <c r="L873" s="565">
        <f t="shared" si="66"/>
        <v>9315</v>
      </c>
      <c r="M873" s="179">
        <v>46300</v>
      </c>
      <c r="O873" s="565"/>
      <c r="P873" s="565">
        <f t="shared" si="67"/>
        <v>9315</v>
      </c>
      <c r="Q873" s="565"/>
      <c r="R873" s="565"/>
      <c r="S873" s="565"/>
      <c r="T873" s="565"/>
      <c r="U873" s="565"/>
      <c r="V873" s="565"/>
      <c r="W873" s="565"/>
      <c r="X873" s="565"/>
      <c r="Y873" t="str">
        <f t="shared" ca="1" si="68"/>
        <v>VENCIDO</v>
      </c>
    </row>
    <row r="874" spans="1:25" x14ac:dyDescent="0.3">
      <c r="A874" t="s">
        <v>221</v>
      </c>
      <c r="B874" s="562">
        <v>2026</v>
      </c>
      <c r="C874" t="s">
        <v>249</v>
      </c>
      <c r="D874">
        <v>1002</v>
      </c>
      <c r="E874">
        <v>957</v>
      </c>
      <c r="F874" s="179">
        <v>46260</v>
      </c>
      <c r="G874" t="s">
        <v>422</v>
      </c>
      <c r="I874" t="s">
        <v>332</v>
      </c>
      <c r="J874" s="583">
        <v>9315</v>
      </c>
      <c r="L874" s="565">
        <f t="shared" ref="L874:L884" si="69">J874+K874</f>
        <v>9315</v>
      </c>
      <c r="M874" s="179">
        <v>46310</v>
      </c>
      <c r="O874" s="565"/>
      <c r="P874" s="565">
        <f t="shared" ref="P874:P884" si="70">L874-O874</f>
        <v>9315</v>
      </c>
      <c r="Q874" s="565"/>
      <c r="R874" s="565"/>
      <c r="S874" s="565"/>
      <c r="T874" s="565"/>
      <c r="U874" s="565"/>
      <c r="V874" s="565"/>
      <c r="W874" s="565"/>
      <c r="X874" s="565"/>
      <c r="Y874" t="str">
        <f t="shared" ref="Y874:Y884" ca="1" si="71">IF(L874=0,"SEM VALOR",IF(P874&lt;=0.01,"PAGO",IF(M874="","SEM VENCIMENTO",IF(M874&lt;TODAY(),"VENCIDO","A VENCER"))))</f>
        <v>VENCIDO</v>
      </c>
    </row>
    <row r="875" spans="1:25" x14ac:dyDescent="0.3">
      <c r="A875" t="s">
        <v>221</v>
      </c>
      <c r="B875" s="562">
        <v>2026</v>
      </c>
      <c r="C875" t="s">
        <v>249</v>
      </c>
      <c r="D875">
        <v>1002</v>
      </c>
      <c r="E875">
        <v>957</v>
      </c>
      <c r="F875" s="179">
        <v>46260</v>
      </c>
      <c r="G875" t="s">
        <v>422</v>
      </c>
      <c r="I875" t="s">
        <v>332</v>
      </c>
      <c r="J875" s="583">
        <v>9315</v>
      </c>
      <c r="L875" s="565">
        <f t="shared" si="69"/>
        <v>9315</v>
      </c>
      <c r="M875" s="179">
        <v>46320</v>
      </c>
      <c r="O875" s="565"/>
      <c r="P875" s="565">
        <f t="shared" si="70"/>
        <v>9315</v>
      </c>
      <c r="Q875" s="565"/>
      <c r="R875" s="565"/>
      <c r="S875" s="565"/>
      <c r="T875" s="565"/>
      <c r="U875" s="565"/>
      <c r="V875" s="565"/>
      <c r="W875" s="565"/>
      <c r="X875" s="565"/>
      <c r="Y875" t="str">
        <f t="shared" ca="1" si="71"/>
        <v>A VENCER</v>
      </c>
    </row>
    <row r="876" spans="1:25" x14ac:dyDescent="0.3">
      <c r="A876" t="s">
        <v>221</v>
      </c>
      <c r="B876" s="562">
        <v>2026</v>
      </c>
      <c r="C876" t="s">
        <v>249</v>
      </c>
      <c r="D876">
        <v>1002</v>
      </c>
      <c r="E876">
        <v>957</v>
      </c>
      <c r="F876" s="179">
        <v>46260</v>
      </c>
      <c r="G876" t="s">
        <v>422</v>
      </c>
      <c r="I876" t="s">
        <v>332</v>
      </c>
      <c r="J876" s="583">
        <v>9315</v>
      </c>
      <c r="L876" s="565">
        <f t="shared" si="69"/>
        <v>9315</v>
      </c>
      <c r="M876" s="179">
        <v>46330</v>
      </c>
      <c r="O876" s="565"/>
      <c r="P876" s="565">
        <f t="shared" si="70"/>
        <v>9315</v>
      </c>
      <c r="Q876" s="565"/>
      <c r="R876" s="565"/>
      <c r="S876" s="565"/>
      <c r="T876" s="565"/>
      <c r="U876" s="565"/>
      <c r="V876" s="565"/>
      <c r="W876" s="565"/>
      <c r="X876" s="565"/>
      <c r="Y876" t="str">
        <f t="shared" ca="1" si="71"/>
        <v>A VENCER</v>
      </c>
    </row>
    <row r="877" spans="1:25" x14ac:dyDescent="0.3">
      <c r="A877" t="s">
        <v>221</v>
      </c>
      <c r="B877" s="562">
        <v>2026</v>
      </c>
      <c r="C877" t="s">
        <v>249</v>
      </c>
      <c r="D877">
        <v>1002</v>
      </c>
      <c r="E877">
        <v>957</v>
      </c>
      <c r="F877" s="179">
        <v>46260</v>
      </c>
      <c r="G877" t="s">
        <v>422</v>
      </c>
      <c r="I877" t="s">
        <v>332</v>
      </c>
      <c r="J877" s="583">
        <v>9315</v>
      </c>
      <c r="L877" s="565">
        <f t="shared" si="69"/>
        <v>9315</v>
      </c>
      <c r="M877" s="179">
        <v>46340</v>
      </c>
      <c r="O877" s="565"/>
      <c r="P877" s="565">
        <f t="shared" si="70"/>
        <v>9315</v>
      </c>
      <c r="Q877" s="565"/>
      <c r="R877" s="565"/>
      <c r="S877" s="565"/>
      <c r="T877" s="565"/>
      <c r="U877" s="565"/>
      <c r="V877" s="565"/>
      <c r="W877" s="565"/>
      <c r="X877" s="565"/>
      <c r="Y877" t="str">
        <f t="shared" ca="1" si="71"/>
        <v>A VENCER</v>
      </c>
    </row>
    <row r="878" spans="1:25" x14ac:dyDescent="0.3">
      <c r="A878" t="s">
        <v>221</v>
      </c>
      <c r="B878" s="562">
        <v>2026</v>
      </c>
      <c r="C878" t="s">
        <v>249</v>
      </c>
      <c r="D878">
        <v>1002</v>
      </c>
      <c r="E878">
        <v>957</v>
      </c>
      <c r="F878" s="179">
        <v>46260</v>
      </c>
      <c r="G878" t="s">
        <v>422</v>
      </c>
      <c r="I878" t="s">
        <v>332</v>
      </c>
      <c r="J878" s="583">
        <v>9315</v>
      </c>
      <c r="L878" s="565">
        <f t="shared" si="69"/>
        <v>9315</v>
      </c>
      <c r="M878" s="179">
        <v>46350</v>
      </c>
      <c r="O878" s="565"/>
      <c r="P878" s="565">
        <f t="shared" si="70"/>
        <v>9315</v>
      </c>
      <c r="Q878" s="565"/>
      <c r="R878" s="565"/>
      <c r="S878" s="565"/>
      <c r="T878" s="565"/>
      <c r="U878" s="565"/>
      <c r="V878" s="565"/>
      <c r="W878" s="565"/>
      <c r="X878" s="565"/>
      <c r="Y878" t="str">
        <f t="shared" ca="1" si="71"/>
        <v>A VENCER</v>
      </c>
    </row>
    <row r="879" spans="1:25" x14ac:dyDescent="0.3">
      <c r="A879" t="s">
        <v>221</v>
      </c>
      <c r="B879" s="562">
        <v>2026</v>
      </c>
      <c r="C879" t="s">
        <v>249</v>
      </c>
      <c r="D879">
        <v>1002</v>
      </c>
      <c r="E879">
        <v>957</v>
      </c>
      <c r="F879" s="179">
        <v>46260</v>
      </c>
      <c r="G879" t="s">
        <v>422</v>
      </c>
      <c r="I879" t="s">
        <v>332</v>
      </c>
      <c r="J879" s="583">
        <v>9315</v>
      </c>
      <c r="L879" s="565">
        <f t="shared" si="69"/>
        <v>9315</v>
      </c>
      <c r="M879" s="179">
        <v>46360</v>
      </c>
      <c r="O879" s="565"/>
      <c r="P879" s="565">
        <f t="shared" si="70"/>
        <v>9315</v>
      </c>
      <c r="Q879" s="565"/>
      <c r="R879" s="565"/>
      <c r="S879" s="565"/>
      <c r="T879" s="565"/>
      <c r="U879" s="565"/>
      <c r="V879" s="565"/>
      <c r="W879" s="565"/>
      <c r="X879" s="565"/>
      <c r="Y879" t="str">
        <f t="shared" ca="1" si="71"/>
        <v>A VENCER</v>
      </c>
    </row>
    <row r="880" spans="1:25" x14ac:dyDescent="0.3">
      <c r="A880" t="s">
        <v>221</v>
      </c>
      <c r="B880" s="562">
        <v>2026</v>
      </c>
      <c r="C880" t="s">
        <v>249</v>
      </c>
      <c r="D880">
        <v>1007</v>
      </c>
      <c r="E880">
        <v>982</v>
      </c>
      <c r="F880" s="179">
        <v>46261</v>
      </c>
      <c r="G880" t="s">
        <v>422</v>
      </c>
      <c r="I880" t="s">
        <v>332</v>
      </c>
      <c r="J880" s="583">
        <v>3656.25</v>
      </c>
      <c r="L880" s="565">
        <f t="shared" si="69"/>
        <v>3656.25</v>
      </c>
      <c r="M880" s="179">
        <v>46291</v>
      </c>
      <c r="O880" s="565"/>
      <c r="P880" s="565">
        <f t="shared" si="70"/>
        <v>3656.25</v>
      </c>
      <c r="Q880" s="565"/>
      <c r="R880" s="565"/>
      <c r="S880" s="565"/>
      <c r="T880" s="565"/>
      <c r="U880" s="565"/>
      <c r="V880" s="565"/>
      <c r="W880" s="565"/>
      <c r="X880" s="565"/>
      <c r="Y880" t="str">
        <f t="shared" ca="1" si="71"/>
        <v>VENCIDO</v>
      </c>
    </row>
    <row r="881" spans="1:25" x14ac:dyDescent="0.3">
      <c r="A881" t="s">
        <v>221</v>
      </c>
      <c r="B881" s="562">
        <v>2026</v>
      </c>
      <c r="C881" t="s">
        <v>249</v>
      </c>
      <c r="D881">
        <v>1007</v>
      </c>
      <c r="E881">
        <v>982</v>
      </c>
      <c r="F881" s="179">
        <v>46261</v>
      </c>
      <c r="G881" t="s">
        <v>422</v>
      </c>
      <c r="I881" t="s">
        <v>332</v>
      </c>
      <c r="J881" s="583">
        <v>3656.25</v>
      </c>
      <c r="L881" s="565">
        <f t="shared" si="69"/>
        <v>3656.25</v>
      </c>
      <c r="M881" s="179">
        <v>46301</v>
      </c>
      <c r="O881" s="565"/>
      <c r="P881" s="565">
        <f t="shared" si="70"/>
        <v>3656.25</v>
      </c>
      <c r="Q881" s="565"/>
      <c r="R881" s="565"/>
      <c r="S881" s="565"/>
      <c r="T881" s="565"/>
      <c r="U881" s="565"/>
      <c r="V881" s="565"/>
      <c r="W881" s="565"/>
      <c r="X881" s="565"/>
      <c r="Y881" t="str">
        <f t="shared" ca="1" si="71"/>
        <v>VENCIDO</v>
      </c>
    </row>
    <row r="882" spans="1:25" x14ac:dyDescent="0.3">
      <c r="A882" t="s">
        <v>221</v>
      </c>
      <c r="B882" s="562">
        <v>2026</v>
      </c>
      <c r="C882" t="s">
        <v>249</v>
      </c>
      <c r="D882">
        <v>1007</v>
      </c>
      <c r="E882">
        <v>982</v>
      </c>
      <c r="F882" s="179">
        <v>46261</v>
      </c>
      <c r="G882" t="s">
        <v>422</v>
      </c>
      <c r="I882" t="s">
        <v>332</v>
      </c>
      <c r="J882" s="583">
        <v>3656.25</v>
      </c>
      <c r="L882" s="565">
        <f t="shared" si="69"/>
        <v>3656.25</v>
      </c>
      <c r="M882" s="179">
        <v>46311</v>
      </c>
      <c r="O882" s="565"/>
      <c r="P882" s="565">
        <f t="shared" si="70"/>
        <v>3656.25</v>
      </c>
      <c r="Q882" s="565"/>
      <c r="R882" s="565"/>
      <c r="S882" s="565"/>
      <c r="T882" s="565"/>
      <c r="U882" s="565"/>
      <c r="V882" s="565"/>
      <c r="W882" s="565"/>
      <c r="X882" s="565"/>
      <c r="Y882" t="str">
        <f t="shared" ca="1" si="71"/>
        <v>VENCIDO</v>
      </c>
    </row>
    <row r="883" spans="1:25" x14ac:dyDescent="0.3">
      <c r="A883" t="s">
        <v>221</v>
      </c>
      <c r="B883" s="562">
        <v>2026</v>
      </c>
      <c r="C883" t="s">
        <v>249</v>
      </c>
      <c r="D883">
        <v>1007</v>
      </c>
      <c r="E883">
        <v>982</v>
      </c>
      <c r="F883" s="179">
        <v>46261</v>
      </c>
      <c r="G883" t="s">
        <v>422</v>
      </c>
      <c r="I883" t="s">
        <v>332</v>
      </c>
      <c r="J883" s="583">
        <v>3656.25</v>
      </c>
      <c r="L883" s="565">
        <f t="shared" si="69"/>
        <v>3656.25</v>
      </c>
      <c r="M883" s="179">
        <v>46321</v>
      </c>
      <c r="O883" s="565"/>
      <c r="P883" s="565">
        <f t="shared" si="70"/>
        <v>3656.25</v>
      </c>
      <c r="Q883" s="565"/>
      <c r="R883" s="565"/>
      <c r="S883" s="565"/>
      <c r="T883" s="565"/>
      <c r="U883" s="565"/>
      <c r="V883" s="565"/>
      <c r="W883" s="565"/>
      <c r="X883" s="565"/>
      <c r="Y883" t="str">
        <f t="shared" ca="1" si="71"/>
        <v>A VENCER</v>
      </c>
    </row>
    <row r="884" spans="1:25" x14ac:dyDescent="0.3">
      <c r="A884" t="s">
        <v>221</v>
      </c>
      <c r="B884" s="562">
        <v>2026</v>
      </c>
      <c r="C884" t="s">
        <v>249</v>
      </c>
      <c r="D884">
        <v>1007</v>
      </c>
      <c r="E884">
        <v>982</v>
      </c>
      <c r="F884" s="179">
        <v>46261</v>
      </c>
      <c r="G884" t="s">
        <v>422</v>
      </c>
      <c r="I884" t="s">
        <v>332</v>
      </c>
      <c r="J884" s="583">
        <v>3656.25</v>
      </c>
      <c r="L884" s="565">
        <f t="shared" si="69"/>
        <v>3656.25</v>
      </c>
      <c r="M884" s="179">
        <v>46331</v>
      </c>
      <c r="O884" s="565"/>
      <c r="P884" s="565">
        <f t="shared" si="70"/>
        <v>3656.25</v>
      </c>
      <c r="Q884" s="565"/>
      <c r="R884" s="565"/>
      <c r="S884" s="565"/>
      <c r="T884" s="565"/>
      <c r="U884" s="565"/>
      <c r="V884" s="565"/>
      <c r="W884" s="565"/>
      <c r="X884" s="565"/>
      <c r="Y884" t="str">
        <f t="shared" ca="1" si="71"/>
        <v>A VENCER</v>
      </c>
    </row>
    <row r="885" spans="1:25" x14ac:dyDescent="0.3">
      <c r="A885" t="s">
        <v>221</v>
      </c>
      <c r="B885" s="562">
        <v>2026</v>
      </c>
      <c r="C885" t="s">
        <v>249</v>
      </c>
      <c r="D885">
        <v>1007</v>
      </c>
      <c r="E885">
        <v>982</v>
      </c>
      <c r="F885" s="179">
        <v>46261</v>
      </c>
      <c r="G885" t="s">
        <v>422</v>
      </c>
      <c r="I885" t="s">
        <v>332</v>
      </c>
      <c r="J885" s="583">
        <v>3656.25</v>
      </c>
      <c r="L885" s="565">
        <f t="shared" si="66"/>
        <v>3656.25</v>
      </c>
      <c r="M885" s="179">
        <v>46341</v>
      </c>
      <c r="O885" s="565"/>
      <c r="P885" s="565">
        <f t="shared" si="67"/>
        <v>3656.25</v>
      </c>
      <c r="Q885" s="565"/>
      <c r="R885" s="565"/>
      <c r="S885" s="565"/>
      <c r="T885" s="565"/>
      <c r="U885" s="565"/>
      <c r="V885" s="565"/>
      <c r="W885" s="565"/>
      <c r="X885" s="565"/>
      <c r="Y885" t="str">
        <f t="shared" ca="1" si="68"/>
        <v>A VENCER</v>
      </c>
    </row>
    <row r="886" spans="1:25" x14ac:dyDescent="0.3">
      <c r="A886" t="s">
        <v>221</v>
      </c>
      <c r="B886" s="562">
        <v>2026</v>
      </c>
      <c r="C886" t="s">
        <v>249</v>
      </c>
      <c r="D886">
        <v>1007</v>
      </c>
      <c r="E886">
        <v>982</v>
      </c>
      <c r="F886" s="179">
        <v>46261</v>
      </c>
      <c r="G886" t="s">
        <v>422</v>
      </c>
      <c r="I886" t="s">
        <v>332</v>
      </c>
      <c r="J886" s="583">
        <v>3656.25</v>
      </c>
      <c r="L886" s="565">
        <f t="shared" si="66"/>
        <v>3656.25</v>
      </c>
      <c r="M886" s="179">
        <v>46351</v>
      </c>
      <c r="O886" s="565"/>
      <c r="P886" s="565">
        <f t="shared" si="67"/>
        <v>3656.25</v>
      </c>
      <c r="Q886" s="565"/>
      <c r="R886" s="565"/>
      <c r="S886" s="565"/>
      <c r="T886" s="565"/>
      <c r="U886" s="565"/>
      <c r="V886" s="565"/>
      <c r="W886" s="565"/>
      <c r="X886" s="565"/>
      <c r="Y886" t="str">
        <f t="shared" ca="1" si="68"/>
        <v>A VENCER</v>
      </c>
    </row>
    <row r="887" spans="1:25" x14ac:dyDescent="0.3">
      <c r="A887" t="s">
        <v>221</v>
      </c>
      <c r="B887" s="562">
        <v>2026</v>
      </c>
      <c r="C887" t="s">
        <v>249</v>
      </c>
      <c r="D887">
        <v>1007</v>
      </c>
      <c r="E887">
        <v>982</v>
      </c>
      <c r="F887" s="179">
        <v>46261</v>
      </c>
      <c r="G887" t="s">
        <v>422</v>
      </c>
      <c r="I887" t="s">
        <v>332</v>
      </c>
      <c r="J887" s="583">
        <v>3656.25</v>
      </c>
      <c r="L887" s="565">
        <f t="shared" ref="L887:L895" si="72">J887+K887</f>
        <v>3656.25</v>
      </c>
      <c r="M887" s="179">
        <v>46361</v>
      </c>
      <c r="O887" s="565"/>
      <c r="P887" s="565">
        <f t="shared" ref="P887:P895" si="73">L887-O887</f>
        <v>3656.25</v>
      </c>
      <c r="Q887" s="565"/>
      <c r="R887" s="565"/>
      <c r="S887" s="565"/>
      <c r="T887" s="565"/>
      <c r="U887" s="565"/>
      <c r="V887" s="565"/>
      <c r="W887" s="565"/>
      <c r="X887" s="565"/>
      <c r="Y887" t="str">
        <f t="shared" ref="Y887:Y895" ca="1" si="74">IF(L887=0,"SEM VALOR",IF(P887&lt;=0.01,"PAGO",IF(M887="","SEM VENCIMENTO",IF(M887&lt;TODAY(),"VENCIDO","A VENCER"))))</f>
        <v>A VENCER</v>
      </c>
    </row>
    <row r="888" spans="1:25" x14ac:dyDescent="0.3">
      <c r="A888" t="s">
        <v>221</v>
      </c>
      <c r="B888" s="562">
        <v>2026</v>
      </c>
      <c r="C888" t="s">
        <v>249</v>
      </c>
      <c r="D888">
        <v>25434</v>
      </c>
      <c r="E888">
        <v>5947</v>
      </c>
      <c r="F888" s="179">
        <v>46261</v>
      </c>
      <c r="G888" t="s">
        <v>422</v>
      </c>
      <c r="I888" t="s">
        <v>332</v>
      </c>
      <c r="J888" s="583">
        <v>9163.5300000000007</v>
      </c>
      <c r="L888" s="565">
        <f t="shared" si="72"/>
        <v>9163.5300000000007</v>
      </c>
      <c r="M888" s="179">
        <v>46291</v>
      </c>
      <c r="O888" s="565"/>
      <c r="P888" s="565">
        <f t="shared" si="73"/>
        <v>9163.5300000000007</v>
      </c>
      <c r="Q888" s="565"/>
      <c r="R888" s="565"/>
      <c r="S888" s="565"/>
      <c r="T888" s="565"/>
      <c r="U888" s="565"/>
      <c r="V888" s="565"/>
      <c r="W888" s="565"/>
      <c r="X888" s="565"/>
      <c r="Y888" t="str">
        <f t="shared" ca="1" si="74"/>
        <v>VENCIDO</v>
      </c>
    </row>
    <row r="889" spans="1:25" x14ac:dyDescent="0.3">
      <c r="A889" t="s">
        <v>221</v>
      </c>
      <c r="B889" s="562">
        <v>2026</v>
      </c>
      <c r="C889" t="s">
        <v>249</v>
      </c>
      <c r="D889">
        <v>25434</v>
      </c>
      <c r="E889">
        <v>5947</v>
      </c>
      <c r="F889" s="179">
        <v>46261</v>
      </c>
      <c r="G889" t="s">
        <v>422</v>
      </c>
      <c r="I889" t="s">
        <v>332</v>
      </c>
      <c r="J889" s="583">
        <v>9163.5300000000007</v>
      </c>
      <c r="L889" s="565">
        <f t="shared" si="72"/>
        <v>9163.5300000000007</v>
      </c>
      <c r="M889" s="179">
        <v>46301</v>
      </c>
      <c r="O889" s="565"/>
      <c r="P889" s="565">
        <f t="shared" si="73"/>
        <v>9163.5300000000007</v>
      </c>
      <c r="Q889" s="565"/>
      <c r="R889" s="565"/>
      <c r="S889" s="565"/>
      <c r="T889" s="565"/>
      <c r="U889" s="565"/>
      <c r="V889" s="565"/>
      <c r="W889" s="565"/>
      <c r="X889" s="565"/>
      <c r="Y889" t="str">
        <f t="shared" ca="1" si="74"/>
        <v>VENCIDO</v>
      </c>
    </row>
    <row r="890" spans="1:25" x14ac:dyDescent="0.3">
      <c r="A890" t="s">
        <v>221</v>
      </c>
      <c r="B890" s="562">
        <v>2026</v>
      </c>
      <c r="C890" t="s">
        <v>249</v>
      </c>
      <c r="D890">
        <v>25434</v>
      </c>
      <c r="E890">
        <v>5947</v>
      </c>
      <c r="F890" s="179">
        <v>46261</v>
      </c>
      <c r="G890" t="s">
        <v>422</v>
      </c>
      <c r="I890" t="s">
        <v>332</v>
      </c>
      <c r="J890" s="583">
        <v>9163.5300000000007</v>
      </c>
      <c r="L890" s="565">
        <f t="shared" si="72"/>
        <v>9163.5300000000007</v>
      </c>
      <c r="M890" s="179">
        <v>46311</v>
      </c>
      <c r="O890" s="565"/>
      <c r="P890" s="565">
        <f t="shared" si="73"/>
        <v>9163.5300000000007</v>
      </c>
      <c r="Q890" s="565"/>
      <c r="R890" s="565"/>
      <c r="S890" s="565"/>
      <c r="T890" s="565"/>
      <c r="U890" s="565"/>
      <c r="V890" s="565"/>
      <c r="W890" s="565"/>
      <c r="X890" s="565"/>
      <c r="Y890" t="str">
        <f t="shared" ca="1" si="74"/>
        <v>VENCIDO</v>
      </c>
    </row>
    <row r="891" spans="1:25" x14ac:dyDescent="0.3">
      <c r="A891" t="s">
        <v>221</v>
      </c>
      <c r="B891" s="562">
        <v>2026</v>
      </c>
      <c r="C891" t="s">
        <v>249</v>
      </c>
      <c r="D891">
        <v>25434</v>
      </c>
      <c r="E891">
        <v>5947</v>
      </c>
      <c r="F891" s="179">
        <v>46261</v>
      </c>
      <c r="G891" t="s">
        <v>422</v>
      </c>
      <c r="I891" t="s">
        <v>332</v>
      </c>
      <c r="J891" s="583">
        <v>9163.5300000000007</v>
      </c>
      <c r="L891" s="565">
        <f t="shared" si="72"/>
        <v>9163.5300000000007</v>
      </c>
      <c r="M891" s="179">
        <v>46321</v>
      </c>
      <c r="O891" s="565"/>
      <c r="P891" s="565">
        <f t="shared" si="73"/>
        <v>9163.5300000000007</v>
      </c>
      <c r="Q891" s="565"/>
      <c r="R891" s="565"/>
      <c r="S891" s="565"/>
      <c r="T891" s="565"/>
      <c r="U891" s="565"/>
      <c r="V891" s="565"/>
      <c r="W891" s="565"/>
      <c r="X891" s="565"/>
      <c r="Y891" t="str">
        <f t="shared" ca="1" si="74"/>
        <v>A VENCER</v>
      </c>
    </row>
    <row r="892" spans="1:25" x14ac:dyDescent="0.3">
      <c r="A892" t="s">
        <v>221</v>
      </c>
      <c r="B892" s="562">
        <v>2026</v>
      </c>
      <c r="C892" t="s">
        <v>249</v>
      </c>
      <c r="D892">
        <v>25434</v>
      </c>
      <c r="E892">
        <v>5947</v>
      </c>
      <c r="F892" s="179">
        <v>46261</v>
      </c>
      <c r="G892" t="s">
        <v>422</v>
      </c>
      <c r="I892" t="s">
        <v>332</v>
      </c>
      <c r="J892" s="583">
        <v>9163.5300000000007</v>
      </c>
      <c r="L892" s="565">
        <f t="shared" si="72"/>
        <v>9163.5300000000007</v>
      </c>
      <c r="M892" s="179">
        <v>46331</v>
      </c>
      <c r="O892" s="565"/>
      <c r="P892" s="565">
        <f t="shared" si="73"/>
        <v>9163.5300000000007</v>
      </c>
      <c r="Q892" s="565"/>
      <c r="R892" s="565"/>
      <c r="S892" s="565"/>
      <c r="T892" s="565"/>
      <c r="U892" s="565"/>
      <c r="V892" s="565"/>
      <c r="W892" s="565"/>
      <c r="X892" s="565"/>
      <c r="Y892" t="str">
        <f t="shared" ca="1" si="74"/>
        <v>A VENCER</v>
      </c>
    </row>
    <row r="893" spans="1:25" x14ac:dyDescent="0.3">
      <c r="A893" t="s">
        <v>221</v>
      </c>
      <c r="B893" s="562">
        <v>2026</v>
      </c>
      <c r="C893" t="s">
        <v>249</v>
      </c>
      <c r="D893">
        <v>25434</v>
      </c>
      <c r="E893">
        <v>5947</v>
      </c>
      <c r="F893" s="179">
        <v>46261</v>
      </c>
      <c r="G893" t="s">
        <v>422</v>
      </c>
      <c r="I893" t="s">
        <v>332</v>
      </c>
      <c r="J893" s="583">
        <v>9163.5300000000007</v>
      </c>
      <c r="L893" s="565">
        <f t="shared" si="72"/>
        <v>9163.5300000000007</v>
      </c>
      <c r="M893" s="179">
        <v>46341</v>
      </c>
      <c r="O893" s="565"/>
      <c r="P893" s="565">
        <f t="shared" si="73"/>
        <v>9163.5300000000007</v>
      </c>
      <c r="Q893" s="565"/>
      <c r="R893" s="565"/>
      <c r="S893" s="565"/>
      <c r="T893" s="565"/>
      <c r="U893" s="565"/>
      <c r="V893" s="565"/>
      <c r="W893" s="565"/>
      <c r="X893" s="565"/>
      <c r="Y893" t="str">
        <f t="shared" ca="1" si="74"/>
        <v>A VENCER</v>
      </c>
    </row>
    <row r="894" spans="1:25" x14ac:dyDescent="0.3">
      <c r="A894" t="s">
        <v>221</v>
      </c>
      <c r="B894" s="562">
        <v>2026</v>
      </c>
      <c r="C894" t="s">
        <v>249</v>
      </c>
      <c r="D894">
        <v>25434</v>
      </c>
      <c r="E894">
        <v>5947</v>
      </c>
      <c r="F894" s="179">
        <v>46261</v>
      </c>
      <c r="G894" t="s">
        <v>422</v>
      </c>
      <c r="I894" t="s">
        <v>332</v>
      </c>
      <c r="J894" s="583">
        <v>9163.5300000000007</v>
      </c>
      <c r="L894" s="565">
        <f t="shared" si="72"/>
        <v>9163.5300000000007</v>
      </c>
      <c r="M894" s="179">
        <v>46351</v>
      </c>
      <c r="O894" s="565"/>
      <c r="P894" s="565">
        <f t="shared" si="73"/>
        <v>9163.5300000000007</v>
      </c>
      <c r="Q894" s="565"/>
      <c r="R894" s="565"/>
      <c r="S894" s="565"/>
      <c r="T894" s="565"/>
      <c r="U894" s="565"/>
      <c r="V894" s="565"/>
      <c r="W894" s="565"/>
      <c r="X894" s="565"/>
      <c r="Y894" t="str">
        <f t="shared" ca="1" si="74"/>
        <v>A VENCER</v>
      </c>
    </row>
    <row r="895" spans="1:25" x14ac:dyDescent="0.3">
      <c r="A895" t="s">
        <v>221</v>
      </c>
      <c r="B895" s="562">
        <v>2026</v>
      </c>
      <c r="C895" t="s">
        <v>249</v>
      </c>
      <c r="D895">
        <v>25434</v>
      </c>
      <c r="E895">
        <v>5947</v>
      </c>
      <c r="F895" s="179">
        <v>46261</v>
      </c>
      <c r="G895" t="s">
        <v>422</v>
      </c>
      <c r="I895" t="s">
        <v>332</v>
      </c>
      <c r="J895" s="583">
        <v>9163.5300000000007</v>
      </c>
      <c r="L895" s="565">
        <f t="shared" si="72"/>
        <v>9163.5300000000007</v>
      </c>
      <c r="M895" s="179">
        <v>46361</v>
      </c>
      <c r="O895" s="565"/>
      <c r="P895" s="565">
        <f t="shared" si="73"/>
        <v>9163.5300000000007</v>
      </c>
      <c r="Q895" s="565"/>
      <c r="R895" s="565"/>
      <c r="S895" s="565"/>
      <c r="T895" s="565"/>
      <c r="U895" s="565"/>
      <c r="V895" s="565"/>
      <c r="W895" s="565"/>
      <c r="X895" s="565"/>
      <c r="Y895" t="str">
        <f t="shared" ca="1" si="74"/>
        <v>A VENCER</v>
      </c>
    </row>
    <row r="896" spans="1:25" x14ac:dyDescent="0.3">
      <c r="A896" t="s">
        <v>221</v>
      </c>
      <c r="B896" s="562">
        <v>2026</v>
      </c>
      <c r="C896" t="s">
        <v>249</v>
      </c>
      <c r="D896">
        <v>25434</v>
      </c>
      <c r="E896">
        <v>5947</v>
      </c>
      <c r="F896" s="179">
        <v>46261</v>
      </c>
      <c r="G896" t="s">
        <v>422</v>
      </c>
      <c r="I896" t="s">
        <v>332</v>
      </c>
      <c r="J896" s="583">
        <v>9163.5300000000007</v>
      </c>
      <c r="L896" s="565">
        <f t="shared" si="66"/>
        <v>9163.5300000000007</v>
      </c>
      <c r="M896" s="179">
        <v>46371</v>
      </c>
      <c r="O896" s="565"/>
      <c r="P896" s="565">
        <f t="shared" si="67"/>
        <v>9163.5300000000007</v>
      </c>
      <c r="Q896" s="565"/>
      <c r="R896" s="565"/>
      <c r="S896" s="565"/>
      <c r="T896" s="565"/>
      <c r="U896" s="565"/>
      <c r="V896" s="565"/>
      <c r="W896" s="565"/>
      <c r="X896" s="565"/>
      <c r="Y896" t="str">
        <f t="shared" ca="1" si="68"/>
        <v>A VENCER</v>
      </c>
    </row>
    <row r="897" spans="1:25" x14ac:dyDescent="0.3">
      <c r="A897" t="s">
        <v>221</v>
      </c>
      <c r="B897" s="562">
        <v>2026</v>
      </c>
      <c r="C897" t="s">
        <v>249</v>
      </c>
      <c r="D897">
        <v>25434</v>
      </c>
      <c r="E897">
        <v>5947</v>
      </c>
      <c r="F897" s="179">
        <v>46261</v>
      </c>
      <c r="G897" t="s">
        <v>422</v>
      </c>
      <c r="I897" t="s">
        <v>332</v>
      </c>
      <c r="J897" s="583">
        <v>9163.5300000000007</v>
      </c>
      <c r="L897" s="565">
        <f t="shared" si="66"/>
        <v>9163.5300000000007</v>
      </c>
      <c r="M897" s="179">
        <v>46381</v>
      </c>
      <c r="O897" s="565"/>
      <c r="P897" s="565">
        <f t="shared" si="67"/>
        <v>9163.5300000000007</v>
      </c>
      <c r="Q897" s="565"/>
      <c r="R897" s="565"/>
      <c r="S897" s="565"/>
      <c r="T897" s="565"/>
      <c r="U897" s="565"/>
      <c r="V897" s="565"/>
      <c r="W897" s="565"/>
      <c r="X897" s="565"/>
      <c r="Y897" t="str">
        <f t="shared" ca="1" si="68"/>
        <v>A VENCER</v>
      </c>
    </row>
    <row r="898" spans="1:25" x14ac:dyDescent="0.3">
      <c r="A898" t="s">
        <v>221</v>
      </c>
      <c r="B898" s="562">
        <v>2026</v>
      </c>
      <c r="C898" t="s">
        <v>249</v>
      </c>
      <c r="D898">
        <v>25478</v>
      </c>
      <c r="E898">
        <v>6639</v>
      </c>
      <c r="F898" s="179">
        <v>46262</v>
      </c>
      <c r="G898" t="s">
        <v>264</v>
      </c>
      <c r="I898" t="s">
        <v>423</v>
      </c>
      <c r="J898" s="583">
        <v>5904</v>
      </c>
      <c r="L898" s="565">
        <v>5891.21</v>
      </c>
      <c r="M898" s="179">
        <v>46290</v>
      </c>
      <c r="N898" s="179">
        <v>46290</v>
      </c>
      <c r="O898" s="565">
        <v>5891.21</v>
      </c>
      <c r="P898" s="565">
        <f t="shared" si="64"/>
        <v>0</v>
      </c>
      <c r="Q898" s="565"/>
      <c r="R898" s="565"/>
      <c r="S898" s="565"/>
      <c r="T898" s="565"/>
      <c r="U898" s="565"/>
      <c r="V898" s="565"/>
      <c r="W898" s="565"/>
      <c r="X898" s="565"/>
      <c r="Y898" t="str">
        <f t="shared" ca="1" si="65"/>
        <v>PAGO</v>
      </c>
    </row>
    <row r="899" spans="1:25" x14ac:dyDescent="0.3">
      <c r="A899" t="s">
        <v>221</v>
      </c>
      <c r="B899" s="562">
        <v>2026</v>
      </c>
      <c r="C899" t="s">
        <v>249</v>
      </c>
      <c r="D899">
        <v>25478</v>
      </c>
      <c r="E899">
        <v>6639</v>
      </c>
      <c r="F899" s="179">
        <v>46262</v>
      </c>
      <c r="G899" t="s">
        <v>264</v>
      </c>
      <c r="I899" t="s">
        <v>423</v>
      </c>
      <c r="J899" s="583">
        <v>5904</v>
      </c>
      <c r="L899" s="565">
        <v>5891.21</v>
      </c>
      <c r="M899" s="179">
        <v>46297</v>
      </c>
      <c r="N899" s="179">
        <v>46296</v>
      </c>
      <c r="O899" s="565">
        <v>5891.21</v>
      </c>
      <c r="P899" s="565">
        <f t="shared" si="64"/>
        <v>0</v>
      </c>
      <c r="Q899" s="565"/>
      <c r="R899" s="565"/>
      <c r="S899" s="565"/>
      <c r="T899" s="565"/>
      <c r="U899" s="565"/>
      <c r="V899" s="565"/>
      <c r="W899" s="565"/>
      <c r="X899" s="565"/>
      <c r="Y899" t="str">
        <f t="shared" ca="1" si="65"/>
        <v>PAGO</v>
      </c>
    </row>
    <row r="900" spans="1:25" x14ac:dyDescent="0.3">
      <c r="A900" t="s">
        <v>221</v>
      </c>
      <c r="B900" s="562">
        <v>2026</v>
      </c>
      <c r="C900" t="s">
        <v>249</v>
      </c>
      <c r="D900">
        <v>25478</v>
      </c>
      <c r="E900">
        <v>6639</v>
      </c>
      <c r="F900" s="179">
        <v>46262</v>
      </c>
      <c r="G900" t="s">
        <v>264</v>
      </c>
      <c r="I900" t="s">
        <v>423</v>
      </c>
      <c r="J900" s="583">
        <v>5904</v>
      </c>
      <c r="L900" s="565">
        <v>5891.21</v>
      </c>
      <c r="M900" s="179">
        <v>46304</v>
      </c>
      <c r="N900" s="179">
        <v>46304</v>
      </c>
      <c r="O900" s="565">
        <v>5891.21</v>
      </c>
      <c r="P900" s="565">
        <f t="shared" si="64"/>
        <v>0</v>
      </c>
      <c r="Q900" s="565"/>
      <c r="R900" s="565"/>
      <c r="S900" s="565"/>
      <c r="T900" s="565"/>
      <c r="U900" s="565"/>
      <c r="V900" s="565"/>
      <c r="W900" s="565"/>
      <c r="X900" s="565"/>
      <c r="Y900" t="str">
        <f t="shared" ca="1" si="65"/>
        <v>PAGO</v>
      </c>
    </row>
    <row r="901" spans="1:25" x14ac:dyDescent="0.3">
      <c r="A901" t="s">
        <v>221</v>
      </c>
      <c r="B901" s="562">
        <v>2026</v>
      </c>
      <c r="C901" t="s">
        <v>249</v>
      </c>
      <c r="D901">
        <v>1011</v>
      </c>
      <c r="E901">
        <v>986</v>
      </c>
      <c r="F901" s="179">
        <v>46265</v>
      </c>
      <c r="G901" t="s">
        <v>264</v>
      </c>
      <c r="I901" t="s">
        <v>423</v>
      </c>
      <c r="J901" s="583">
        <v>2304</v>
      </c>
      <c r="L901" s="565">
        <f t="shared" si="63"/>
        <v>2304</v>
      </c>
      <c r="M901" s="179">
        <v>46293</v>
      </c>
      <c r="N901" s="179">
        <v>46293</v>
      </c>
      <c r="O901" s="565">
        <v>2304</v>
      </c>
      <c r="P901" s="565">
        <f t="shared" si="64"/>
        <v>0</v>
      </c>
      <c r="Q901" s="565"/>
      <c r="R901" s="565"/>
      <c r="S901" s="565"/>
      <c r="T901" s="565"/>
      <c r="U901" s="565"/>
      <c r="V901" s="565"/>
      <c r="W901" s="565"/>
      <c r="X901" s="565"/>
      <c r="Y901" t="str">
        <f t="shared" ca="1" si="65"/>
        <v>PAGO</v>
      </c>
    </row>
    <row r="902" spans="1:25" x14ac:dyDescent="0.3">
      <c r="A902" t="s">
        <v>221</v>
      </c>
      <c r="B902" s="562">
        <v>2026</v>
      </c>
      <c r="C902" t="s">
        <v>249</v>
      </c>
      <c r="D902">
        <v>1011</v>
      </c>
      <c r="E902">
        <v>986</v>
      </c>
      <c r="F902" s="179">
        <v>46265</v>
      </c>
      <c r="G902" t="s">
        <v>264</v>
      </c>
      <c r="I902" t="s">
        <v>423</v>
      </c>
      <c r="J902" s="583">
        <v>2304</v>
      </c>
      <c r="L902" s="565">
        <f t="shared" si="63"/>
        <v>2304</v>
      </c>
      <c r="M902" s="179">
        <v>46300</v>
      </c>
      <c r="N902" s="179">
        <v>46300</v>
      </c>
      <c r="O902" s="565">
        <v>2304</v>
      </c>
      <c r="P902" s="565">
        <f t="shared" si="64"/>
        <v>0</v>
      </c>
      <c r="Q902" s="565"/>
      <c r="R902" s="565"/>
      <c r="S902" s="565"/>
      <c r="T902" s="565"/>
      <c r="U902" s="565"/>
      <c r="V902" s="565"/>
      <c r="W902" s="565"/>
      <c r="X902" s="565"/>
      <c r="Y902" t="str">
        <f t="shared" ca="1" si="65"/>
        <v>PAGO</v>
      </c>
    </row>
    <row r="903" spans="1:25" x14ac:dyDescent="0.3">
      <c r="A903" t="s">
        <v>221</v>
      </c>
      <c r="B903" s="562">
        <v>2026</v>
      </c>
      <c r="C903" t="s">
        <v>249</v>
      </c>
      <c r="D903">
        <v>1011</v>
      </c>
      <c r="E903">
        <v>986</v>
      </c>
      <c r="F903" s="179">
        <v>46265</v>
      </c>
      <c r="G903" t="s">
        <v>264</v>
      </c>
      <c r="I903" t="s">
        <v>423</v>
      </c>
      <c r="J903" s="583">
        <v>2304</v>
      </c>
      <c r="L903" s="565">
        <f t="shared" si="63"/>
        <v>2304</v>
      </c>
      <c r="M903" s="179">
        <v>46307</v>
      </c>
      <c r="N903" s="179">
        <v>46304</v>
      </c>
      <c r="O903" s="565">
        <v>2304</v>
      </c>
      <c r="P903" s="565">
        <f t="shared" si="64"/>
        <v>0</v>
      </c>
      <c r="Q903" s="565"/>
      <c r="R903" s="565"/>
      <c r="S903" s="565"/>
      <c r="T903" s="565"/>
      <c r="U903" s="565"/>
      <c r="V903" s="565"/>
      <c r="W903" s="565"/>
      <c r="X903" s="565"/>
      <c r="Y903" t="str">
        <f t="shared" ca="1" si="65"/>
        <v>PAGO</v>
      </c>
    </row>
    <row r="904" spans="1:25" x14ac:dyDescent="0.3">
      <c r="A904" t="s">
        <v>211</v>
      </c>
      <c r="B904" s="562">
        <v>2026</v>
      </c>
      <c r="C904" t="s">
        <v>248</v>
      </c>
      <c r="D904">
        <v>25549</v>
      </c>
      <c r="E904">
        <v>6635</v>
      </c>
      <c r="F904" s="179">
        <v>46266</v>
      </c>
      <c r="G904" t="s">
        <v>236</v>
      </c>
      <c r="I904" t="s">
        <v>270</v>
      </c>
      <c r="K904" s="583">
        <v>403.65</v>
      </c>
      <c r="L904" s="565">
        <f t="shared" si="63"/>
        <v>403.65</v>
      </c>
      <c r="M904" s="179">
        <v>46301</v>
      </c>
      <c r="N904" s="179">
        <v>46274</v>
      </c>
      <c r="O904" s="565">
        <v>76.39</v>
      </c>
      <c r="P904" s="565">
        <f t="shared" ref="P904:P943" si="75">L904-O904</f>
        <v>327.26</v>
      </c>
      <c r="Q904" s="179">
        <v>46301</v>
      </c>
      <c r="R904" s="565">
        <v>327.76</v>
      </c>
      <c r="S904" s="565"/>
      <c r="T904" s="565"/>
      <c r="U904" s="565"/>
      <c r="V904" s="565"/>
      <c r="W904" s="565"/>
      <c r="X904" s="565"/>
      <c r="Y904" t="str">
        <f ca="1">IF(L904=0,"SEM VALOR",IF(P904&lt;=0.01,"PAGO",IF(M904="","SEM VENCIMENTO",IF(M904&lt;TODAY(),"VENCIDO","A VENCER"))))</f>
        <v>VENCIDO</v>
      </c>
    </row>
    <row r="905" spans="1:25" x14ac:dyDescent="0.3">
      <c r="A905" t="s">
        <v>211</v>
      </c>
      <c r="B905" s="562">
        <v>2026</v>
      </c>
      <c r="C905" t="s">
        <v>248</v>
      </c>
      <c r="D905">
        <v>25550</v>
      </c>
      <c r="E905">
        <v>6628</v>
      </c>
      <c r="F905" s="179">
        <v>46266</v>
      </c>
      <c r="G905" t="s">
        <v>236</v>
      </c>
      <c r="I905" t="s">
        <v>270</v>
      </c>
      <c r="K905" s="583">
        <v>1453.2</v>
      </c>
      <c r="L905" s="583">
        <f t="shared" ref="L905:L944" si="76">J905+K905</f>
        <v>1453.2</v>
      </c>
      <c r="M905" s="179">
        <v>46294</v>
      </c>
      <c r="N905" s="179">
        <v>46055</v>
      </c>
      <c r="O905" s="565">
        <v>1453.03</v>
      </c>
      <c r="P905" s="565">
        <f t="shared" si="75"/>
        <v>0.17000000000007276</v>
      </c>
      <c r="Q905" s="565"/>
      <c r="R905" s="565"/>
      <c r="S905" s="565"/>
      <c r="T905" s="565"/>
      <c r="U905" s="565"/>
      <c r="V905" s="565"/>
      <c r="W905" s="565"/>
      <c r="X905" s="565"/>
      <c r="Y905" t="s">
        <v>433</v>
      </c>
    </row>
    <row r="906" spans="1:25" x14ac:dyDescent="0.3">
      <c r="A906" t="s">
        <v>211</v>
      </c>
      <c r="B906" s="562">
        <v>2026</v>
      </c>
      <c r="C906" t="s">
        <v>248</v>
      </c>
      <c r="D906">
        <v>25550</v>
      </c>
      <c r="E906">
        <v>6628</v>
      </c>
      <c r="F906" s="179">
        <v>46266</v>
      </c>
      <c r="G906" t="s">
        <v>236</v>
      </c>
      <c r="I906" t="s">
        <v>270</v>
      </c>
      <c r="K906" s="583">
        <v>1453.02</v>
      </c>
      <c r="L906" s="583">
        <f t="shared" si="76"/>
        <v>1453.02</v>
      </c>
      <c r="M906" s="179">
        <v>46301</v>
      </c>
      <c r="N906" s="179">
        <v>46301</v>
      </c>
      <c r="O906" s="565">
        <v>1453.03</v>
      </c>
      <c r="P906" s="565">
        <f t="shared" si="75"/>
        <v>-9.9999999999909051E-3</v>
      </c>
      <c r="Q906" s="565"/>
      <c r="R906" s="565"/>
      <c r="S906" s="565"/>
      <c r="T906" s="565"/>
      <c r="U906" s="565"/>
      <c r="V906" s="565"/>
      <c r="W906" s="565"/>
      <c r="X906" s="565"/>
      <c r="Y906" t="str">
        <f t="shared" ref="Y906:Y944" ca="1" si="77">IF(L906=0,"SEM VALOR",IF(P906&lt;=0.01,"PAGO",IF(M906="","SEM VENCIMENTO",IF(M906&lt;TODAY(),"VENCIDO","A VENCER"))))</f>
        <v>PAGO</v>
      </c>
    </row>
    <row r="907" spans="1:25" x14ac:dyDescent="0.3">
      <c r="A907" t="s">
        <v>211</v>
      </c>
      <c r="B907" s="562">
        <v>2026</v>
      </c>
      <c r="C907" t="s">
        <v>248</v>
      </c>
      <c r="D907">
        <v>25550</v>
      </c>
      <c r="E907">
        <v>6628</v>
      </c>
      <c r="F907" s="179">
        <v>46266</v>
      </c>
      <c r="G907" t="s">
        <v>236</v>
      </c>
      <c r="I907" t="s">
        <v>270</v>
      </c>
      <c r="K907" s="583">
        <v>1453.01</v>
      </c>
      <c r="L907" s="583">
        <f t="shared" si="76"/>
        <v>1453.01</v>
      </c>
      <c r="M907" s="179">
        <v>46308</v>
      </c>
      <c r="N907" s="179">
        <v>46301</v>
      </c>
      <c r="O907" s="565">
        <v>1453.04</v>
      </c>
      <c r="P907" s="565">
        <f t="shared" si="75"/>
        <v>-2.9999999999972715E-2</v>
      </c>
      <c r="Q907" s="565"/>
      <c r="R907" s="565"/>
      <c r="S907" s="565"/>
      <c r="T907" s="565"/>
      <c r="U907" s="565"/>
      <c r="V907" s="565"/>
      <c r="W907" s="565"/>
      <c r="X907" s="565"/>
      <c r="Y907" t="str">
        <f t="shared" ca="1" si="77"/>
        <v>PAGO</v>
      </c>
    </row>
    <row r="908" spans="1:25" x14ac:dyDescent="0.3">
      <c r="A908" t="s">
        <v>211</v>
      </c>
      <c r="B908" s="562">
        <v>2026</v>
      </c>
      <c r="C908" t="s">
        <v>248</v>
      </c>
      <c r="D908">
        <v>25598</v>
      </c>
      <c r="E908">
        <v>6628</v>
      </c>
      <c r="F908" s="179">
        <v>46267</v>
      </c>
      <c r="G908" t="s">
        <v>236</v>
      </c>
      <c r="I908" t="s">
        <v>270</v>
      </c>
      <c r="K908" s="583">
        <v>272.55</v>
      </c>
      <c r="L908" s="583">
        <f t="shared" si="76"/>
        <v>272.55</v>
      </c>
      <c r="M908" s="179">
        <v>46302</v>
      </c>
      <c r="N908" s="179">
        <v>46301</v>
      </c>
      <c r="O908" s="565">
        <v>272.55</v>
      </c>
      <c r="P908" s="565">
        <f t="shared" si="75"/>
        <v>0</v>
      </c>
      <c r="Q908" s="565"/>
      <c r="R908" s="565"/>
      <c r="S908" s="565"/>
      <c r="T908" s="565"/>
      <c r="U908" s="565"/>
      <c r="V908" s="565"/>
      <c r="W908" s="565"/>
      <c r="X908" s="565"/>
      <c r="Y908" t="str">
        <f t="shared" ca="1" si="77"/>
        <v>PAGO</v>
      </c>
    </row>
    <row r="909" spans="1:25" x14ac:dyDescent="0.3">
      <c r="A909" t="s">
        <v>211</v>
      </c>
      <c r="B909" s="562">
        <v>2026</v>
      </c>
      <c r="C909" t="s">
        <v>249</v>
      </c>
      <c r="D909">
        <v>25621</v>
      </c>
      <c r="E909">
        <v>6772</v>
      </c>
      <c r="F909" s="179">
        <v>46268</v>
      </c>
      <c r="G909" t="s">
        <v>264</v>
      </c>
      <c r="I909" t="s">
        <v>426</v>
      </c>
      <c r="J909" s="583">
        <v>5270.4</v>
      </c>
      <c r="L909" s="583">
        <f t="shared" si="76"/>
        <v>5270.4</v>
      </c>
      <c r="M909" s="179">
        <v>46296</v>
      </c>
      <c r="N909" s="179">
        <v>46296</v>
      </c>
      <c r="O909" s="565">
        <v>5270.4</v>
      </c>
      <c r="P909" s="565">
        <f t="shared" si="75"/>
        <v>0</v>
      </c>
      <c r="Q909" s="565"/>
      <c r="R909" s="565"/>
      <c r="S909" s="565"/>
      <c r="T909" s="565"/>
      <c r="U909" s="565"/>
      <c r="V909" s="565"/>
      <c r="W909" s="565"/>
      <c r="X909" s="565"/>
      <c r="Y909" t="str">
        <f t="shared" ca="1" si="77"/>
        <v>PAGO</v>
      </c>
    </row>
    <row r="910" spans="1:25" x14ac:dyDescent="0.3">
      <c r="A910" t="s">
        <v>211</v>
      </c>
      <c r="B910" s="562">
        <v>2026</v>
      </c>
      <c r="C910" t="s">
        <v>249</v>
      </c>
      <c r="D910">
        <v>25621</v>
      </c>
      <c r="E910">
        <v>6772</v>
      </c>
      <c r="F910" s="179">
        <v>46268</v>
      </c>
      <c r="G910" t="s">
        <v>264</v>
      </c>
      <c r="I910" t="s">
        <v>426</v>
      </c>
      <c r="J910" s="583">
        <v>5270.4</v>
      </c>
      <c r="L910" s="583">
        <f t="shared" si="76"/>
        <v>5270.4</v>
      </c>
      <c r="M910" s="179">
        <v>46303</v>
      </c>
      <c r="N910" s="179">
        <v>46273</v>
      </c>
      <c r="O910" s="565">
        <v>5270.4</v>
      </c>
      <c r="P910" s="565">
        <f t="shared" si="75"/>
        <v>0</v>
      </c>
      <c r="Q910" s="565"/>
      <c r="R910" s="565"/>
      <c r="S910" s="565"/>
      <c r="T910" s="565"/>
      <c r="U910" s="565"/>
      <c r="V910" s="565"/>
      <c r="W910" s="565"/>
      <c r="X910" s="565"/>
      <c r="Y910" t="str">
        <f t="shared" ca="1" si="77"/>
        <v>PAGO</v>
      </c>
    </row>
    <row r="911" spans="1:25" x14ac:dyDescent="0.3">
      <c r="A911" t="s">
        <v>211</v>
      </c>
      <c r="B911" s="562">
        <v>2026</v>
      </c>
      <c r="C911" t="s">
        <v>249</v>
      </c>
      <c r="D911">
        <v>25621</v>
      </c>
      <c r="E911">
        <v>6772</v>
      </c>
      <c r="F911" s="179">
        <v>46268</v>
      </c>
      <c r="G911" t="s">
        <v>264</v>
      </c>
      <c r="I911" t="s">
        <v>426</v>
      </c>
      <c r="J911" s="583">
        <v>5270.4</v>
      </c>
      <c r="L911" s="583">
        <f t="shared" si="76"/>
        <v>5270.4</v>
      </c>
      <c r="M911" s="179">
        <v>46310</v>
      </c>
      <c r="N911" s="179">
        <v>46310</v>
      </c>
      <c r="O911" s="565">
        <v>5270.4</v>
      </c>
      <c r="P911" s="565">
        <f t="shared" si="75"/>
        <v>0</v>
      </c>
      <c r="Q911" s="565"/>
      <c r="R911" s="565"/>
      <c r="S911" s="565"/>
      <c r="T911" s="565"/>
      <c r="U911" s="565"/>
      <c r="V911" s="565"/>
      <c r="W911" s="565"/>
      <c r="X911" s="565"/>
      <c r="Y911" t="str">
        <f t="shared" ca="1" si="77"/>
        <v>PAGO</v>
      </c>
    </row>
    <row r="912" spans="1:25" x14ac:dyDescent="0.3">
      <c r="A912" t="s">
        <v>211</v>
      </c>
      <c r="B912" s="562">
        <v>2026</v>
      </c>
      <c r="C912" t="s">
        <v>249</v>
      </c>
      <c r="D912">
        <v>25621</v>
      </c>
      <c r="E912">
        <v>6772</v>
      </c>
      <c r="F912" s="179">
        <v>46268</v>
      </c>
      <c r="G912" t="s">
        <v>264</v>
      </c>
      <c r="I912" t="s">
        <v>426</v>
      </c>
      <c r="J912" s="583">
        <v>5270.4</v>
      </c>
      <c r="L912" s="583">
        <f t="shared" si="76"/>
        <v>5270.4</v>
      </c>
      <c r="M912" s="179">
        <v>46317</v>
      </c>
      <c r="N912" s="179">
        <v>46317</v>
      </c>
      <c r="O912" s="565">
        <v>5270.4</v>
      </c>
      <c r="P912" s="565">
        <f t="shared" si="75"/>
        <v>0</v>
      </c>
      <c r="Q912" s="565"/>
      <c r="R912" s="565"/>
      <c r="S912" s="565"/>
      <c r="T912" s="565"/>
      <c r="U912" s="565"/>
      <c r="V912" s="565"/>
      <c r="W912" s="565"/>
      <c r="X912" s="565"/>
      <c r="Y912" t="str">
        <f t="shared" ca="1" si="77"/>
        <v>PAGO</v>
      </c>
    </row>
    <row r="913" spans="1:25" x14ac:dyDescent="0.3">
      <c r="A913" t="s">
        <v>211</v>
      </c>
      <c r="B913" s="562">
        <v>2026</v>
      </c>
      <c r="C913" t="s">
        <v>249</v>
      </c>
      <c r="D913">
        <v>25635</v>
      </c>
      <c r="E913">
        <v>6669</v>
      </c>
      <c r="F913" s="179">
        <v>46269</v>
      </c>
      <c r="G913" t="s">
        <v>424</v>
      </c>
      <c r="I913" t="s">
        <v>426</v>
      </c>
      <c r="J913" s="583">
        <v>7193.52</v>
      </c>
      <c r="L913" s="583">
        <f t="shared" si="76"/>
        <v>7193.52</v>
      </c>
      <c r="M913" s="179">
        <v>46289</v>
      </c>
      <c r="N913" s="179">
        <v>46289</v>
      </c>
      <c r="O913" s="565">
        <v>7193.52</v>
      </c>
      <c r="P913" s="565">
        <f t="shared" si="75"/>
        <v>0</v>
      </c>
      <c r="Q913" s="565"/>
      <c r="R913" s="565"/>
      <c r="S913" s="565"/>
      <c r="T913" s="565"/>
      <c r="U913" s="565"/>
      <c r="V913" s="565"/>
      <c r="W913" s="565"/>
      <c r="X913" s="565"/>
      <c r="Y913" t="str">
        <f t="shared" ca="1" si="77"/>
        <v>PAGO</v>
      </c>
    </row>
    <row r="914" spans="1:25" x14ac:dyDescent="0.3">
      <c r="A914" t="s">
        <v>211</v>
      </c>
      <c r="B914" s="562">
        <v>2026</v>
      </c>
      <c r="C914" t="s">
        <v>249</v>
      </c>
      <c r="D914">
        <v>25635</v>
      </c>
      <c r="E914">
        <v>6669</v>
      </c>
      <c r="F914" s="179">
        <v>46269</v>
      </c>
      <c r="G914" t="s">
        <v>424</v>
      </c>
      <c r="I914" t="s">
        <v>426</v>
      </c>
      <c r="J914" s="583">
        <v>7193.52</v>
      </c>
      <c r="L914" s="583">
        <f t="shared" si="76"/>
        <v>7193.52</v>
      </c>
      <c r="M914" s="179">
        <v>46294</v>
      </c>
      <c r="N914" s="179">
        <v>46293</v>
      </c>
      <c r="O914" s="565">
        <v>7193.52</v>
      </c>
      <c r="P914" s="565">
        <f t="shared" si="75"/>
        <v>0</v>
      </c>
      <c r="Q914" s="565"/>
      <c r="R914" s="565"/>
      <c r="S914" s="565"/>
      <c r="T914" s="565"/>
      <c r="U914" s="565"/>
      <c r="V914" s="565"/>
      <c r="W914" s="565"/>
      <c r="X914" s="565"/>
      <c r="Y914" t="str">
        <f t="shared" ca="1" si="77"/>
        <v>PAGO</v>
      </c>
    </row>
    <row r="915" spans="1:25" x14ac:dyDescent="0.3">
      <c r="A915" t="s">
        <v>211</v>
      </c>
      <c r="B915" s="562">
        <v>2026</v>
      </c>
      <c r="C915" t="s">
        <v>249</v>
      </c>
      <c r="D915">
        <v>25635</v>
      </c>
      <c r="E915">
        <v>6669</v>
      </c>
      <c r="F915" s="179">
        <v>46269</v>
      </c>
      <c r="G915" t="s">
        <v>424</v>
      </c>
      <c r="I915" t="s">
        <v>426</v>
      </c>
      <c r="J915" s="583">
        <v>7193.52</v>
      </c>
      <c r="L915" s="583">
        <f t="shared" si="76"/>
        <v>7193.52</v>
      </c>
      <c r="M915" s="179">
        <v>46299</v>
      </c>
      <c r="N915" s="179">
        <v>46302</v>
      </c>
      <c r="O915" s="565">
        <v>7193.52</v>
      </c>
      <c r="P915" s="565">
        <f t="shared" si="75"/>
        <v>0</v>
      </c>
      <c r="Q915" s="565"/>
      <c r="R915" s="565"/>
      <c r="S915" s="565"/>
      <c r="T915" s="565"/>
      <c r="U915" s="565"/>
      <c r="V915" s="565"/>
      <c r="W915" s="565"/>
      <c r="X915" s="565"/>
      <c r="Y915" t="str">
        <f t="shared" ca="1" si="77"/>
        <v>PAGO</v>
      </c>
    </row>
    <row r="916" spans="1:25" x14ac:dyDescent="0.3">
      <c r="A916" t="s">
        <v>211</v>
      </c>
      <c r="B916" s="562">
        <v>2026</v>
      </c>
      <c r="C916" t="s">
        <v>249</v>
      </c>
      <c r="D916">
        <v>25635</v>
      </c>
      <c r="E916">
        <v>6669</v>
      </c>
      <c r="F916" s="179">
        <v>46269</v>
      </c>
      <c r="G916" t="s">
        <v>424</v>
      </c>
      <c r="I916" t="s">
        <v>426</v>
      </c>
      <c r="J916" s="583">
        <v>7193.52</v>
      </c>
      <c r="L916" s="583">
        <f t="shared" si="76"/>
        <v>7193.52</v>
      </c>
      <c r="M916" s="179">
        <v>46304</v>
      </c>
      <c r="N916" s="179">
        <v>46304</v>
      </c>
      <c r="O916" s="565">
        <v>7193.52</v>
      </c>
      <c r="P916" s="565">
        <f t="shared" si="75"/>
        <v>0</v>
      </c>
      <c r="Q916" s="565"/>
      <c r="R916" s="565"/>
      <c r="S916" s="565"/>
      <c r="T916" s="565"/>
      <c r="U916" s="565"/>
      <c r="V916" s="565"/>
      <c r="W916" s="565"/>
      <c r="X916" s="565"/>
      <c r="Y916" t="str">
        <f t="shared" ca="1" si="77"/>
        <v>PAGO</v>
      </c>
    </row>
    <row r="917" spans="1:25" x14ac:dyDescent="0.3">
      <c r="A917" t="s">
        <v>211</v>
      </c>
      <c r="B917" s="562">
        <v>2026</v>
      </c>
      <c r="C917" t="s">
        <v>249</v>
      </c>
      <c r="D917">
        <v>25635</v>
      </c>
      <c r="E917">
        <v>6669</v>
      </c>
      <c r="F917" s="179">
        <v>46269</v>
      </c>
      <c r="G917" t="s">
        <v>424</v>
      </c>
      <c r="I917" t="s">
        <v>426</v>
      </c>
      <c r="J917" s="583">
        <v>7193.52</v>
      </c>
      <c r="L917" s="583">
        <f t="shared" si="76"/>
        <v>7193.52</v>
      </c>
      <c r="M917" s="179">
        <v>46309</v>
      </c>
      <c r="N917" s="179">
        <v>46308</v>
      </c>
      <c r="O917" s="565">
        <v>7193.52</v>
      </c>
      <c r="P917" s="565">
        <f t="shared" si="75"/>
        <v>0</v>
      </c>
      <c r="Q917" s="565"/>
      <c r="R917" s="565"/>
      <c r="S917" s="565"/>
      <c r="T917" s="565"/>
      <c r="U917" s="565"/>
      <c r="V917" s="565"/>
      <c r="W917" s="565"/>
      <c r="X917" s="565"/>
      <c r="Y917" t="str">
        <f t="shared" ca="1" si="77"/>
        <v>PAGO</v>
      </c>
    </row>
    <row r="918" spans="1:25" x14ac:dyDescent="0.3">
      <c r="A918" t="s">
        <v>211</v>
      </c>
      <c r="B918" s="562">
        <v>2026</v>
      </c>
      <c r="C918" t="s">
        <v>249</v>
      </c>
      <c r="D918">
        <v>25635</v>
      </c>
      <c r="E918">
        <v>6669</v>
      </c>
      <c r="F918" s="179">
        <v>46269</v>
      </c>
      <c r="G918" t="s">
        <v>424</v>
      </c>
      <c r="I918" t="s">
        <v>426</v>
      </c>
      <c r="J918" s="583">
        <v>7193.52</v>
      </c>
      <c r="L918" s="583">
        <f t="shared" si="76"/>
        <v>7193.52</v>
      </c>
      <c r="M918" s="179">
        <v>46314</v>
      </c>
      <c r="O918" s="565"/>
      <c r="P918" s="565">
        <f t="shared" si="75"/>
        <v>7193.52</v>
      </c>
      <c r="Q918" s="565"/>
      <c r="R918" s="565"/>
      <c r="S918" s="565"/>
      <c r="T918" s="565"/>
      <c r="U918" s="565"/>
      <c r="V918" s="565"/>
      <c r="W918" s="565"/>
      <c r="X918" s="565"/>
      <c r="Y918" t="str">
        <f t="shared" ca="1" si="77"/>
        <v>VENCIDO</v>
      </c>
    </row>
    <row r="919" spans="1:25" x14ac:dyDescent="0.3">
      <c r="A919" t="s">
        <v>211</v>
      </c>
      <c r="B919" s="562">
        <v>2026</v>
      </c>
      <c r="C919" t="s">
        <v>249</v>
      </c>
      <c r="D919">
        <v>25635</v>
      </c>
      <c r="E919">
        <v>6669</v>
      </c>
      <c r="F919" s="179">
        <v>46269</v>
      </c>
      <c r="G919" t="s">
        <v>424</v>
      </c>
      <c r="I919" t="s">
        <v>426</v>
      </c>
      <c r="J919" s="583">
        <v>7193.52</v>
      </c>
      <c r="L919" s="583">
        <f t="shared" si="76"/>
        <v>7193.52</v>
      </c>
      <c r="M919" s="179">
        <v>46319</v>
      </c>
      <c r="O919" s="565"/>
      <c r="P919" s="565">
        <f t="shared" si="75"/>
        <v>7193.52</v>
      </c>
      <c r="Q919" s="565"/>
      <c r="R919" s="565"/>
      <c r="S919" s="565"/>
      <c r="T919" s="565"/>
      <c r="U919" s="565"/>
      <c r="V919" s="565"/>
      <c r="W919" s="565"/>
      <c r="X919" s="565"/>
      <c r="Y919" t="str">
        <f t="shared" ca="1" si="77"/>
        <v>A VENCER</v>
      </c>
    </row>
    <row r="920" spans="1:25" x14ac:dyDescent="0.3">
      <c r="A920" t="s">
        <v>211</v>
      </c>
      <c r="B920" s="562">
        <v>2026</v>
      </c>
      <c r="C920" t="s">
        <v>249</v>
      </c>
      <c r="D920">
        <v>25635</v>
      </c>
      <c r="E920">
        <v>6669</v>
      </c>
      <c r="F920" s="179">
        <v>46269</v>
      </c>
      <c r="G920" t="s">
        <v>424</v>
      </c>
      <c r="I920" t="s">
        <v>426</v>
      </c>
      <c r="J920" s="583">
        <v>7193.52</v>
      </c>
      <c r="L920" s="583">
        <f t="shared" si="76"/>
        <v>7193.52</v>
      </c>
      <c r="M920" s="179">
        <v>46324</v>
      </c>
      <c r="O920" s="565"/>
      <c r="P920" s="565">
        <f t="shared" si="75"/>
        <v>7193.52</v>
      </c>
      <c r="Q920" s="565"/>
      <c r="R920" s="565"/>
      <c r="S920" s="565"/>
      <c r="T920" s="565"/>
      <c r="U920" s="565"/>
      <c r="V920" s="565"/>
      <c r="W920" s="565"/>
      <c r="X920" s="565"/>
      <c r="Y920" t="str">
        <f t="shared" ca="1" si="77"/>
        <v>A VENCER</v>
      </c>
    </row>
    <row r="921" spans="1:25" x14ac:dyDescent="0.3">
      <c r="A921" t="s">
        <v>211</v>
      </c>
      <c r="B921" s="562">
        <v>2026</v>
      </c>
      <c r="C921" t="s">
        <v>249</v>
      </c>
      <c r="D921">
        <v>25635</v>
      </c>
      <c r="E921">
        <v>6669</v>
      </c>
      <c r="F921" s="179">
        <v>46269</v>
      </c>
      <c r="G921" t="s">
        <v>424</v>
      </c>
      <c r="I921" t="s">
        <v>426</v>
      </c>
      <c r="J921" s="583">
        <v>7193.52</v>
      </c>
      <c r="L921" s="583">
        <f t="shared" si="76"/>
        <v>7193.52</v>
      </c>
      <c r="M921" s="179">
        <v>46329</v>
      </c>
      <c r="O921" s="565"/>
      <c r="P921" s="565">
        <f t="shared" si="75"/>
        <v>7193.52</v>
      </c>
      <c r="Q921" s="565"/>
      <c r="R921" s="565"/>
      <c r="S921" s="565"/>
      <c r="T921" s="565"/>
      <c r="U921" s="565"/>
      <c r="V921" s="565"/>
      <c r="W921" s="565"/>
      <c r="X921" s="565"/>
      <c r="Y921" t="str">
        <f t="shared" ca="1" si="77"/>
        <v>A VENCER</v>
      </c>
    </row>
    <row r="922" spans="1:25" x14ac:dyDescent="0.3">
      <c r="A922" t="s">
        <v>211</v>
      </c>
      <c r="B922" s="562">
        <v>2026</v>
      </c>
      <c r="C922" t="s">
        <v>249</v>
      </c>
      <c r="D922">
        <v>25635</v>
      </c>
      <c r="E922">
        <v>6669</v>
      </c>
      <c r="F922" s="179">
        <v>46269</v>
      </c>
      <c r="G922" t="s">
        <v>424</v>
      </c>
      <c r="I922" t="s">
        <v>426</v>
      </c>
      <c r="J922" s="583">
        <v>7193.52</v>
      </c>
      <c r="L922" s="583">
        <f t="shared" si="76"/>
        <v>7193.52</v>
      </c>
      <c r="M922" s="179">
        <v>46334</v>
      </c>
      <c r="O922" s="565"/>
      <c r="P922" s="565">
        <f t="shared" si="75"/>
        <v>7193.52</v>
      </c>
      <c r="Q922" s="565"/>
      <c r="R922" s="565"/>
      <c r="S922" s="565"/>
      <c r="T922" s="565"/>
      <c r="U922" s="565"/>
      <c r="V922" s="565"/>
      <c r="W922" s="565"/>
      <c r="X922" s="565"/>
      <c r="Y922" t="str">
        <f t="shared" ca="1" si="77"/>
        <v>A VENCER</v>
      </c>
    </row>
    <row r="923" spans="1:25" x14ac:dyDescent="0.3">
      <c r="A923" t="s">
        <v>211</v>
      </c>
      <c r="B923" s="562">
        <v>2026</v>
      </c>
      <c r="C923" t="s">
        <v>249</v>
      </c>
      <c r="D923">
        <v>25635</v>
      </c>
      <c r="E923">
        <v>6669</v>
      </c>
      <c r="F923" s="179">
        <v>46269</v>
      </c>
      <c r="G923" t="s">
        <v>424</v>
      </c>
      <c r="I923" t="s">
        <v>426</v>
      </c>
      <c r="J923" s="583">
        <v>7193.52</v>
      </c>
      <c r="L923" s="583">
        <f t="shared" si="76"/>
        <v>7193.52</v>
      </c>
      <c r="M923" s="179">
        <v>46339</v>
      </c>
      <c r="O923" s="565"/>
      <c r="P923" s="565">
        <f t="shared" si="75"/>
        <v>7193.52</v>
      </c>
      <c r="Q923" s="565"/>
      <c r="R923" s="565"/>
      <c r="S923" s="565"/>
      <c r="T923" s="565"/>
      <c r="U923" s="565"/>
      <c r="V923" s="565"/>
      <c r="W923" s="565"/>
      <c r="X923" s="565"/>
      <c r="Y923" t="str">
        <f t="shared" ca="1" si="77"/>
        <v>A VENCER</v>
      </c>
    </row>
    <row r="924" spans="1:25" x14ac:dyDescent="0.3">
      <c r="A924" t="s">
        <v>211</v>
      </c>
      <c r="B924" s="562">
        <v>2026</v>
      </c>
      <c r="C924" t="s">
        <v>249</v>
      </c>
      <c r="D924">
        <v>25635</v>
      </c>
      <c r="E924">
        <v>6669</v>
      </c>
      <c r="F924" s="179">
        <v>46269</v>
      </c>
      <c r="G924" t="s">
        <v>424</v>
      </c>
      <c r="I924" t="s">
        <v>426</v>
      </c>
      <c r="J924" s="583">
        <v>7193.52</v>
      </c>
      <c r="L924" s="583">
        <f t="shared" si="76"/>
        <v>7193.52</v>
      </c>
      <c r="M924" s="179">
        <v>46344</v>
      </c>
      <c r="O924" s="565"/>
      <c r="P924" s="565">
        <f t="shared" si="75"/>
        <v>7193.52</v>
      </c>
      <c r="Q924" s="565"/>
      <c r="R924" s="565"/>
      <c r="S924" s="565"/>
      <c r="T924" s="565"/>
      <c r="U924" s="565"/>
      <c r="V924" s="565"/>
      <c r="W924" s="565"/>
      <c r="X924" s="565"/>
      <c r="Y924" t="str">
        <f t="shared" ca="1" si="77"/>
        <v>A VENCER</v>
      </c>
    </row>
    <row r="925" spans="1:25" x14ac:dyDescent="0.3">
      <c r="A925" t="s">
        <v>211</v>
      </c>
      <c r="B925" s="562">
        <v>2026</v>
      </c>
      <c r="C925" t="s">
        <v>249</v>
      </c>
      <c r="D925">
        <v>25635</v>
      </c>
      <c r="E925">
        <v>6669</v>
      </c>
      <c r="F925" s="179">
        <v>46269</v>
      </c>
      <c r="G925" t="s">
        <v>424</v>
      </c>
      <c r="I925" t="s">
        <v>426</v>
      </c>
      <c r="J925" s="583">
        <v>7193.52</v>
      </c>
      <c r="L925" s="583">
        <f t="shared" si="76"/>
        <v>7193.52</v>
      </c>
      <c r="M925" s="179">
        <v>46349</v>
      </c>
      <c r="O925" s="565"/>
      <c r="P925" s="565">
        <f t="shared" si="75"/>
        <v>7193.52</v>
      </c>
      <c r="Q925" s="565"/>
      <c r="R925" s="565"/>
      <c r="S925" s="565"/>
      <c r="T925" s="565"/>
      <c r="U925" s="565"/>
      <c r="V925" s="565"/>
      <c r="W925" s="565"/>
      <c r="X925" s="565"/>
      <c r="Y925" t="str">
        <f t="shared" ca="1" si="77"/>
        <v>A VENCER</v>
      </c>
    </row>
    <row r="926" spans="1:25" x14ac:dyDescent="0.3">
      <c r="A926" t="s">
        <v>211</v>
      </c>
      <c r="B926" s="562">
        <v>2026</v>
      </c>
      <c r="C926" t="s">
        <v>249</v>
      </c>
      <c r="D926">
        <v>25635</v>
      </c>
      <c r="E926">
        <v>6669</v>
      </c>
      <c r="F926" s="179">
        <v>46269</v>
      </c>
      <c r="G926" t="s">
        <v>424</v>
      </c>
      <c r="I926" t="s">
        <v>426</v>
      </c>
      <c r="J926" s="583">
        <v>7193.52</v>
      </c>
      <c r="L926" s="583">
        <f t="shared" si="76"/>
        <v>7193.52</v>
      </c>
      <c r="M926" s="179">
        <v>46354</v>
      </c>
      <c r="O926" s="565"/>
      <c r="P926" s="565">
        <f t="shared" si="75"/>
        <v>7193.52</v>
      </c>
      <c r="Q926" s="565"/>
      <c r="R926" s="565"/>
      <c r="S926" s="565"/>
      <c r="T926" s="565"/>
      <c r="U926" s="565"/>
      <c r="V926" s="565"/>
      <c r="W926" s="565"/>
      <c r="X926" s="565"/>
      <c r="Y926" t="str">
        <f t="shared" ca="1" si="77"/>
        <v>A VENCER</v>
      </c>
    </row>
    <row r="927" spans="1:25" x14ac:dyDescent="0.3">
      <c r="A927" t="s">
        <v>211</v>
      </c>
      <c r="B927" s="562">
        <v>2026</v>
      </c>
      <c r="C927" t="s">
        <v>249</v>
      </c>
      <c r="D927">
        <v>25635</v>
      </c>
      <c r="E927">
        <v>6669</v>
      </c>
      <c r="F927" s="179">
        <v>46269</v>
      </c>
      <c r="G927" t="s">
        <v>424</v>
      </c>
      <c r="I927" t="s">
        <v>426</v>
      </c>
      <c r="J927" s="583">
        <v>7193.52</v>
      </c>
      <c r="L927" s="583">
        <f t="shared" si="76"/>
        <v>7193.52</v>
      </c>
      <c r="M927" s="179">
        <v>46359</v>
      </c>
      <c r="O927" s="565"/>
      <c r="P927" s="565">
        <f t="shared" si="75"/>
        <v>7193.52</v>
      </c>
      <c r="Q927" s="565"/>
      <c r="R927" s="565"/>
      <c r="S927" s="565"/>
      <c r="T927" s="565"/>
      <c r="U927" s="565"/>
      <c r="V927" s="565"/>
      <c r="W927" s="565"/>
      <c r="X927" s="565"/>
      <c r="Y927" t="str">
        <f t="shared" ca="1" si="77"/>
        <v>A VENCER</v>
      </c>
    </row>
    <row r="928" spans="1:25" x14ac:dyDescent="0.3">
      <c r="A928" t="s">
        <v>211</v>
      </c>
      <c r="B928" s="562">
        <v>2026</v>
      </c>
      <c r="C928" t="s">
        <v>248</v>
      </c>
      <c r="D928">
        <v>25713</v>
      </c>
      <c r="E928">
        <v>6785</v>
      </c>
      <c r="F928" s="179">
        <v>46273</v>
      </c>
      <c r="G928" t="s">
        <v>236</v>
      </c>
      <c r="I928" t="s">
        <v>270</v>
      </c>
      <c r="K928" s="583">
        <v>405.37</v>
      </c>
      <c r="L928" s="583">
        <f t="shared" si="76"/>
        <v>405.37</v>
      </c>
      <c r="M928" s="179">
        <v>46301</v>
      </c>
      <c r="N928" s="179">
        <v>46301</v>
      </c>
      <c r="O928" s="565">
        <v>405.38</v>
      </c>
      <c r="P928" s="565">
        <f t="shared" si="75"/>
        <v>-9.9999999999909051E-3</v>
      </c>
      <c r="Q928" s="565"/>
      <c r="R928" s="565"/>
      <c r="S928" s="565"/>
      <c r="T928" s="565"/>
      <c r="U928" s="565"/>
      <c r="V928" s="565"/>
      <c r="W928" s="565"/>
      <c r="X928" s="565"/>
      <c r="Y928" t="str">
        <f t="shared" ca="1" si="77"/>
        <v>PAGO</v>
      </c>
    </row>
    <row r="929" spans="1:25" x14ac:dyDescent="0.3">
      <c r="A929" t="s">
        <v>211</v>
      </c>
      <c r="B929" s="562">
        <v>2026</v>
      </c>
      <c r="C929" t="s">
        <v>248</v>
      </c>
      <c r="D929">
        <v>25713</v>
      </c>
      <c r="E929">
        <v>6785</v>
      </c>
      <c r="F929" s="179">
        <v>46273</v>
      </c>
      <c r="G929" t="s">
        <v>236</v>
      </c>
      <c r="I929" t="s">
        <v>270</v>
      </c>
      <c r="K929" s="583">
        <v>405.37</v>
      </c>
      <c r="L929" s="583">
        <f t="shared" si="76"/>
        <v>405.37</v>
      </c>
      <c r="M929" s="179">
        <v>46308</v>
      </c>
      <c r="N929" s="179">
        <v>46301</v>
      </c>
      <c r="O929" s="565">
        <v>405.38</v>
      </c>
      <c r="P929" s="565">
        <f t="shared" si="75"/>
        <v>-9.9999999999909051E-3</v>
      </c>
      <c r="Q929" s="565"/>
      <c r="R929" s="565"/>
      <c r="S929" s="565"/>
      <c r="T929" s="565"/>
      <c r="U929" s="565"/>
      <c r="V929" s="565"/>
      <c r="W929" s="565"/>
      <c r="X929" s="565"/>
      <c r="Y929" t="str">
        <f t="shared" ca="1" si="77"/>
        <v>PAGO</v>
      </c>
    </row>
    <row r="930" spans="1:25" x14ac:dyDescent="0.3">
      <c r="A930" t="s">
        <v>211</v>
      </c>
      <c r="B930" s="562">
        <v>2026</v>
      </c>
      <c r="C930" t="s">
        <v>248</v>
      </c>
      <c r="D930">
        <v>25713</v>
      </c>
      <c r="E930">
        <v>6785</v>
      </c>
      <c r="F930" s="179">
        <v>46273</v>
      </c>
      <c r="G930" t="s">
        <v>236</v>
      </c>
      <c r="I930" t="s">
        <v>270</v>
      </c>
      <c r="K930" s="583">
        <v>405.38</v>
      </c>
      <c r="L930" s="583">
        <f t="shared" si="76"/>
        <v>405.38</v>
      </c>
      <c r="M930" s="179">
        <v>46315</v>
      </c>
      <c r="N930" s="179">
        <v>46301</v>
      </c>
      <c r="O930" s="565">
        <v>405.37</v>
      </c>
      <c r="P930" s="565">
        <f t="shared" si="75"/>
        <v>9.9999999999909051E-3</v>
      </c>
      <c r="Q930" s="565"/>
      <c r="R930" s="565"/>
      <c r="S930" s="565"/>
      <c r="T930" s="565"/>
      <c r="U930" s="565"/>
      <c r="V930" s="565"/>
      <c r="W930" s="565"/>
      <c r="X930" s="565"/>
      <c r="Y930" t="str">
        <f t="shared" ca="1" si="77"/>
        <v>PAGO</v>
      </c>
    </row>
    <row r="931" spans="1:25" x14ac:dyDescent="0.3">
      <c r="A931" t="s">
        <v>211</v>
      </c>
      <c r="B931" s="562">
        <v>2026</v>
      </c>
      <c r="C931" t="s">
        <v>249</v>
      </c>
      <c r="D931">
        <v>25769</v>
      </c>
      <c r="E931">
        <v>6848</v>
      </c>
      <c r="F931" s="179">
        <v>46275</v>
      </c>
      <c r="G931" t="s">
        <v>425</v>
      </c>
      <c r="I931" t="s">
        <v>426</v>
      </c>
      <c r="J931" s="583">
        <v>2520</v>
      </c>
      <c r="L931" s="583">
        <f t="shared" si="76"/>
        <v>2520</v>
      </c>
      <c r="M931" s="179">
        <v>46297</v>
      </c>
      <c r="N931" s="179">
        <v>46296</v>
      </c>
      <c r="O931" s="565">
        <v>2520</v>
      </c>
      <c r="P931" s="565">
        <f t="shared" si="75"/>
        <v>0</v>
      </c>
      <c r="Q931" s="565"/>
      <c r="R931" s="565"/>
      <c r="S931" s="565"/>
      <c r="T931" s="565"/>
      <c r="U931" s="565"/>
      <c r="V931" s="565"/>
      <c r="W931" s="565"/>
      <c r="X931" s="565"/>
      <c r="Y931" t="str">
        <f t="shared" ca="1" si="77"/>
        <v>PAGO</v>
      </c>
    </row>
    <row r="932" spans="1:25" x14ac:dyDescent="0.3">
      <c r="A932" t="s">
        <v>211</v>
      </c>
      <c r="B932" s="562">
        <v>2026</v>
      </c>
      <c r="C932" t="s">
        <v>249</v>
      </c>
      <c r="D932">
        <v>25769</v>
      </c>
      <c r="E932">
        <v>6848</v>
      </c>
      <c r="F932" s="179">
        <v>46275</v>
      </c>
      <c r="G932" t="s">
        <v>425</v>
      </c>
      <c r="I932" t="s">
        <v>426</v>
      </c>
      <c r="J932" s="583">
        <v>2520</v>
      </c>
      <c r="L932" s="583">
        <f t="shared" si="76"/>
        <v>2520</v>
      </c>
      <c r="M932" s="179">
        <v>46304</v>
      </c>
      <c r="N932" s="179">
        <v>46304</v>
      </c>
      <c r="O932" s="565">
        <v>2520</v>
      </c>
      <c r="P932" s="565">
        <f t="shared" si="75"/>
        <v>0</v>
      </c>
      <c r="Q932" s="565"/>
      <c r="R932" s="565"/>
      <c r="S932" s="565"/>
      <c r="T932" s="565"/>
      <c r="U932" s="565"/>
      <c r="V932" s="565"/>
      <c r="W932" s="565"/>
      <c r="X932" s="565"/>
      <c r="Y932" t="str">
        <f t="shared" ca="1" si="77"/>
        <v>PAGO</v>
      </c>
    </row>
    <row r="933" spans="1:25" x14ac:dyDescent="0.3">
      <c r="A933" t="s">
        <v>211</v>
      </c>
      <c r="B933" s="562">
        <v>2026</v>
      </c>
      <c r="C933" t="s">
        <v>249</v>
      </c>
      <c r="D933">
        <v>25769</v>
      </c>
      <c r="E933">
        <v>6848</v>
      </c>
      <c r="F933" s="179">
        <v>46275</v>
      </c>
      <c r="G933" t="s">
        <v>425</v>
      </c>
      <c r="I933" t="s">
        <v>426</v>
      </c>
      <c r="J933" s="583">
        <v>2520</v>
      </c>
      <c r="L933" s="583">
        <f t="shared" si="76"/>
        <v>2520</v>
      </c>
      <c r="M933" s="179">
        <v>46311</v>
      </c>
      <c r="N933" s="179">
        <v>46311</v>
      </c>
      <c r="O933" s="565">
        <v>2520</v>
      </c>
      <c r="P933" s="565">
        <f t="shared" si="75"/>
        <v>0</v>
      </c>
      <c r="Q933" s="565"/>
      <c r="R933" s="565"/>
      <c r="S933" s="565"/>
      <c r="T933" s="565"/>
      <c r="U933" s="565"/>
      <c r="V933" s="565"/>
      <c r="W933" s="565"/>
      <c r="X933" s="565"/>
      <c r="Y933" t="str">
        <f t="shared" ca="1" si="77"/>
        <v>PAGO</v>
      </c>
    </row>
    <row r="934" spans="1:25" x14ac:dyDescent="0.3">
      <c r="A934" t="s">
        <v>211</v>
      </c>
      <c r="B934" s="562">
        <v>2026</v>
      </c>
      <c r="C934" t="s">
        <v>249</v>
      </c>
      <c r="D934">
        <v>25768</v>
      </c>
      <c r="E934">
        <v>6849</v>
      </c>
      <c r="F934" s="179">
        <v>46275</v>
      </c>
      <c r="G934" t="s">
        <v>425</v>
      </c>
      <c r="I934" t="s">
        <v>426</v>
      </c>
      <c r="J934" s="583">
        <v>1680</v>
      </c>
      <c r="L934" s="583">
        <f t="shared" si="76"/>
        <v>1680</v>
      </c>
      <c r="M934" s="179">
        <v>46297</v>
      </c>
      <c r="N934" s="179">
        <v>46296</v>
      </c>
      <c r="O934" s="565">
        <v>1680</v>
      </c>
      <c r="P934" s="565">
        <f t="shared" si="75"/>
        <v>0</v>
      </c>
      <c r="Q934" s="565"/>
      <c r="R934" s="565"/>
      <c r="S934" s="565"/>
      <c r="T934" s="565"/>
      <c r="U934" s="565"/>
      <c r="V934" s="565"/>
      <c r="W934" s="565"/>
      <c r="X934" s="565"/>
      <c r="Y934" t="str">
        <f t="shared" ca="1" si="77"/>
        <v>PAGO</v>
      </c>
    </row>
    <row r="935" spans="1:25" x14ac:dyDescent="0.3">
      <c r="A935" t="s">
        <v>211</v>
      </c>
      <c r="B935" s="562">
        <v>2026</v>
      </c>
      <c r="C935" t="s">
        <v>249</v>
      </c>
      <c r="D935">
        <v>25768</v>
      </c>
      <c r="E935">
        <v>6849</v>
      </c>
      <c r="F935" s="179">
        <v>46275</v>
      </c>
      <c r="G935" t="s">
        <v>425</v>
      </c>
      <c r="I935" t="s">
        <v>426</v>
      </c>
      <c r="J935" s="583">
        <v>1680</v>
      </c>
      <c r="L935" s="583">
        <f t="shared" si="76"/>
        <v>1680</v>
      </c>
      <c r="M935" s="179">
        <v>46304</v>
      </c>
      <c r="N935" s="179">
        <v>46304</v>
      </c>
      <c r="O935" s="565">
        <v>1680</v>
      </c>
      <c r="P935" s="565">
        <f t="shared" si="75"/>
        <v>0</v>
      </c>
      <c r="Q935" s="565"/>
      <c r="R935" s="565"/>
      <c r="S935" s="565"/>
      <c r="T935" s="565"/>
      <c r="U935" s="565"/>
      <c r="V935" s="565"/>
      <c r="W935" s="565"/>
      <c r="X935" s="565"/>
      <c r="Y935" t="str">
        <f t="shared" ca="1" si="77"/>
        <v>PAGO</v>
      </c>
    </row>
    <row r="936" spans="1:25" x14ac:dyDescent="0.3">
      <c r="A936" t="s">
        <v>211</v>
      </c>
      <c r="B936" s="562">
        <v>2026</v>
      </c>
      <c r="C936" t="s">
        <v>249</v>
      </c>
      <c r="D936">
        <v>25768</v>
      </c>
      <c r="E936">
        <v>6849</v>
      </c>
      <c r="F936" s="179">
        <v>46275</v>
      </c>
      <c r="G936" t="s">
        <v>425</v>
      </c>
      <c r="I936" t="s">
        <v>426</v>
      </c>
      <c r="J936" s="583">
        <v>1680</v>
      </c>
      <c r="L936" s="583">
        <f t="shared" si="76"/>
        <v>1680</v>
      </c>
      <c r="M936" s="179">
        <v>46311</v>
      </c>
      <c r="N936" s="179">
        <v>46310</v>
      </c>
      <c r="O936" s="565">
        <v>1680</v>
      </c>
      <c r="P936" s="565">
        <f t="shared" si="75"/>
        <v>0</v>
      </c>
      <c r="Q936" s="565"/>
      <c r="R936" s="565"/>
      <c r="S936" s="565"/>
      <c r="T936" s="565"/>
      <c r="U936" s="565"/>
      <c r="V936" s="565"/>
      <c r="W936" s="565"/>
      <c r="X936" s="565"/>
      <c r="Y936" t="str">
        <f t="shared" ca="1" si="77"/>
        <v>PAGO</v>
      </c>
    </row>
    <row r="937" spans="1:25" x14ac:dyDescent="0.3">
      <c r="A937" t="s">
        <v>211</v>
      </c>
      <c r="B937" s="562">
        <v>2026</v>
      </c>
      <c r="C937" t="s">
        <v>249</v>
      </c>
      <c r="D937">
        <v>25917</v>
      </c>
      <c r="E937">
        <v>6913</v>
      </c>
      <c r="F937" s="179">
        <v>46280</v>
      </c>
      <c r="G937" t="s">
        <v>255</v>
      </c>
      <c r="I937" t="s">
        <v>272</v>
      </c>
      <c r="J937" s="583">
        <v>7188.39</v>
      </c>
      <c r="K937" s="583">
        <v>0</v>
      </c>
      <c r="L937" s="583">
        <f t="shared" si="76"/>
        <v>7188.39</v>
      </c>
      <c r="M937" s="179">
        <v>46280</v>
      </c>
      <c r="N937" s="179">
        <v>46275</v>
      </c>
      <c r="O937" s="565">
        <v>7188.39</v>
      </c>
      <c r="P937" s="565">
        <f t="shared" si="75"/>
        <v>0</v>
      </c>
      <c r="Q937" s="565"/>
      <c r="R937" s="565"/>
      <c r="S937" s="565"/>
      <c r="T937" s="565"/>
      <c r="U937" s="565"/>
      <c r="V937" s="565"/>
      <c r="W937" s="565"/>
      <c r="X937" s="565"/>
      <c r="Y937" t="str">
        <f t="shared" ca="1" si="77"/>
        <v>PAGO</v>
      </c>
    </row>
    <row r="938" spans="1:25" x14ac:dyDescent="0.3">
      <c r="A938" t="s">
        <v>211</v>
      </c>
      <c r="B938" s="562">
        <v>2026</v>
      </c>
      <c r="C938" t="s">
        <v>248</v>
      </c>
      <c r="D938">
        <v>26098</v>
      </c>
      <c r="E938">
        <v>7000</v>
      </c>
      <c r="F938" s="179">
        <v>46287</v>
      </c>
      <c r="G938" t="s">
        <v>236</v>
      </c>
      <c r="I938" t="s">
        <v>270</v>
      </c>
      <c r="K938" s="583">
        <v>1911.18</v>
      </c>
      <c r="L938" s="583">
        <f t="shared" si="76"/>
        <v>1911.18</v>
      </c>
      <c r="M938" s="179">
        <v>46315</v>
      </c>
      <c r="N938" s="179">
        <v>46301</v>
      </c>
      <c r="O938" s="565">
        <v>1911.19</v>
      </c>
      <c r="P938" s="565">
        <f t="shared" si="75"/>
        <v>-9.9999999999909051E-3</v>
      </c>
      <c r="Q938" s="565"/>
      <c r="R938" s="565"/>
      <c r="S938" s="565"/>
      <c r="T938" s="565"/>
      <c r="U938" s="565"/>
      <c r="V938" s="565"/>
      <c r="W938" s="565"/>
      <c r="X938" s="565"/>
      <c r="Y938" t="str">
        <f t="shared" ca="1" si="77"/>
        <v>PAGO</v>
      </c>
    </row>
    <row r="939" spans="1:25" x14ac:dyDescent="0.3">
      <c r="A939" t="s">
        <v>211</v>
      </c>
      <c r="B939" s="562">
        <v>2026</v>
      </c>
      <c r="C939" t="s">
        <v>248</v>
      </c>
      <c r="D939">
        <v>26098</v>
      </c>
      <c r="E939">
        <v>7000</v>
      </c>
      <c r="F939" s="179">
        <v>46287</v>
      </c>
      <c r="G939" t="s">
        <v>236</v>
      </c>
      <c r="I939" t="s">
        <v>270</v>
      </c>
      <c r="K939" s="583">
        <v>1911.18</v>
      </c>
      <c r="L939" s="583">
        <f t="shared" si="76"/>
        <v>1911.18</v>
      </c>
      <c r="M939" s="179">
        <v>46322</v>
      </c>
      <c r="N939" s="179">
        <v>46301</v>
      </c>
      <c r="O939" s="565">
        <v>1911.19</v>
      </c>
      <c r="P939" s="565">
        <f t="shared" si="75"/>
        <v>-9.9999999999909051E-3</v>
      </c>
      <c r="Q939" s="565"/>
      <c r="R939" s="565"/>
      <c r="S939" s="565"/>
      <c r="T939" s="565"/>
      <c r="U939" s="565"/>
      <c r="V939" s="565"/>
      <c r="W939" s="565"/>
      <c r="X939" s="565"/>
      <c r="Y939" t="str">
        <f t="shared" ca="1" si="77"/>
        <v>PAGO</v>
      </c>
    </row>
    <row r="940" spans="1:25" x14ac:dyDescent="0.3">
      <c r="A940" t="s">
        <v>211</v>
      </c>
      <c r="B940" s="562">
        <v>2026</v>
      </c>
      <c r="C940" t="s">
        <v>248</v>
      </c>
      <c r="D940">
        <v>26098</v>
      </c>
      <c r="E940">
        <v>7000</v>
      </c>
      <c r="F940" s="179">
        <v>46287</v>
      </c>
      <c r="G940" t="s">
        <v>236</v>
      </c>
      <c r="I940" t="s">
        <v>270</v>
      </c>
      <c r="K940" s="583">
        <v>1911.18</v>
      </c>
      <c r="L940" s="583">
        <f t="shared" si="76"/>
        <v>1911.18</v>
      </c>
      <c r="M940" s="179">
        <v>46329</v>
      </c>
      <c r="O940" s="565"/>
      <c r="P940" s="565">
        <f t="shared" si="75"/>
        <v>1911.18</v>
      </c>
      <c r="Q940" s="565"/>
      <c r="R940" s="565"/>
      <c r="S940" s="565"/>
      <c r="T940" s="565"/>
      <c r="U940" s="565"/>
      <c r="V940" s="565"/>
      <c r="W940" s="565"/>
      <c r="X940" s="565"/>
      <c r="Y940" t="str">
        <f t="shared" ca="1" si="77"/>
        <v>A VENCER</v>
      </c>
    </row>
    <row r="941" spans="1:25" x14ac:dyDescent="0.3">
      <c r="A941" t="s">
        <v>211</v>
      </c>
      <c r="B941" s="562">
        <v>2026</v>
      </c>
      <c r="C941" t="s">
        <v>248</v>
      </c>
      <c r="D941">
        <v>26099</v>
      </c>
      <c r="E941">
        <v>7023</v>
      </c>
      <c r="F941" s="179">
        <v>46287</v>
      </c>
      <c r="G941" t="s">
        <v>236</v>
      </c>
      <c r="I941" t="s">
        <v>270</v>
      </c>
      <c r="K941" s="583">
        <v>132.82</v>
      </c>
      <c r="L941" s="583">
        <f t="shared" si="76"/>
        <v>132.82</v>
      </c>
      <c r="M941" s="179">
        <v>46315</v>
      </c>
      <c r="N941" s="179">
        <v>46301</v>
      </c>
      <c r="O941" s="565">
        <v>132.83000000000001</v>
      </c>
      <c r="P941" s="565">
        <f t="shared" si="75"/>
        <v>-1.0000000000019327E-2</v>
      </c>
      <c r="Q941" s="565"/>
      <c r="R941" s="565"/>
      <c r="S941" s="565"/>
      <c r="T941" s="565"/>
      <c r="U941" s="565"/>
      <c r="V941" s="565"/>
      <c r="W941" s="565"/>
      <c r="X941" s="565"/>
      <c r="Y941" t="str">
        <f t="shared" ca="1" si="77"/>
        <v>PAGO</v>
      </c>
    </row>
    <row r="942" spans="1:25" x14ac:dyDescent="0.3">
      <c r="A942" t="s">
        <v>211</v>
      </c>
      <c r="B942" s="562">
        <v>2026</v>
      </c>
      <c r="C942" t="s">
        <v>248</v>
      </c>
      <c r="D942">
        <v>26191</v>
      </c>
      <c r="E942">
        <v>7126</v>
      </c>
      <c r="F942" s="179">
        <v>46290</v>
      </c>
      <c r="G942" t="s">
        <v>236</v>
      </c>
      <c r="I942" t="s">
        <v>270</v>
      </c>
      <c r="K942" s="583">
        <v>2450.64</v>
      </c>
      <c r="L942" s="583">
        <f t="shared" si="76"/>
        <v>2450.64</v>
      </c>
      <c r="M942" s="179">
        <v>46318</v>
      </c>
      <c r="N942" s="179">
        <v>46301</v>
      </c>
      <c r="O942" s="565">
        <v>1348.17</v>
      </c>
      <c r="P942" s="565">
        <f t="shared" si="75"/>
        <v>1102.4699999999998</v>
      </c>
      <c r="Q942" s="179">
        <v>46301</v>
      </c>
      <c r="R942" s="565">
        <v>1102.49</v>
      </c>
      <c r="S942" s="565"/>
      <c r="T942" s="565"/>
      <c r="U942" s="565"/>
      <c r="V942" s="565"/>
      <c r="W942" s="565"/>
      <c r="X942" s="565"/>
      <c r="Y942" t="str">
        <f t="shared" ca="1" si="77"/>
        <v>A VENCER</v>
      </c>
    </row>
    <row r="943" spans="1:25" x14ac:dyDescent="0.3">
      <c r="A943" t="s">
        <v>211</v>
      </c>
      <c r="B943" s="562">
        <v>2026</v>
      </c>
      <c r="C943" t="s">
        <v>248</v>
      </c>
      <c r="D943">
        <v>26191</v>
      </c>
      <c r="E943">
        <v>7126</v>
      </c>
      <c r="F943" s="179">
        <v>46290</v>
      </c>
      <c r="G943" t="s">
        <v>236</v>
      </c>
      <c r="I943" t="s">
        <v>270</v>
      </c>
      <c r="K943" s="583">
        <v>2450.64</v>
      </c>
      <c r="L943" s="583">
        <f t="shared" si="76"/>
        <v>2450.64</v>
      </c>
      <c r="M943" s="179">
        <v>46325</v>
      </c>
      <c r="N943" s="179">
        <v>46301</v>
      </c>
      <c r="O943" s="565">
        <v>1935.34</v>
      </c>
      <c r="P943" s="584">
        <f t="shared" si="75"/>
        <v>515.29999999999995</v>
      </c>
      <c r="Q943" s="565"/>
      <c r="R943" s="565"/>
      <c r="S943" s="565"/>
      <c r="T943" s="565"/>
      <c r="U943" s="565"/>
      <c r="V943" s="565"/>
      <c r="W943" s="565"/>
      <c r="X943" s="565"/>
      <c r="Y943" t="str">
        <f t="shared" ca="1" si="77"/>
        <v>A VENCER</v>
      </c>
    </row>
    <row r="944" spans="1:25" x14ac:dyDescent="0.3">
      <c r="A944" t="s">
        <v>211</v>
      </c>
      <c r="B944" s="562">
        <v>2026</v>
      </c>
      <c r="C944" t="s">
        <v>248</v>
      </c>
      <c r="D944">
        <v>26191</v>
      </c>
      <c r="E944">
        <v>7126</v>
      </c>
      <c r="F944" s="179">
        <v>46290</v>
      </c>
      <c r="G944" t="s">
        <v>236</v>
      </c>
      <c r="I944" t="s">
        <v>270</v>
      </c>
      <c r="K944" s="583">
        <v>2450.64</v>
      </c>
      <c r="L944" s="583">
        <f t="shared" si="76"/>
        <v>2450.64</v>
      </c>
      <c r="M944" s="179">
        <v>46332</v>
      </c>
      <c r="O944" s="565"/>
      <c r="P944" s="565"/>
      <c r="Q944" s="565"/>
      <c r="R944" s="565"/>
      <c r="S944" s="565"/>
      <c r="T944" s="565"/>
      <c r="U944" s="565"/>
      <c r="V944" s="565"/>
      <c r="W944" s="565"/>
      <c r="X944" s="565"/>
      <c r="Y944" t="str">
        <f t="shared" ca="1" si="77"/>
        <v>PAGO</v>
      </c>
    </row>
    <row r="945" spans="1:25" x14ac:dyDescent="0.3">
      <c r="A945" t="s">
        <v>222</v>
      </c>
      <c r="B945" s="562">
        <v>2026</v>
      </c>
      <c r="C945" t="s">
        <v>248</v>
      </c>
      <c r="D945">
        <v>26395</v>
      </c>
      <c r="E945">
        <v>7250</v>
      </c>
      <c r="F945" s="179">
        <v>46300</v>
      </c>
      <c r="G945" t="s">
        <v>236</v>
      </c>
      <c r="I945" t="s">
        <v>270</v>
      </c>
      <c r="K945" s="583">
        <v>492.77</v>
      </c>
      <c r="L945" s="583">
        <f>J945+K945</f>
        <v>492.77</v>
      </c>
      <c r="M945" s="179">
        <v>46328</v>
      </c>
      <c r="P945" s="565">
        <f>L945-O945</f>
        <v>492.77</v>
      </c>
      <c r="Q945" s="565"/>
      <c r="R945" s="565"/>
      <c r="S945" s="565"/>
      <c r="T945" s="565"/>
      <c r="U945" s="565"/>
      <c r="V945" s="565"/>
      <c r="W945" s="565"/>
      <c r="X945" s="565"/>
      <c r="Y945" t="str">
        <f ca="1">IF(L945=0,"SEM VALOR",IF(P945&lt;=0.01,"PAGO",IF(M945="","SEM VENCIMENTO",IF(M945&lt;TODAY(),"VENCIDO","A VENCER"))))</f>
        <v>A VENCER</v>
      </c>
    </row>
    <row r="946" spans="1:25" x14ac:dyDescent="0.3">
      <c r="A946" t="s">
        <v>222</v>
      </c>
      <c r="B946" s="562">
        <v>2026</v>
      </c>
      <c r="C946" t="s">
        <v>248</v>
      </c>
      <c r="D946">
        <v>26395</v>
      </c>
      <c r="E946">
        <v>7250</v>
      </c>
      <c r="F946" s="179">
        <v>46300</v>
      </c>
      <c r="G946" t="s">
        <v>236</v>
      </c>
      <c r="I946" t="s">
        <v>270</v>
      </c>
      <c r="K946" s="583">
        <v>492.77</v>
      </c>
      <c r="L946" s="583">
        <f>J946+K946</f>
        <v>492.77</v>
      </c>
      <c r="M946" s="179">
        <v>46335</v>
      </c>
      <c r="P946" s="565">
        <f>L946-O946</f>
        <v>492.77</v>
      </c>
      <c r="Q946" s="565"/>
      <c r="R946" s="565"/>
      <c r="S946" s="565"/>
      <c r="T946" s="565"/>
      <c r="U946" s="565"/>
      <c r="V946" s="565"/>
      <c r="W946" s="565"/>
      <c r="X946" s="565"/>
      <c r="Y946" t="str">
        <f ca="1">IF(L946=0,"SEM VALOR",IF(P946&lt;=0.01,"PAGO",IF(M946="","SEM VENCIMENTO",IF(M946&lt;TODAY(),"VENCIDO","A VENCER"))))</f>
        <v>A VENCER</v>
      </c>
    </row>
    <row r="947" spans="1:25" x14ac:dyDescent="0.3">
      <c r="A947" t="s">
        <v>222</v>
      </c>
      <c r="B947" s="562">
        <v>2026</v>
      </c>
      <c r="C947" t="s">
        <v>248</v>
      </c>
      <c r="D947">
        <v>26395</v>
      </c>
      <c r="E947">
        <v>7250</v>
      </c>
      <c r="F947" s="179">
        <v>46300</v>
      </c>
      <c r="G947" t="s">
        <v>236</v>
      </c>
      <c r="I947" t="s">
        <v>270</v>
      </c>
      <c r="K947" s="583">
        <v>492.77</v>
      </c>
      <c r="L947" s="583">
        <f t="shared" ref="L947:L950" si="78">J947+K947</f>
        <v>492.77</v>
      </c>
      <c r="M947" s="179">
        <v>46342</v>
      </c>
      <c r="P947" s="565">
        <f t="shared" ref="P947:P950" si="79">L947-O947</f>
        <v>492.77</v>
      </c>
      <c r="Q947" s="565"/>
      <c r="R947" s="565"/>
      <c r="S947" s="565"/>
      <c r="T947" s="565"/>
      <c r="U947" s="565"/>
      <c r="V947" s="565"/>
      <c r="W947" s="565"/>
      <c r="X947" s="565"/>
      <c r="Y947" t="str">
        <f t="shared" ref="Y947:Y950" ca="1" si="80">IF(L947=0,"SEM VALOR",IF(P947&lt;=0.01,"PAGO",IF(M947="","SEM VENCIMENTO",IF(M947&lt;TODAY(),"VENCIDO","A VENCER"))))</f>
        <v>A VENCER</v>
      </c>
    </row>
    <row r="948" spans="1:25" x14ac:dyDescent="0.3">
      <c r="A948" t="s">
        <v>222</v>
      </c>
      <c r="B948" s="562">
        <v>2026</v>
      </c>
      <c r="C948" t="s">
        <v>248</v>
      </c>
      <c r="D948">
        <v>26396</v>
      </c>
      <c r="E948">
        <v>7194</v>
      </c>
      <c r="F948" s="179">
        <v>46300</v>
      </c>
      <c r="G948" t="s">
        <v>236</v>
      </c>
      <c r="I948" t="s">
        <v>270</v>
      </c>
      <c r="K948" s="583">
        <v>601.79999999999995</v>
      </c>
      <c r="L948" s="583">
        <f t="shared" si="78"/>
        <v>601.79999999999995</v>
      </c>
      <c r="M948" s="179">
        <v>46328</v>
      </c>
      <c r="P948" s="565">
        <f t="shared" si="79"/>
        <v>601.79999999999995</v>
      </c>
      <c r="Q948" s="565"/>
      <c r="R948" s="565"/>
      <c r="S948" s="565"/>
      <c r="T948" s="565"/>
      <c r="U948" s="565"/>
      <c r="V948" s="565"/>
      <c r="W948" s="565"/>
      <c r="X948" s="565"/>
      <c r="Y948" t="str">
        <f t="shared" ca="1" si="80"/>
        <v>A VENCER</v>
      </c>
    </row>
    <row r="949" spans="1:25" x14ac:dyDescent="0.3">
      <c r="A949" t="s">
        <v>222</v>
      </c>
      <c r="B949" s="562">
        <v>2026</v>
      </c>
      <c r="C949" t="s">
        <v>248</v>
      </c>
      <c r="D949">
        <v>26396</v>
      </c>
      <c r="E949">
        <v>7194</v>
      </c>
      <c r="F949" s="179">
        <v>46300</v>
      </c>
      <c r="G949" t="s">
        <v>236</v>
      </c>
      <c r="I949" t="s">
        <v>270</v>
      </c>
      <c r="K949" s="583">
        <v>601.79999999999995</v>
      </c>
      <c r="L949" s="583">
        <f t="shared" si="78"/>
        <v>601.79999999999995</v>
      </c>
      <c r="M949" s="179">
        <v>46335</v>
      </c>
      <c r="P949" s="565">
        <f t="shared" si="79"/>
        <v>601.79999999999995</v>
      </c>
      <c r="Q949" s="565"/>
      <c r="R949" s="565"/>
      <c r="S949" s="565"/>
      <c r="T949" s="565"/>
      <c r="U949" s="565"/>
      <c r="V949" s="565"/>
      <c r="W949" s="565"/>
      <c r="X949" s="565"/>
      <c r="Y949" t="str">
        <f t="shared" ca="1" si="80"/>
        <v>A VENCER</v>
      </c>
    </row>
    <row r="950" spans="1:25" x14ac:dyDescent="0.3">
      <c r="A950" t="s">
        <v>222</v>
      </c>
      <c r="B950" s="562">
        <v>2026</v>
      </c>
      <c r="C950" t="s">
        <v>248</v>
      </c>
      <c r="D950">
        <v>26396</v>
      </c>
      <c r="E950">
        <v>7194</v>
      </c>
      <c r="F950" s="179">
        <v>46300</v>
      </c>
      <c r="G950" t="s">
        <v>236</v>
      </c>
      <c r="I950" t="s">
        <v>270</v>
      </c>
      <c r="K950" s="583">
        <v>601.79</v>
      </c>
      <c r="L950" s="583">
        <f t="shared" si="78"/>
        <v>601.79</v>
      </c>
      <c r="M950" s="179">
        <v>46342</v>
      </c>
      <c r="P950" s="565">
        <f t="shared" si="79"/>
        <v>601.79</v>
      </c>
      <c r="Q950" s="565"/>
      <c r="R950" s="565"/>
      <c r="S950" s="565"/>
      <c r="T950" s="565"/>
      <c r="U950" s="565"/>
      <c r="V950" s="565"/>
      <c r="W950" s="565"/>
      <c r="X950" s="565"/>
      <c r="Y950" t="str">
        <f t="shared" ca="1" si="80"/>
        <v>A VENCER</v>
      </c>
    </row>
    <row r="951" spans="1:25" x14ac:dyDescent="0.3">
      <c r="A951" t="s">
        <v>222</v>
      </c>
      <c r="B951">
        <v>2026</v>
      </c>
      <c r="C951" t="s">
        <v>248</v>
      </c>
      <c r="D951">
        <v>26642</v>
      </c>
      <c r="E951">
        <v>7471</v>
      </c>
      <c r="F951" s="179">
        <v>46310</v>
      </c>
      <c r="G951" t="s">
        <v>236</v>
      </c>
      <c r="I951" t="s">
        <v>270</v>
      </c>
      <c r="K951" s="583">
        <v>127.65</v>
      </c>
      <c r="L951" s="583">
        <f t="shared" ref="L951:L957" si="81">J951+K951</f>
        <v>127.65</v>
      </c>
      <c r="M951" s="179">
        <v>46338</v>
      </c>
      <c r="P951" s="565">
        <f t="shared" ref="P951:P957" si="82">L951-O951</f>
        <v>127.65</v>
      </c>
      <c r="Q951" s="565"/>
      <c r="R951" s="565"/>
      <c r="S951" s="565"/>
      <c r="T951" s="565"/>
      <c r="U951" s="565"/>
      <c r="V951" s="565"/>
      <c r="W951" s="565"/>
      <c r="X951" s="565"/>
      <c r="Y951" t="str">
        <f t="shared" ref="Y951:Y957" ca="1" si="83">IF(L951=0,"SEM VALOR",IF(P951&lt;=0.01,"PAGO",IF(M951="","SEM VENCIMENTO",IF(M951&lt;TODAY(),"VENCIDO","A VENCER"))))</f>
        <v>A VENCER</v>
      </c>
    </row>
    <row r="952" spans="1:25" x14ac:dyDescent="0.3">
      <c r="A952" t="s">
        <v>222</v>
      </c>
      <c r="B952">
        <v>2026</v>
      </c>
      <c r="C952" t="s">
        <v>248</v>
      </c>
      <c r="D952">
        <v>26679</v>
      </c>
      <c r="E952">
        <v>7359</v>
      </c>
      <c r="F952" s="179">
        <v>46311</v>
      </c>
      <c r="G952" t="s">
        <v>236</v>
      </c>
      <c r="I952" t="s">
        <v>270</v>
      </c>
      <c r="K952" s="583">
        <v>347.87</v>
      </c>
      <c r="L952" s="583">
        <f t="shared" si="81"/>
        <v>347.87</v>
      </c>
      <c r="M952" s="179">
        <v>46339</v>
      </c>
      <c r="P952" s="565">
        <f t="shared" si="82"/>
        <v>347.87</v>
      </c>
      <c r="Q952" s="565"/>
      <c r="R952" s="565"/>
      <c r="S952" s="565"/>
      <c r="T952" s="565"/>
      <c r="U952" s="565"/>
      <c r="V952" s="565"/>
      <c r="W952" s="565"/>
      <c r="X952" s="565"/>
      <c r="Y952" t="str">
        <f t="shared" ca="1" si="83"/>
        <v>A VENCER</v>
      </c>
    </row>
    <row r="953" spans="1:25" x14ac:dyDescent="0.3">
      <c r="A953" t="s">
        <v>222</v>
      </c>
      <c r="B953">
        <v>2026</v>
      </c>
      <c r="C953" t="s">
        <v>248</v>
      </c>
      <c r="D953">
        <v>26679</v>
      </c>
      <c r="E953">
        <v>7359</v>
      </c>
      <c r="F953" s="179">
        <v>46311</v>
      </c>
      <c r="G953" t="s">
        <v>236</v>
      </c>
      <c r="I953" t="s">
        <v>270</v>
      </c>
      <c r="K953" s="583">
        <v>347.87</v>
      </c>
      <c r="L953" s="583">
        <f t="shared" si="81"/>
        <v>347.87</v>
      </c>
      <c r="M953" s="179">
        <v>46346</v>
      </c>
      <c r="P953" s="565">
        <f t="shared" si="82"/>
        <v>347.87</v>
      </c>
      <c r="Q953" s="565"/>
      <c r="R953" s="565"/>
      <c r="S953" s="565"/>
      <c r="T953" s="565"/>
      <c r="U953" s="565"/>
      <c r="V953" s="565"/>
      <c r="W953" s="565"/>
      <c r="X953" s="565"/>
      <c r="Y953" t="str">
        <f t="shared" ca="1" si="83"/>
        <v>A VENCER</v>
      </c>
    </row>
    <row r="954" spans="1:25" x14ac:dyDescent="0.3">
      <c r="A954" t="s">
        <v>222</v>
      </c>
      <c r="B954">
        <v>2026</v>
      </c>
      <c r="C954" t="s">
        <v>248</v>
      </c>
      <c r="D954">
        <v>26679</v>
      </c>
      <c r="E954">
        <v>7359</v>
      </c>
      <c r="F954" s="179">
        <v>46311</v>
      </c>
      <c r="G954" t="s">
        <v>236</v>
      </c>
      <c r="I954" t="s">
        <v>270</v>
      </c>
      <c r="K954" s="583">
        <v>347.88</v>
      </c>
      <c r="L954" s="583">
        <f t="shared" si="81"/>
        <v>347.88</v>
      </c>
      <c r="M954" s="179">
        <v>46353</v>
      </c>
      <c r="P954" s="565">
        <f t="shared" si="82"/>
        <v>347.88</v>
      </c>
      <c r="Q954" s="565"/>
      <c r="R954" s="565"/>
      <c r="S954" s="565"/>
      <c r="T954" s="565"/>
      <c r="U954" s="565"/>
      <c r="V954" s="565"/>
      <c r="W954" s="565"/>
      <c r="X954" s="565"/>
      <c r="Y954" t="str">
        <f t="shared" ca="1" si="83"/>
        <v>A VENCER</v>
      </c>
    </row>
    <row r="955" spans="1:25" x14ac:dyDescent="0.3">
      <c r="A955" t="s">
        <v>222</v>
      </c>
      <c r="B955">
        <v>2026</v>
      </c>
      <c r="C955" t="s">
        <v>249</v>
      </c>
      <c r="D955">
        <v>1035</v>
      </c>
      <c r="E955">
        <v>1004</v>
      </c>
      <c r="F955" s="179">
        <v>46314</v>
      </c>
      <c r="G955" t="s">
        <v>264</v>
      </c>
      <c r="I955" t="s">
        <v>332</v>
      </c>
      <c r="J955" s="583">
        <v>2080</v>
      </c>
      <c r="L955" s="583">
        <f t="shared" si="81"/>
        <v>2080</v>
      </c>
      <c r="M955" s="179">
        <v>46334</v>
      </c>
      <c r="P955" s="565">
        <f t="shared" si="82"/>
        <v>2080</v>
      </c>
      <c r="Q955" s="565"/>
      <c r="R955" s="565"/>
      <c r="S955" s="565"/>
      <c r="T955" s="565"/>
      <c r="U955" s="565"/>
      <c r="V955" s="565"/>
      <c r="W955" s="565"/>
      <c r="X955" s="565"/>
      <c r="Y955" t="str">
        <f t="shared" ca="1" si="83"/>
        <v>A VENCER</v>
      </c>
    </row>
    <row r="956" spans="1:25" x14ac:dyDescent="0.3">
      <c r="A956" t="s">
        <v>222</v>
      </c>
      <c r="B956">
        <v>2026</v>
      </c>
      <c r="C956" t="s">
        <v>249</v>
      </c>
      <c r="D956">
        <v>1035</v>
      </c>
      <c r="E956">
        <v>1004</v>
      </c>
      <c r="F956" s="179">
        <v>46314</v>
      </c>
      <c r="G956" t="s">
        <v>264</v>
      </c>
      <c r="I956" t="s">
        <v>332</v>
      </c>
      <c r="J956" s="583">
        <v>2080</v>
      </c>
      <c r="L956" s="583">
        <f t="shared" si="81"/>
        <v>2080</v>
      </c>
      <c r="M956" s="179">
        <v>46344</v>
      </c>
      <c r="P956" s="565">
        <f t="shared" si="82"/>
        <v>2080</v>
      </c>
      <c r="Q956" s="565"/>
      <c r="R956" s="565"/>
      <c r="S956" s="565"/>
      <c r="T956" s="565"/>
      <c r="U956" s="565"/>
      <c r="V956" s="565"/>
      <c r="W956" s="565"/>
      <c r="X956" s="565"/>
      <c r="Y956" t="str">
        <f t="shared" ca="1" si="83"/>
        <v>A VENCER</v>
      </c>
    </row>
    <row r="957" spans="1:25" x14ac:dyDescent="0.3">
      <c r="A957" t="s">
        <v>222</v>
      </c>
      <c r="B957">
        <v>2026</v>
      </c>
      <c r="C957" t="s">
        <v>249</v>
      </c>
      <c r="D957">
        <v>1035</v>
      </c>
      <c r="E957">
        <v>1004</v>
      </c>
      <c r="F957" s="179">
        <v>46314</v>
      </c>
      <c r="G957" t="s">
        <v>264</v>
      </c>
      <c r="I957" t="s">
        <v>332</v>
      </c>
      <c r="J957" s="583">
        <v>2080</v>
      </c>
      <c r="L957" s="583">
        <f t="shared" si="81"/>
        <v>2080</v>
      </c>
      <c r="M957" s="179">
        <v>46354</v>
      </c>
      <c r="P957" s="565">
        <f t="shared" si="82"/>
        <v>2080</v>
      </c>
      <c r="Q957" s="565"/>
      <c r="R957" s="565"/>
      <c r="S957" s="565"/>
      <c r="T957" s="565"/>
      <c r="U957" s="565"/>
      <c r="V957" s="565"/>
      <c r="W957" s="565"/>
      <c r="X957" s="565"/>
      <c r="Y957" t="str">
        <f t="shared" ca="1" si="83"/>
        <v>A VENCER</v>
      </c>
    </row>
    <row r="958" spans="1:25" x14ac:dyDescent="0.3">
      <c r="A958" t="s">
        <v>222</v>
      </c>
      <c r="B958">
        <v>2026</v>
      </c>
      <c r="C958" t="s">
        <v>248</v>
      </c>
      <c r="D958">
        <v>26816</v>
      </c>
      <c r="E958">
        <v>7516</v>
      </c>
      <c r="F958" s="179">
        <v>46317</v>
      </c>
      <c r="G958" t="s">
        <v>236</v>
      </c>
      <c r="I958" t="s">
        <v>270</v>
      </c>
      <c r="K958" s="693">
        <v>5453.17</v>
      </c>
      <c r="L958" s="583">
        <f>J958+K958</f>
        <v>5453.17</v>
      </c>
      <c r="M958" s="179">
        <v>46377</v>
      </c>
      <c r="P958" s="565">
        <f>L958-O958</f>
        <v>5453.17</v>
      </c>
      <c r="Q958" s="565"/>
      <c r="R958" s="565"/>
      <c r="S958" s="565"/>
      <c r="T958" s="565"/>
      <c r="U958" s="565"/>
      <c r="V958" s="565"/>
      <c r="W958" s="565"/>
      <c r="X958" s="565"/>
      <c r="Y958" t="str">
        <f ca="1">IF(L958=0,"SEM VALOR",IF(P958&lt;=0.01,"PAGO",IF(M958="","SEM VENCIMENTO",IF(M958&lt;TODAY(),"VENCIDO","A VENCER"))))</f>
        <v>A VENCER</v>
      </c>
    </row>
  </sheetData>
  <phoneticPr fontId="5" type="noConversion"/>
  <conditionalFormatting sqref="Y2:Y958">
    <cfRule type="containsText" dxfId="13" priority="1" operator="containsText" text="VENCIDO">
      <formula>NOT(ISERROR(SEARCH("VENCIDO",Y2)))</formula>
    </cfRule>
    <cfRule type="containsText" dxfId="12" priority="2" operator="containsText" text="A VENCER">
      <formula>NOT(ISERROR(SEARCH("A VENCER",Y2)))</formula>
    </cfRule>
    <cfRule type="containsText" dxfId="11" priority="3" operator="containsText" text="PAGO">
      <formula>NOT(ISERROR(SEARCH("PAGO",Y2)))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5799-B508-4A1F-9F58-ADDA4B1F48EC}">
  <dimension ref="A1:O61"/>
  <sheetViews>
    <sheetView zoomScaleNormal="100" workbookViewId="0">
      <pane ySplit="1" topLeftCell="A44" activePane="bottomLeft" state="frozen"/>
      <selection pane="bottomLeft" activeCell="R11" sqref="R11"/>
    </sheetView>
  </sheetViews>
  <sheetFormatPr defaultRowHeight="14.4" x14ac:dyDescent="0.3"/>
  <cols>
    <col min="1" max="1" width="12.6640625" bestFit="1" customWidth="1"/>
    <col min="2" max="2" width="10" customWidth="1"/>
    <col min="3" max="3" width="9.21875" customWidth="1"/>
    <col min="4" max="4" width="13.6640625" style="179" customWidth="1"/>
    <col min="5" max="5" width="18.109375" bestFit="1" customWidth="1"/>
    <col min="6" max="6" width="11.6640625" customWidth="1"/>
    <col min="7" max="7" width="12.6640625" style="583" bestFit="1" customWidth="1"/>
    <col min="8" max="8" width="17.77734375" style="583" hidden="1" customWidth="1"/>
    <col min="9" max="9" width="12.6640625" bestFit="1" customWidth="1"/>
    <col min="10" max="10" width="12.44140625" style="179" customWidth="1"/>
    <col min="11" max="11" width="15.77734375" style="179" customWidth="1"/>
    <col min="12" max="12" width="19.109375" customWidth="1"/>
    <col min="13" max="13" width="19" customWidth="1"/>
    <col min="14" max="14" width="12.5546875" style="562" customWidth="1"/>
    <col min="15" max="15" width="14.44140625" customWidth="1"/>
  </cols>
  <sheetData>
    <row r="1" spans="1:15" x14ac:dyDescent="0.3">
      <c r="A1" s="86" t="s">
        <v>380</v>
      </c>
      <c r="B1" s="86" t="s">
        <v>223</v>
      </c>
      <c r="C1" s="86" t="s">
        <v>232</v>
      </c>
      <c r="D1" s="581" t="s">
        <v>382</v>
      </c>
      <c r="E1" s="86" t="s">
        <v>225</v>
      </c>
      <c r="F1" s="86" t="s">
        <v>268</v>
      </c>
      <c r="G1" s="582" t="s">
        <v>226</v>
      </c>
      <c r="H1" s="582" t="s">
        <v>227</v>
      </c>
      <c r="I1" s="86" t="s">
        <v>214</v>
      </c>
      <c r="J1" s="581" t="s">
        <v>228</v>
      </c>
      <c r="K1" s="581" t="s">
        <v>419</v>
      </c>
      <c r="L1" s="86" t="s">
        <v>412</v>
      </c>
      <c r="M1" s="86" t="s">
        <v>230</v>
      </c>
      <c r="N1" s="585" t="s">
        <v>434</v>
      </c>
      <c r="O1" s="86" t="s">
        <v>435</v>
      </c>
    </row>
    <row r="2" spans="1:15" x14ac:dyDescent="0.3">
      <c r="A2" t="s">
        <v>219</v>
      </c>
      <c r="B2">
        <v>934</v>
      </c>
      <c r="C2">
        <v>908</v>
      </c>
      <c r="D2" s="179">
        <v>46195</v>
      </c>
      <c r="E2" t="s">
        <v>375</v>
      </c>
      <c r="F2" t="s">
        <v>272</v>
      </c>
      <c r="G2" s="583">
        <v>11172</v>
      </c>
      <c r="H2" s="583">
        <v>0</v>
      </c>
      <c r="I2" s="565">
        <f t="shared" ref="I2:I33" si="0">G2+H2</f>
        <v>11172</v>
      </c>
      <c r="J2" s="179">
        <v>46216</v>
      </c>
      <c r="K2" s="179">
        <v>46226</v>
      </c>
      <c r="L2" s="565">
        <v>11172</v>
      </c>
      <c r="M2" s="565">
        <f t="shared" ref="M2:M33" si="1">I2-L2</f>
        <v>0</v>
      </c>
      <c r="N2" s="562">
        <f>BASE_FRETES15[[#This Row],[DATA DE PAGAMENTO 1]]-BASE_FRETES15[[#This Row],[VENCIMENTO]]</f>
        <v>10</v>
      </c>
      <c r="O2" s="565">
        <f>BASE_FRETES15[[#This Row],[VALOR PAGO 1]]*0.05/30*BASE_FRETES15[[#This Row],[DIAS ATRASO]]+BASE_FRETES15[[#This Row],[VALOR PAGO 1]]*0.02</f>
        <v>409.64</v>
      </c>
    </row>
    <row r="3" spans="1:15" x14ac:dyDescent="0.3">
      <c r="A3" t="s">
        <v>219</v>
      </c>
      <c r="B3">
        <v>934</v>
      </c>
      <c r="C3">
        <v>908</v>
      </c>
      <c r="D3" s="179">
        <v>46195</v>
      </c>
      <c r="E3" t="s">
        <v>375</v>
      </c>
      <c r="F3" t="s">
        <v>272</v>
      </c>
      <c r="G3" s="583">
        <v>11172</v>
      </c>
      <c r="H3" s="583">
        <v>0</v>
      </c>
      <c r="I3" s="565">
        <f t="shared" si="0"/>
        <v>11172</v>
      </c>
      <c r="J3" s="179">
        <v>46223</v>
      </c>
      <c r="K3" s="179">
        <v>46238</v>
      </c>
      <c r="L3" s="565">
        <v>11172</v>
      </c>
      <c r="M3" s="565">
        <f t="shared" si="1"/>
        <v>0</v>
      </c>
      <c r="N3" s="562">
        <f>BASE_FRETES15[[#This Row],[DATA DE PAGAMENTO 1]]-BASE_FRETES15[[#This Row],[VENCIMENTO]]</f>
        <v>15</v>
      </c>
      <c r="O3" s="565">
        <f>BASE_FRETES15[[#This Row],[VALOR PAGO 1]]*0.05/30*BASE_FRETES15[[#This Row],[DIAS ATRASO]]+BASE_FRETES15[[#This Row],[VALOR PAGO 1]]*0.02</f>
        <v>502.74</v>
      </c>
    </row>
    <row r="4" spans="1:15" x14ac:dyDescent="0.3">
      <c r="A4" t="s">
        <v>219</v>
      </c>
      <c r="B4">
        <v>934</v>
      </c>
      <c r="C4">
        <v>908</v>
      </c>
      <c r="D4" s="179">
        <v>46195</v>
      </c>
      <c r="E4" t="s">
        <v>375</v>
      </c>
      <c r="F4" t="s">
        <v>272</v>
      </c>
      <c r="G4" s="583">
        <v>11172</v>
      </c>
      <c r="H4" s="583">
        <v>0</v>
      </c>
      <c r="I4" s="565">
        <f t="shared" si="0"/>
        <v>11172</v>
      </c>
      <c r="J4" s="179">
        <v>46230</v>
      </c>
      <c r="K4" s="179">
        <v>46255</v>
      </c>
      <c r="L4" s="565">
        <v>11172</v>
      </c>
      <c r="M4" s="565">
        <f t="shared" si="1"/>
        <v>0</v>
      </c>
      <c r="N4" s="562">
        <f>BASE_FRETES15[[#This Row],[DATA DE PAGAMENTO 1]]-BASE_FRETES15[[#This Row],[VENCIMENTO]]</f>
        <v>25</v>
      </c>
      <c r="O4" s="565">
        <f>BASE_FRETES15[[#This Row],[VALOR PAGO 1]]*0.05/30*BASE_FRETES15[[#This Row],[DIAS ATRASO]]+BASE_FRETES15[[#This Row],[VALOR PAGO 1]]*0.02</f>
        <v>688.94</v>
      </c>
    </row>
    <row r="5" spans="1:15" x14ac:dyDescent="0.3">
      <c r="A5" t="s">
        <v>219</v>
      </c>
      <c r="B5">
        <v>934</v>
      </c>
      <c r="C5">
        <v>908</v>
      </c>
      <c r="D5" s="179">
        <v>46195</v>
      </c>
      <c r="E5" t="s">
        <v>375</v>
      </c>
      <c r="F5" t="s">
        <v>272</v>
      </c>
      <c r="G5" s="583">
        <v>11172</v>
      </c>
      <c r="H5" s="583">
        <v>0</v>
      </c>
      <c r="I5" s="565">
        <f t="shared" si="0"/>
        <v>11172</v>
      </c>
      <c r="J5" s="179">
        <v>46237</v>
      </c>
      <c r="K5" s="179">
        <v>46273</v>
      </c>
      <c r="L5" s="565">
        <v>11172</v>
      </c>
      <c r="M5" s="565">
        <f t="shared" si="1"/>
        <v>0</v>
      </c>
      <c r="N5" s="562">
        <f>BASE_FRETES15[[#This Row],[DATA DE PAGAMENTO 1]]-BASE_FRETES15[[#This Row],[VENCIMENTO]]</f>
        <v>36</v>
      </c>
      <c r="O5" s="565">
        <f>BASE_FRETES15[[#This Row],[VALOR PAGO 1]]*0.05/30*BASE_FRETES15[[#This Row],[DIAS ATRASO]]+BASE_FRETES15[[#This Row],[VALOR PAGO 1]]*0.02</f>
        <v>893.76</v>
      </c>
    </row>
    <row r="6" spans="1:15" x14ac:dyDescent="0.3">
      <c r="A6" t="s">
        <v>219</v>
      </c>
      <c r="B6">
        <v>934</v>
      </c>
      <c r="C6">
        <v>908</v>
      </c>
      <c r="D6" s="179">
        <v>46195</v>
      </c>
      <c r="E6" t="s">
        <v>375</v>
      </c>
      <c r="F6" t="s">
        <v>272</v>
      </c>
      <c r="G6" s="583">
        <v>11172</v>
      </c>
      <c r="H6" s="583">
        <v>0</v>
      </c>
      <c r="I6" s="565">
        <f t="shared" si="0"/>
        <v>11172</v>
      </c>
      <c r="J6" s="179">
        <v>46244</v>
      </c>
      <c r="K6" s="179">
        <v>46273</v>
      </c>
      <c r="L6" s="565">
        <v>11172</v>
      </c>
      <c r="M6" s="565">
        <f t="shared" si="1"/>
        <v>0</v>
      </c>
      <c r="N6" s="562">
        <f>BASE_FRETES15[[#This Row],[DATA DE PAGAMENTO 1]]-BASE_FRETES15[[#This Row],[VENCIMENTO]]</f>
        <v>29</v>
      </c>
      <c r="O6" s="565">
        <f>BASE_FRETES15[[#This Row],[VALOR PAGO 1]]*0.05/30*BASE_FRETES15[[#This Row],[DIAS ATRASO]]+BASE_FRETES15[[#This Row],[VALOR PAGO 1]]*0.02</f>
        <v>763.42000000000007</v>
      </c>
    </row>
    <row r="7" spans="1:15" x14ac:dyDescent="0.3">
      <c r="A7" t="s">
        <v>219</v>
      </c>
      <c r="B7">
        <v>934</v>
      </c>
      <c r="C7">
        <v>908</v>
      </c>
      <c r="D7" s="179">
        <v>46195</v>
      </c>
      <c r="E7" t="s">
        <v>375</v>
      </c>
      <c r="F7" t="s">
        <v>272</v>
      </c>
      <c r="G7" s="583">
        <v>11172</v>
      </c>
      <c r="H7" s="583">
        <v>0</v>
      </c>
      <c r="I7" s="565">
        <f t="shared" si="0"/>
        <v>11172</v>
      </c>
      <c r="J7" s="179">
        <v>46251</v>
      </c>
      <c r="K7" s="179">
        <v>46290</v>
      </c>
      <c r="L7" s="565">
        <v>11172</v>
      </c>
      <c r="M7" s="565">
        <f t="shared" si="1"/>
        <v>0</v>
      </c>
      <c r="N7" s="562">
        <f>BASE_FRETES15[[#This Row],[DATA DE PAGAMENTO 1]]-BASE_FRETES15[[#This Row],[VENCIMENTO]]</f>
        <v>39</v>
      </c>
      <c r="O7" s="565">
        <f>BASE_FRETES15[[#This Row],[VALOR PAGO 1]]*0.05/30*BASE_FRETES15[[#This Row],[DIAS ATRASO]]+BASE_FRETES15[[#This Row],[VALOR PAGO 1]]*0.02</f>
        <v>949.62000000000012</v>
      </c>
    </row>
    <row r="8" spans="1:15" x14ac:dyDescent="0.3">
      <c r="A8" t="s">
        <v>219</v>
      </c>
      <c r="B8">
        <v>935</v>
      </c>
      <c r="C8">
        <v>909</v>
      </c>
      <c r="D8" s="179">
        <v>46195</v>
      </c>
      <c r="E8" t="s">
        <v>376</v>
      </c>
      <c r="F8" t="s">
        <v>272</v>
      </c>
      <c r="G8" s="583">
        <v>9418.4</v>
      </c>
      <c r="H8" s="583">
        <v>0</v>
      </c>
      <c r="I8" s="565">
        <f t="shared" si="0"/>
        <v>9418.4</v>
      </c>
      <c r="J8" s="179">
        <v>46216</v>
      </c>
      <c r="K8" s="179">
        <v>46226</v>
      </c>
      <c r="L8" s="565">
        <v>9418.4</v>
      </c>
      <c r="M8" s="565">
        <f t="shared" si="1"/>
        <v>0</v>
      </c>
      <c r="N8" s="562">
        <f>BASE_FRETES15[[#This Row],[DATA DE PAGAMENTO 1]]-BASE_FRETES15[[#This Row],[VENCIMENTO]]</f>
        <v>10</v>
      </c>
      <c r="O8" s="565">
        <f>BASE_FRETES15[[#This Row],[VALOR PAGO 1]]*0.05/30*BASE_FRETES15[[#This Row],[DIAS ATRASO]]+BASE_FRETES15[[#This Row],[VALOR PAGO 1]]*0.02</f>
        <v>345.34133333333335</v>
      </c>
    </row>
    <row r="9" spans="1:15" x14ac:dyDescent="0.3">
      <c r="A9" t="s">
        <v>219</v>
      </c>
      <c r="B9">
        <v>935</v>
      </c>
      <c r="C9">
        <v>909</v>
      </c>
      <c r="D9" s="179">
        <v>46195</v>
      </c>
      <c r="E9" t="s">
        <v>376</v>
      </c>
      <c r="F9" t="s">
        <v>272</v>
      </c>
      <c r="G9" s="583">
        <v>9416</v>
      </c>
      <c r="H9" s="583">
        <v>0</v>
      </c>
      <c r="I9" s="565">
        <f t="shared" si="0"/>
        <v>9416</v>
      </c>
      <c r="J9" s="179">
        <v>46223</v>
      </c>
      <c r="K9" s="179">
        <v>46238</v>
      </c>
      <c r="L9" s="565">
        <v>9416</v>
      </c>
      <c r="M9" s="565">
        <f t="shared" si="1"/>
        <v>0</v>
      </c>
      <c r="N9" s="562">
        <f>BASE_FRETES15[[#This Row],[DATA DE PAGAMENTO 1]]-BASE_FRETES15[[#This Row],[VENCIMENTO]]</f>
        <v>15</v>
      </c>
      <c r="O9" s="565">
        <f>BASE_FRETES15[[#This Row],[VALOR PAGO 1]]*0.05/30*BASE_FRETES15[[#This Row],[DIAS ATRASO]]+BASE_FRETES15[[#This Row],[VALOR PAGO 1]]*0.02</f>
        <v>423.72</v>
      </c>
    </row>
    <row r="10" spans="1:15" x14ac:dyDescent="0.3">
      <c r="A10" t="s">
        <v>219</v>
      </c>
      <c r="B10">
        <v>935</v>
      </c>
      <c r="C10">
        <v>909</v>
      </c>
      <c r="D10" s="179">
        <v>46195</v>
      </c>
      <c r="E10" t="s">
        <v>376</v>
      </c>
      <c r="F10" t="s">
        <v>272</v>
      </c>
      <c r="G10" s="583">
        <v>9416</v>
      </c>
      <c r="H10" s="583">
        <v>0</v>
      </c>
      <c r="I10" s="565">
        <f t="shared" si="0"/>
        <v>9416</v>
      </c>
      <c r="J10" s="179">
        <v>46230</v>
      </c>
      <c r="K10" s="179">
        <v>46255</v>
      </c>
      <c r="L10" s="565">
        <v>9416</v>
      </c>
      <c r="M10" s="565">
        <f t="shared" si="1"/>
        <v>0</v>
      </c>
      <c r="N10" s="562">
        <f>BASE_FRETES15[[#This Row],[DATA DE PAGAMENTO 1]]-BASE_FRETES15[[#This Row],[VENCIMENTO]]</f>
        <v>25</v>
      </c>
      <c r="O10" s="565">
        <f>BASE_FRETES15[[#This Row],[VALOR PAGO 1]]*0.05/30*BASE_FRETES15[[#This Row],[DIAS ATRASO]]+BASE_FRETES15[[#This Row],[VALOR PAGO 1]]*0.02</f>
        <v>580.65333333333331</v>
      </c>
    </row>
    <row r="11" spans="1:15" x14ac:dyDescent="0.3">
      <c r="A11" t="s">
        <v>219</v>
      </c>
      <c r="B11">
        <v>935</v>
      </c>
      <c r="C11">
        <v>909</v>
      </c>
      <c r="D11" s="179">
        <v>46195</v>
      </c>
      <c r="E11" t="s">
        <v>376</v>
      </c>
      <c r="F11" t="s">
        <v>272</v>
      </c>
      <c r="G11" s="583">
        <v>9416</v>
      </c>
      <c r="H11" s="583">
        <v>0</v>
      </c>
      <c r="I11" s="565">
        <f t="shared" si="0"/>
        <v>9416</v>
      </c>
      <c r="J11" s="179">
        <v>46237</v>
      </c>
      <c r="K11" s="179">
        <v>46273</v>
      </c>
      <c r="L11" s="565">
        <v>9416</v>
      </c>
      <c r="M11" s="565">
        <f t="shared" si="1"/>
        <v>0</v>
      </c>
      <c r="N11" s="562">
        <f>BASE_FRETES15[[#This Row],[DATA DE PAGAMENTO 1]]-BASE_FRETES15[[#This Row],[VENCIMENTO]]</f>
        <v>36</v>
      </c>
      <c r="O11" s="565">
        <f>BASE_FRETES15[[#This Row],[VALOR PAGO 1]]*0.05/30*BASE_FRETES15[[#This Row],[DIAS ATRASO]]+BASE_FRETES15[[#This Row],[VALOR PAGO 1]]*0.02</f>
        <v>753.28</v>
      </c>
    </row>
    <row r="12" spans="1:15" x14ac:dyDescent="0.3">
      <c r="A12" t="s">
        <v>219</v>
      </c>
      <c r="B12">
        <v>935</v>
      </c>
      <c r="C12">
        <v>909</v>
      </c>
      <c r="D12" s="179">
        <v>46195</v>
      </c>
      <c r="E12" t="s">
        <v>376</v>
      </c>
      <c r="F12" t="s">
        <v>272</v>
      </c>
      <c r="G12" s="583">
        <v>9416</v>
      </c>
      <c r="H12" s="583">
        <v>0</v>
      </c>
      <c r="I12" s="565">
        <f t="shared" si="0"/>
        <v>9416</v>
      </c>
      <c r="J12" s="179">
        <v>46244</v>
      </c>
      <c r="K12" s="179">
        <v>46273</v>
      </c>
      <c r="L12" s="565">
        <v>9416</v>
      </c>
      <c r="M12" s="565">
        <f t="shared" si="1"/>
        <v>0</v>
      </c>
      <c r="N12" s="562">
        <f>BASE_FRETES15[[#This Row],[DATA DE PAGAMENTO 1]]-BASE_FRETES15[[#This Row],[VENCIMENTO]]</f>
        <v>29</v>
      </c>
      <c r="O12" s="565">
        <f>BASE_FRETES15[[#This Row],[VALOR PAGO 1]]*0.05/30*BASE_FRETES15[[#This Row],[DIAS ATRASO]]+BASE_FRETES15[[#This Row],[VALOR PAGO 1]]*0.02</f>
        <v>643.42666666666673</v>
      </c>
    </row>
    <row r="13" spans="1:15" x14ac:dyDescent="0.3">
      <c r="A13" t="s">
        <v>219</v>
      </c>
      <c r="B13">
        <v>935</v>
      </c>
      <c r="C13">
        <v>909</v>
      </c>
      <c r="D13" s="179">
        <v>46195</v>
      </c>
      <c r="E13" t="s">
        <v>376</v>
      </c>
      <c r="F13" t="s">
        <v>272</v>
      </c>
      <c r="G13" s="583">
        <v>9416</v>
      </c>
      <c r="H13" s="583">
        <v>0</v>
      </c>
      <c r="I13" s="565">
        <f t="shared" si="0"/>
        <v>9416</v>
      </c>
      <c r="J13" s="179">
        <v>46251</v>
      </c>
      <c r="K13" s="179">
        <v>46290</v>
      </c>
      <c r="L13" s="565">
        <v>9416</v>
      </c>
      <c r="M13" s="565">
        <f t="shared" si="1"/>
        <v>0</v>
      </c>
      <c r="N13" s="562">
        <f>BASE_FRETES15[[#This Row],[DATA DE PAGAMENTO 1]]-BASE_FRETES15[[#This Row],[VENCIMENTO]]</f>
        <v>39</v>
      </c>
      <c r="O13" s="565">
        <f>BASE_FRETES15[[#This Row],[VALOR PAGO 1]]*0.05/30*BASE_FRETES15[[#This Row],[DIAS ATRASO]]+BASE_FRETES15[[#This Row],[VALOR PAGO 1]]*0.02</f>
        <v>800.3599999999999</v>
      </c>
    </row>
    <row r="14" spans="1:15" x14ac:dyDescent="0.3">
      <c r="A14" t="s">
        <v>219</v>
      </c>
      <c r="B14">
        <v>936</v>
      </c>
      <c r="C14">
        <v>910</v>
      </c>
      <c r="D14" s="179">
        <v>46195</v>
      </c>
      <c r="E14" t="s">
        <v>377</v>
      </c>
      <c r="F14" t="s">
        <v>272</v>
      </c>
      <c r="G14" s="583">
        <v>11691.22</v>
      </c>
      <c r="H14" s="583">
        <v>0</v>
      </c>
      <c r="I14" s="565">
        <f t="shared" si="0"/>
        <v>11691.22</v>
      </c>
      <c r="J14" s="179">
        <v>46216</v>
      </c>
      <c r="K14" s="179">
        <v>46226</v>
      </c>
      <c r="L14" s="565">
        <v>11691.22</v>
      </c>
      <c r="M14" s="565">
        <f t="shared" si="1"/>
        <v>0</v>
      </c>
      <c r="N14" s="562">
        <f>BASE_FRETES15[[#This Row],[DATA DE PAGAMENTO 1]]-BASE_FRETES15[[#This Row],[VENCIMENTO]]</f>
        <v>10</v>
      </c>
      <c r="O14" s="565">
        <f>BASE_FRETES15[[#This Row],[VALOR PAGO 1]]*0.05/30*BASE_FRETES15[[#This Row],[DIAS ATRASO]]+BASE_FRETES15[[#This Row],[VALOR PAGO 1]]*0.02</f>
        <v>428.67806666666667</v>
      </c>
    </row>
    <row r="15" spans="1:15" x14ac:dyDescent="0.3">
      <c r="A15" t="s">
        <v>219</v>
      </c>
      <c r="B15">
        <v>936</v>
      </c>
      <c r="C15">
        <v>910</v>
      </c>
      <c r="D15" s="179">
        <v>46195</v>
      </c>
      <c r="E15" t="s">
        <v>377</v>
      </c>
      <c r="F15" t="s">
        <v>272</v>
      </c>
      <c r="G15" s="583">
        <v>11689</v>
      </c>
      <c r="H15" s="583">
        <v>0</v>
      </c>
      <c r="I15" s="565">
        <f t="shared" si="0"/>
        <v>11689</v>
      </c>
      <c r="J15" s="179">
        <v>46223</v>
      </c>
      <c r="K15" s="179">
        <v>46238</v>
      </c>
      <c r="L15" s="565">
        <v>11689</v>
      </c>
      <c r="M15" s="565">
        <f t="shared" si="1"/>
        <v>0</v>
      </c>
      <c r="N15" s="562">
        <f>BASE_FRETES15[[#This Row],[DATA DE PAGAMENTO 1]]-BASE_FRETES15[[#This Row],[VENCIMENTO]]</f>
        <v>15</v>
      </c>
      <c r="O15" s="565">
        <f>BASE_FRETES15[[#This Row],[VALOR PAGO 1]]*0.05/30*BASE_FRETES15[[#This Row],[DIAS ATRASO]]+BASE_FRETES15[[#This Row],[VALOR PAGO 1]]*0.02</f>
        <v>526.005</v>
      </c>
    </row>
    <row r="16" spans="1:15" x14ac:dyDescent="0.3">
      <c r="A16" t="s">
        <v>219</v>
      </c>
      <c r="B16">
        <v>936</v>
      </c>
      <c r="C16">
        <v>910</v>
      </c>
      <c r="D16" s="179">
        <v>46195</v>
      </c>
      <c r="E16" t="s">
        <v>377</v>
      </c>
      <c r="F16" t="s">
        <v>272</v>
      </c>
      <c r="G16" s="583">
        <v>11689</v>
      </c>
      <c r="H16" s="583">
        <v>0</v>
      </c>
      <c r="I16" s="565">
        <f t="shared" si="0"/>
        <v>11689</v>
      </c>
      <c r="J16" s="179">
        <v>46230</v>
      </c>
      <c r="K16" s="179">
        <v>46247</v>
      </c>
      <c r="L16" s="565">
        <v>11689</v>
      </c>
      <c r="M16" s="565">
        <f t="shared" si="1"/>
        <v>0</v>
      </c>
      <c r="N16" s="562">
        <f>BASE_FRETES15[[#This Row],[DATA DE PAGAMENTO 1]]-BASE_FRETES15[[#This Row],[VENCIMENTO]]</f>
        <v>17</v>
      </c>
      <c r="O16" s="565">
        <f>BASE_FRETES15[[#This Row],[VALOR PAGO 1]]*0.05/30*BASE_FRETES15[[#This Row],[DIAS ATRASO]]+BASE_FRETES15[[#This Row],[VALOR PAGO 1]]*0.02</f>
        <v>564.96833333333336</v>
      </c>
    </row>
    <row r="17" spans="1:15" x14ac:dyDescent="0.3">
      <c r="A17" t="s">
        <v>219</v>
      </c>
      <c r="B17">
        <v>936</v>
      </c>
      <c r="C17">
        <v>910</v>
      </c>
      <c r="D17" s="179">
        <v>46195</v>
      </c>
      <c r="E17" t="s">
        <v>377</v>
      </c>
      <c r="F17" t="s">
        <v>272</v>
      </c>
      <c r="G17" s="583">
        <v>11689</v>
      </c>
      <c r="H17" s="583">
        <v>0</v>
      </c>
      <c r="I17" s="565">
        <f t="shared" si="0"/>
        <v>11689</v>
      </c>
      <c r="J17" s="179">
        <v>46237</v>
      </c>
      <c r="K17" s="179">
        <v>46273</v>
      </c>
      <c r="L17" s="565">
        <v>11689</v>
      </c>
      <c r="M17" s="565">
        <f t="shared" si="1"/>
        <v>0</v>
      </c>
      <c r="N17" s="562">
        <f>BASE_FRETES15[[#This Row],[DATA DE PAGAMENTO 1]]-BASE_FRETES15[[#This Row],[VENCIMENTO]]</f>
        <v>36</v>
      </c>
      <c r="O17" s="565">
        <f>BASE_FRETES15[[#This Row],[VALOR PAGO 1]]*0.05/30*BASE_FRETES15[[#This Row],[DIAS ATRASO]]+BASE_FRETES15[[#This Row],[VALOR PAGO 1]]*0.02</f>
        <v>935.12000000000012</v>
      </c>
    </row>
    <row r="18" spans="1:15" x14ac:dyDescent="0.3">
      <c r="A18" t="s">
        <v>219</v>
      </c>
      <c r="B18">
        <v>936</v>
      </c>
      <c r="C18">
        <v>910</v>
      </c>
      <c r="D18" s="179">
        <v>46195</v>
      </c>
      <c r="E18" t="s">
        <v>377</v>
      </c>
      <c r="F18" t="s">
        <v>272</v>
      </c>
      <c r="G18" s="583">
        <v>11689</v>
      </c>
      <c r="H18" s="583">
        <v>0</v>
      </c>
      <c r="I18" s="565">
        <f t="shared" si="0"/>
        <v>11689</v>
      </c>
      <c r="J18" s="179">
        <v>46244</v>
      </c>
      <c r="K18" s="179">
        <v>46273</v>
      </c>
      <c r="L18" s="565">
        <v>11689</v>
      </c>
      <c r="M18" s="565">
        <f t="shared" si="1"/>
        <v>0</v>
      </c>
      <c r="N18" s="562">
        <f>BASE_FRETES15[[#This Row],[DATA DE PAGAMENTO 1]]-BASE_FRETES15[[#This Row],[VENCIMENTO]]</f>
        <v>29</v>
      </c>
      <c r="O18" s="565">
        <f>BASE_FRETES15[[#This Row],[VALOR PAGO 1]]*0.05/30*BASE_FRETES15[[#This Row],[DIAS ATRASO]]+BASE_FRETES15[[#This Row],[VALOR PAGO 1]]*0.02</f>
        <v>798.74833333333333</v>
      </c>
    </row>
    <row r="19" spans="1:15" x14ac:dyDescent="0.3">
      <c r="A19" t="s">
        <v>219</v>
      </c>
      <c r="B19">
        <v>936</v>
      </c>
      <c r="C19">
        <v>910</v>
      </c>
      <c r="D19" s="179">
        <v>46195</v>
      </c>
      <c r="E19" t="s">
        <v>377</v>
      </c>
      <c r="F19" t="s">
        <v>272</v>
      </c>
      <c r="G19" s="583">
        <v>11689</v>
      </c>
      <c r="H19" s="583">
        <v>0</v>
      </c>
      <c r="I19" s="565">
        <f t="shared" si="0"/>
        <v>11689</v>
      </c>
      <c r="J19" s="179">
        <v>46251</v>
      </c>
      <c r="K19" s="179">
        <v>46273</v>
      </c>
      <c r="L19" s="565">
        <v>11689</v>
      </c>
      <c r="M19" s="565">
        <f t="shared" si="1"/>
        <v>0</v>
      </c>
      <c r="N19" s="562">
        <f>BASE_FRETES15[[#This Row],[DATA DE PAGAMENTO 1]]-BASE_FRETES15[[#This Row],[VENCIMENTO]]</f>
        <v>22</v>
      </c>
      <c r="O19" s="565">
        <f>BASE_FRETES15[[#This Row],[VALOR PAGO 1]]*0.05/30*BASE_FRETES15[[#This Row],[DIAS ATRASO]]+BASE_FRETES15[[#This Row],[VALOR PAGO 1]]*0.02</f>
        <v>662.37666666666667</v>
      </c>
    </row>
    <row r="20" spans="1:15" x14ac:dyDescent="0.3">
      <c r="A20" t="s">
        <v>219</v>
      </c>
      <c r="B20">
        <v>939</v>
      </c>
      <c r="C20">
        <v>917</v>
      </c>
      <c r="D20" s="179">
        <v>46196</v>
      </c>
      <c r="E20" t="s">
        <v>377</v>
      </c>
      <c r="F20" t="s">
        <v>272</v>
      </c>
      <c r="G20" s="583">
        <v>8144.5</v>
      </c>
      <c r="H20" s="583">
        <v>0</v>
      </c>
      <c r="I20" s="565">
        <f t="shared" si="0"/>
        <v>8144.5</v>
      </c>
      <c r="J20" s="179">
        <v>46220</v>
      </c>
      <c r="K20" s="179">
        <v>46226</v>
      </c>
      <c r="L20" s="565">
        <v>8144.5</v>
      </c>
      <c r="M20" s="565">
        <f t="shared" si="1"/>
        <v>0</v>
      </c>
      <c r="N20" s="562">
        <f>BASE_FRETES15[[#This Row],[DATA DE PAGAMENTO 1]]-BASE_FRETES15[[#This Row],[VENCIMENTO]]</f>
        <v>6</v>
      </c>
      <c r="O20" s="565">
        <f>BASE_FRETES15[[#This Row],[VALOR PAGO 1]]*0.05/30*BASE_FRETES15[[#This Row],[DIAS ATRASO]]+BASE_FRETES15[[#This Row],[VALOR PAGO 1]]*0.02</f>
        <v>244.33500000000001</v>
      </c>
    </row>
    <row r="21" spans="1:15" x14ac:dyDescent="0.3">
      <c r="A21" t="s">
        <v>219</v>
      </c>
      <c r="B21">
        <v>939</v>
      </c>
      <c r="C21">
        <v>917</v>
      </c>
      <c r="D21" s="179">
        <v>46196</v>
      </c>
      <c r="E21" t="s">
        <v>377</v>
      </c>
      <c r="F21" t="s">
        <v>272</v>
      </c>
      <c r="G21" s="583">
        <v>8143</v>
      </c>
      <c r="H21" s="583">
        <v>0</v>
      </c>
      <c r="I21" s="565">
        <f t="shared" si="0"/>
        <v>8143</v>
      </c>
      <c r="J21" s="179">
        <v>46224</v>
      </c>
      <c r="K21" s="179">
        <v>46238</v>
      </c>
      <c r="L21" s="565">
        <v>8143</v>
      </c>
      <c r="M21" s="565">
        <f t="shared" si="1"/>
        <v>0</v>
      </c>
      <c r="N21" s="562">
        <f>BASE_FRETES15[[#This Row],[DATA DE PAGAMENTO 1]]-BASE_FRETES15[[#This Row],[VENCIMENTO]]</f>
        <v>14</v>
      </c>
      <c r="O21" s="565">
        <f>BASE_FRETES15[[#This Row],[VALOR PAGO 1]]*0.05/30*BASE_FRETES15[[#This Row],[DIAS ATRASO]]+BASE_FRETES15[[#This Row],[VALOR PAGO 1]]*0.02</f>
        <v>352.86333333333334</v>
      </c>
    </row>
    <row r="22" spans="1:15" x14ac:dyDescent="0.3">
      <c r="A22" t="s">
        <v>219</v>
      </c>
      <c r="B22">
        <v>939</v>
      </c>
      <c r="C22">
        <v>917</v>
      </c>
      <c r="D22" s="179">
        <v>46196</v>
      </c>
      <c r="E22" t="s">
        <v>377</v>
      </c>
      <c r="F22" t="s">
        <v>272</v>
      </c>
      <c r="G22" s="583">
        <v>8143</v>
      </c>
      <c r="H22" s="583">
        <v>0</v>
      </c>
      <c r="I22" s="565">
        <f t="shared" si="0"/>
        <v>8143</v>
      </c>
      <c r="J22" s="179">
        <v>46231</v>
      </c>
      <c r="K22" s="179">
        <v>46255</v>
      </c>
      <c r="L22" s="565">
        <v>8143</v>
      </c>
      <c r="M22" s="565">
        <f t="shared" si="1"/>
        <v>0</v>
      </c>
      <c r="N22" s="562">
        <f>BASE_FRETES15[[#This Row],[DATA DE PAGAMENTO 1]]-BASE_FRETES15[[#This Row],[VENCIMENTO]]</f>
        <v>24</v>
      </c>
      <c r="O22" s="565">
        <f>BASE_FRETES15[[#This Row],[VALOR PAGO 1]]*0.05/30*BASE_FRETES15[[#This Row],[DIAS ATRASO]]+BASE_FRETES15[[#This Row],[VALOR PAGO 1]]*0.02</f>
        <v>488.58000000000004</v>
      </c>
    </row>
    <row r="23" spans="1:15" x14ac:dyDescent="0.3">
      <c r="A23" t="s">
        <v>219</v>
      </c>
      <c r="B23">
        <v>939</v>
      </c>
      <c r="C23">
        <v>917</v>
      </c>
      <c r="D23" s="179">
        <v>46196</v>
      </c>
      <c r="E23" t="s">
        <v>377</v>
      </c>
      <c r="F23" t="s">
        <v>272</v>
      </c>
      <c r="G23" s="583">
        <v>8143</v>
      </c>
      <c r="H23" s="583">
        <v>0</v>
      </c>
      <c r="I23" s="565">
        <f t="shared" si="0"/>
        <v>8143</v>
      </c>
      <c r="J23" s="179">
        <v>46238</v>
      </c>
      <c r="K23" s="179">
        <v>46273</v>
      </c>
      <c r="L23" s="565">
        <v>8143</v>
      </c>
      <c r="M23" s="565">
        <f t="shared" si="1"/>
        <v>0</v>
      </c>
      <c r="N23" s="562">
        <f>BASE_FRETES15[[#This Row],[DATA DE PAGAMENTO 1]]-BASE_FRETES15[[#This Row],[VENCIMENTO]]</f>
        <v>35</v>
      </c>
      <c r="O23" s="565">
        <f>BASE_FRETES15[[#This Row],[VALOR PAGO 1]]*0.05/30*BASE_FRETES15[[#This Row],[DIAS ATRASO]]+BASE_FRETES15[[#This Row],[VALOR PAGO 1]]*0.02</f>
        <v>637.86833333333334</v>
      </c>
    </row>
    <row r="24" spans="1:15" x14ac:dyDescent="0.3">
      <c r="A24" t="s">
        <v>219</v>
      </c>
      <c r="B24">
        <v>939</v>
      </c>
      <c r="C24">
        <v>917</v>
      </c>
      <c r="D24" s="179">
        <v>46196</v>
      </c>
      <c r="E24" t="s">
        <v>377</v>
      </c>
      <c r="F24" t="s">
        <v>272</v>
      </c>
      <c r="G24" s="583">
        <v>8143</v>
      </c>
      <c r="H24" s="583">
        <v>0</v>
      </c>
      <c r="I24" s="565">
        <f t="shared" si="0"/>
        <v>8143</v>
      </c>
      <c r="J24" s="179">
        <v>46245</v>
      </c>
      <c r="K24" s="179">
        <v>46273</v>
      </c>
      <c r="L24" s="565">
        <v>8143</v>
      </c>
      <c r="M24" s="565">
        <f t="shared" si="1"/>
        <v>0</v>
      </c>
      <c r="N24" s="562">
        <f>BASE_FRETES15[[#This Row],[DATA DE PAGAMENTO 1]]-BASE_FRETES15[[#This Row],[VENCIMENTO]]</f>
        <v>28</v>
      </c>
      <c r="O24" s="565">
        <f>BASE_FRETES15[[#This Row],[VALOR PAGO 1]]*0.05/30*BASE_FRETES15[[#This Row],[DIAS ATRASO]]+BASE_FRETES15[[#This Row],[VALOR PAGO 1]]*0.02</f>
        <v>542.86666666666667</v>
      </c>
    </row>
    <row r="25" spans="1:15" x14ac:dyDescent="0.3">
      <c r="A25" t="s">
        <v>219</v>
      </c>
      <c r="B25">
        <v>939</v>
      </c>
      <c r="C25">
        <v>917</v>
      </c>
      <c r="D25" s="179">
        <v>46196</v>
      </c>
      <c r="E25" t="s">
        <v>377</v>
      </c>
      <c r="F25" t="s">
        <v>272</v>
      </c>
      <c r="G25" s="583">
        <v>8143</v>
      </c>
      <c r="H25" s="583">
        <v>0</v>
      </c>
      <c r="I25" s="565">
        <f t="shared" si="0"/>
        <v>8143</v>
      </c>
      <c r="J25" s="179">
        <v>46252</v>
      </c>
      <c r="K25" s="179">
        <v>46290</v>
      </c>
      <c r="L25" s="565">
        <v>8143</v>
      </c>
      <c r="M25" s="565">
        <f t="shared" si="1"/>
        <v>0</v>
      </c>
      <c r="N25" s="562">
        <f>BASE_FRETES15[[#This Row],[DATA DE PAGAMENTO 1]]-BASE_FRETES15[[#This Row],[VENCIMENTO]]</f>
        <v>38</v>
      </c>
      <c r="O25" s="565">
        <f>BASE_FRETES15[[#This Row],[VALOR PAGO 1]]*0.05/30*BASE_FRETES15[[#This Row],[DIAS ATRASO]]+BASE_FRETES15[[#This Row],[VALOR PAGO 1]]*0.02</f>
        <v>678.58333333333337</v>
      </c>
    </row>
    <row r="26" spans="1:15" x14ac:dyDescent="0.3">
      <c r="A26" t="s">
        <v>219</v>
      </c>
      <c r="B26">
        <v>940</v>
      </c>
      <c r="C26">
        <v>918</v>
      </c>
      <c r="D26" s="179">
        <v>46196</v>
      </c>
      <c r="E26" t="s">
        <v>377</v>
      </c>
      <c r="F26" t="s">
        <v>272</v>
      </c>
      <c r="G26" s="583">
        <v>18261.25</v>
      </c>
      <c r="H26" s="583">
        <v>0</v>
      </c>
      <c r="I26" s="565">
        <f t="shared" si="0"/>
        <v>18261.25</v>
      </c>
      <c r="J26" s="179">
        <v>46211</v>
      </c>
      <c r="K26" s="179">
        <v>46226</v>
      </c>
      <c r="L26" s="565">
        <v>18261.25</v>
      </c>
      <c r="M26" s="565">
        <f t="shared" si="1"/>
        <v>0</v>
      </c>
      <c r="N26" s="562">
        <f>BASE_FRETES15[[#This Row],[DATA DE PAGAMENTO 1]]-BASE_FRETES15[[#This Row],[VENCIMENTO]]</f>
        <v>15</v>
      </c>
      <c r="O26" s="565">
        <f>BASE_FRETES15[[#This Row],[VALOR PAGO 1]]*0.05/30*BASE_FRETES15[[#This Row],[DIAS ATRASO]]+BASE_FRETES15[[#This Row],[VALOR PAGO 1]]*0.02</f>
        <v>821.75625000000002</v>
      </c>
    </row>
    <row r="27" spans="1:15" x14ac:dyDescent="0.3">
      <c r="A27" t="s">
        <v>219</v>
      </c>
      <c r="B27">
        <v>940</v>
      </c>
      <c r="C27">
        <v>918</v>
      </c>
      <c r="D27" s="179">
        <v>46196</v>
      </c>
      <c r="E27" t="s">
        <v>377</v>
      </c>
      <c r="F27" t="s">
        <v>272</v>
      </c>
      <c r="G27" s="583">
        <v>18260</v>
      </c>
      <c r="H27" s="583">
        <v>0</v>
      </c>
      <c r="I27" s="565">
        <f t="shared" si="0"/>
        <v>18260</v>
      </c>
      <c r="J27" s="179">
        <v>46226</v>
      </c>
      <c r="K27" s="179">
        <v>46247</v>
      </c>
      <c r="L27" s="565">
        <v>18260</v>
      </c>
      <c r="M27" s="565">
        <f t="shared" si="1"/>
        <v>0</v>
      </c>
      <c r="N27" s="562">
        <f>BASE_FRETES15[[#This Row],[DATA DE PAGAMENTO 1]]-BASE_FRETES15[[#This Row],[VENCIMENTO]]</f>
        <v>21</v>
      </c>
      <c r="O27" s="565">
        <f>BASE_FRETES15[[#This Row],[VALOR PAGO 1]]*0.05/30*BASE_FRETES15[[#This Row],[DIAS ATRASO]]+BASE_FRETES15[[#This Row],[VALOR PAGO 1]]*0.02</f>
        <v>1004.3</v>
      </c>
    </row>
    <row r="28" spans="1:15" x14ac:dyDescent="0.3">
      <c r="A28" t="s">
        <v>219</v>
      </c>
      <c r="B28">
        <v>940</v>
      </c>
      <c r="C28">
        <v>918</v>
      </c>
      <c r="D28" s="179">
        <v>46196</v>
      </c>
      <c r="E28" t="s">
        <v>377</v>
      </c>
      <c r="F28" t="s">
        <v>272</v>
      </c>
      <c r="G28" s="583">
        <v>18260</v>
      </c>
      <c r="H28" s="583">
        <v>0</v>
      </c>
      <c r="I28" s="565">
        <f t="shared" si="0"/>
        <v>18260</v>
      </c>
      <c r="J28" s="179">
        <v>46241</v>
      </c>
      <c r="K28" s="179">
        <v>46273</v>
      </c>
      <c r="L28" s="565">
        <v>18260</v>
      </c>
      <c r="M28" s="565">
        <f t="shared" si="1"/>
        <v>0</v>
      </c>
      <c r="N28" s="562">
        <f>BASE_FRETES15[[#This Row],[DATA DE PAGAMENTO 1]]-BASE_FRETES15[[#This Row],[VENCIMENTO]]</f>
        <v>32</v>
      </c>
      <c r="O28" s="565">
        <f>BASE_FRETES15[[#This Row],[VALOR PAGO 1]]*0.05/30*BASE_FRETES15[[#This Row],[DIAS ATRASO]]+BASE_FRETES15[[#This Row],[VALOR PAGO 1]]*0.02</f>
        <v>1339.0666666666666</v>
      </c>
    </row>
    <row r="29" spans="1:15" x14ac:dyDescent="0.3">
      <c r="A29" t="s">
        <v>219</v>
      </c>
      <c r="B29">
        <v>940</v>
      </c>
      <c r="C29">
        <v>918</v>
      </c>
      <c r="D29" s="179">
        <v>46196</v>
      </c>
      <c r="E29" t="s">
        <v>377</v>
      </c>
      <c r="F29" t="s">
        <v>272</v>
      </c>
      <c r="G29" s="583">
        <v>18260</v>
      </c>
      <c r="H29" s="583">
        <v>0</v>
      </c>
      <c r="I29" s="565">
        <f t="shared" si="0"/>
        <v>18260</v>
      </c>
      <c r="J29" s="179">
        <v>46256</v>
      </c>
      <c r="K29" s="179">
        <v>46297</v>
      </c>
      <c r="L29" s="565">
        <v>18260</v>
      </c>
      <c r="M29" s="565">
        <f t="shared" si="1"/>
        <v>0</v>
      </c>
      <c r="N29" s="562">
        <f>BASE_FRETES15[[#This Row],[DATA DE PAGAMENTO 1]]-BASE_FRETES15[[#This Row],[VENCIMENTO]]</f>
        <v>41</v>
      </c>
      <c r="O29" s="565">
        <f>BASE_FRETES15[[#This Row],[VALOR PAGO 1]]*0.05/30*BASE_FRETES15[[#This Row],[DIAS ATRASO]]+BASE_FRETES15[[#This Row],[VALOR PAGO 1]]*0.02</f>
        <v>1612.9666666666667</v>
      </c>
    </row>
    <row r="30" spans="1:15" x14ac:dyDescent="0.3">
      <c r="A30" t="s">
        <v>219</v>
      </c>
      <c r="B30">
        <v>940</v>
      </c>
      <c r="C30">
        <v>918</v>
      </c>
      <c r="D30" s="179">
        <v>46196</v>
      </c>
      <c r="E30" t="s">
        <v>377</v>
      </c>
      <c r="F30" t="s">
        <v>272</v>
      </c>
      <c r="G30" s="583">
        <v>18260</v>
      </c>
      <c r="H30" s="583">
        <v>0</v>
      </c>
      <c r="I30" s="565">
        <f t="shared" si="0"/>
        <v>18260</v>
      </c>
      <c r="J30" s="179">
        <v>46271</v>
      </c>
      <c r="K30" s="179">
        <v>46304</v>
      </c>
      <c r="L30" s="565">
        <v>18260</v>
      </c>
      <c r="M30" s="565">
        <f t="shared" si="1"/>
        <v>0</v>
      </c>
      <c r="N30" s="562">
        <f>BASE_FRETES15[[#This Row],[DATA DE PAGAMENTO 1]]-BASE_FRETES15[[#This Row],[VENCIMENTO]]</f>
        <v>33</v>
      </c>
      <c r="O30" s="565">
        <f>BASE_FRETES15[[#This Row],[VALOR PAGO 1]]*0.05/30*BASE_FRETES15[[#This Row],[DIAS ATRASO]]+BASE_FRETES15[[#This Row],[VALOR PAGO 1]]*0.02</f>
        <v>1369.5</v>
      </c>
    </row>
    <row r="31" spans="1:15" x14ac:dyDescent="0.3">
      <c r="A31" t="s">
        <v>219</v>
      </c>
      <c r="B31">
        <v>940</v>
      </c>
      <c r="C31">
        <v>918</v>
      </c>
      <c r="D31" s="179">
        <v>46196</v>
      </c>
      <c r="E31" t="s">
        <v>377</v>
      </c>
      <c r="F31" t="s">
        <v>272</v>
      </c>
      <c r="G31" s="583">
        <v>18260</v>
      </c>
      <c r="H31" s="583">
        <v>0</v>
      </c>
      <c r="I31" s="565">
        <f t="shared" si="0"/>
        <v>18260</v>
      </c>
      <c r="J31" s="179">
        <v>46286</v>
      </c>
      <c r="K31" s="179">
        <v>46304</v>
      </c>
      <c r="L31" s="565">
        <v>18260</v>
      </c>
      <c r="M31" s="565">
        <f t="shared" si="1"/>
        <v>0</v>
      </c>
      <c r="N31" s="562">
        <f>BASE_FRETES15[[#This Row],[DATA DE PAGAMENTO 1]]-BASE_FRETES15[[#This Row],[VENCIMENTO]]</f>
        <v>18</v>
      </c>
      <c r="O31" s="565">
        <f>BASE_FRETES15[[#This Row],[VALOR PAGO 1]]*0.05/30*BASE_FRETES15[[#This Row],[DIAS ATRASO]]+BASE_FRETES15[[#This Row],[VALOR PAGO 1]]*0.02</f>
        <v>913</v>
      </c>
    </row>
    <row r="32" spans="1:15" x14ac:dyDescent="0.3">
      <c r="A32" t="s">
        <v>219</v>
      </c>
      <c r="B32">
        <v>940</v>
      </c>
      <c r="C32">
        <v>918</v>
      </c>
      <c r="D32" s="179">
        <v>46196</v>
      </c>
      <c r="E32" t="s">
        <v>377</v>
      </c>
      <c r="F32" t="s">
        <v>272</v>
      </c>
      <c r="G32" s="583">
        <v>18260</v>
      </c>
      <c r="H32" s="583">
        <v>0</v>
      </c>
      <c r="I32" s="565">
        <f t="shared" si="0"/>
        <v>18260</v>
      </c>
      <c r="J32" s="179">
        <v>46301</v>
      </c>
      <c r="K32" s="179">
        <v>46304</v>
      </c>
      <c r="L32" s="565">
        <f>11643.33+2328.67</f>
        <v>13972</v>
      </c>
      <c r="M32" s="565">
        <f t="shared" si="1"/>
        <v>4288</v>
      </c>
      <c r="N32" s="562">
        <f>BASE_FRETES15[[#This Row],[DATA DE PAGAMENTO 1]]-BASE_FRETES15[[#This Row],[VENCIMENTO]]</f>
        <v>3</v>
      </c>
      <c r="O32" s="565">
        <f>BASE_FRETES15[[#This Row],[VALOR PAGO 1]]*0.05/30*BASE_FRETES15[[#This Row],[DIAS ATRASO]]+BASE_FRETES15[[#This Row],[VALOR PAGO 1]]*0.02</f>
        <v>349.3</v>
      </c>
    </row>
    <row r="33" spans="1:15" x14ac:dyDescent="0.3">
      <c r="A33" t="s">
        <v>219</v>
      </c>
      <c r="B33">
        <v>940</v>
      </c>
      <c r="C33">
        <v>918</v>
      </c>
      <c r="D33" s="179">
        <v>46196</v>
      </c>
      <c r="E33" t="s">
        <v>377</v>
      </c>
      <c r="F33" t="s">
        <v>272</v>
      </c>
      <c r="G33" s="583">
        <v>18260</v>
      </c>
      <c r="H33" s="583">
        <v>0</v>
      </c>
      <c r="I33" s="565">
        <f t="shared" si="0"/>
        <v>18260</v>
      </c>
      <c r="J33" s="179">
        <v>46316</v>
      </c>
      <c r="L33" s="565"/>
      <c r="M33" s="565">
        <f t="shared" si="1"/>
        <v>18260</v>
      </c>
      <c r="O33" s="565">
        <f>BASE_FRETES15[[#This Row],[VALOR PAGO 1]]*0.05/30*BASE_FRETES15[[#This Row],[DIAS ATRASO]]+BASE_FRETES15[[#This Row],[VALOR PAGO 1]]*0.02</f>
        <v>0</v>
      </c>
    </row>
    <row r="34" spans="1:15" x14ac:dyDescent="0.3">
      <c r="A34" t="s">
        <v>219</v>
      </c>
      <c r="B34">
        <v>941</v>
      </c>
      <c r="C34">
        <v>915</v>
      </c>
      <c r="D34" s="179">
        <v>46196</v>
      </c>
      <c r="E34" t="s">
        <v>377</v>
      </c>
      <c r="F34" t="s">
        <v>272</v>
      </c>
      <c r="G34" s="583">
        <v>21951.25</v>
      </c>
      <c r="H34" s="583">
        <v>0</v>
      </c>
      <c r="I34" s="565">
        <f t="shared" ref="I34:I65" si="2">G34+H34</f>
        <v>21951.25</v>
      </c>
      <c r="J34" s="179">
        <v>46301</v>
      </c>
      <c r="K34" s="179">
        <v>46311</v>
      </c>
      <c r="L34" s="565">
        <v>21951.25</v>
      </c>
      <c r="M34" s="565">
        <f t="shared" ref="M34:M65" si="3">I34-L34</f>
        <v>0</v>
      </c>
      <c r="N34" s="562">
        <f>BASE_FRETES15[[#This Row],[DATA DE PAGAMENTO 1]]-BASE_FRETES15[[#This Row],[VENCIMENTO]]</f>
        <v>10</v>
      </c>
      <c r="O34" s="565">
        <f>BASE_FRETES15[[#This Row],[VALOR PAGO 1]]*0.05/30*BASE_FRETES15[[#This Row],[DIAS ATRASO]]+BASE_FRETES15[[#This Row],[VALOR PAGO 1]]*0.02</f>
        <v>804.87916666666672</v>
      </c>
    </row>
    <row r="35" spans="1:15" x14ac:dyDescent="0.3">
      <c r="A35" t="s">
        <v>219</v>
      </c>
      <c r="B35">
        <v>941</v>
      </c>
      <c r="C35">
        <v>915</v>
      </c>
      <c r="D35" s="179">
        <v>46196</v>
      </c>
      <c r="E35" t="s">
        <v>377</v>
      </c>
      <c r="F35" t="s">
        <v>272</v>
      </c>
      <c r="G35" s="583">
        <v>21949</v>
      </c>
      <c r="H35" s="583">
        <v>0</v>
      </c>
      <c r="I35" s="565">
        <f t="shared" si="2"/>
        <v>21949</v>
      </c>
      <c r="J35" s="179">
        <v>46316</v>
      </c>
      <c r="L35" s="565"/>
      <c r="M35" s="565">
        <f t="shared" si="3"/>
        <v>21949</v>
      </c>
      <c r="O35" s="565">
        <f>BASE_FRETES15[[#This Row],[VALOR PAGO 1]]*0.05/30*BASE_FRETES15[[#This Row],[DIAS ATRASO]]+BASE_FRETES15[[#This Row],[VALOR PAGO 1]]*0.02</f>
        <v>0</v>
      </c>
    </row>
    <row r="36" spans="1:15" x14ac:dyDescent="0.3">
      <c r="A36" t="s">
        <v>219</v>
      </c>
      <c r="B36">
        <v>941</v>
      </c>
      <c r="C36">
        <v>915</v>
      </c>
      <c r="D36" s="179">
        <v>46196</v>
      </c>
      <c r="E36" t="s">
        <v>377</v>
      </c>
      <c r="F36" t="s">
        <v>272</v>
      </c>
      <c r="G36" s="583">
        <v>21949</v>
      </c>
      <c r="H36" s="583">
        <v>0</v>
      </c>
      <c r="I36" s="565">
        <f t="shared" si="2"/>
        <v>21949</v>
      </c>
      <c r="J36" s="179">
        <v>46331</v>
      </c>
      <c r="L36" s="565"/>
      <c r="M36" s="565">
        <f t="shared" si="3"/>
        <v>21949</v>
      </c>
      <c r="O36" s="565">
        <f>BASE_FRETES15[[#This Row],[VALOR PAGO 1]]*0.05/30*BASE_FRETES15[[#This Row],[DIAS ATRASO]]+BASE_FRETES15[[#This Row],[VALOR PAGO 1]]*0.02</f>
        <v>0</v>
      </c>
    </row>
    <row r="37" spans="1:15" x14ac:dyDescent="0.3">
      <c r="A37" t="s">
        <v>220</v>
      </c>
      <c r="B37">
        <v>960</v>
      </c>
      <c r="C37">
        <v>936</v>
      </c>
      <c r="D37" s="179">
        <v>46212</v>
      </c>
      <c r="E37" t="s">
        <v>376</v>
      </c>
      <c r="F37" t="s">
        <v>272</v>
      </c>
      <c r="G37" s="583">
        <v>7502.2</v>
      </c>
      <c r="H37" s="583">
        <v>0</v>
      </c>
      <c r="I37" s="565">
        <f t="shared" si="2"/>
        <v>7502.2</v>
      </c>
      <c r="J37" s="179">
        <v>46233</v>
      </c>
      <c r="K37" s="179">
        <v>46273</v>
      </c>
      <c r="L37" s="565">
        <v>7502.2</v>
      </c>
      <c r="M37" s="565">
        <f t="shared" si="3"/>
        <v>0</v>
      </c>
      <c r="N37" s="562">
        <f>BASE_FRETES15[[#This Row],[DATA DE PAGAMENTO 1]]-BASE_FRETES15[[#This Row],[VENCIMENTO]]</f>
        <v>40</v>
      </c>
      <c r="O37" s="565">
        <f>BASE_FRETES15[[#This Row],[VALOR PAGO 1]]*0.05/30*BASE_FRETES15[[#This Row],[DIAS ATRASO]]+BASE_FRETES15[[#This Row],[VALOR PAGO 1]]*0.02</f>
        <v>650.19066666666674</v>
      </c>
    </row>
    <row r="38" spans="1:15" x14ac:dyDescent="0.3">
      <c r="A38" t="s">
        <v>220</v>
      </c>
      <c r="B38">
        <v>960</v>
      </c>
      <c r="C38">
        <v>936</v>
      </c>
      <c r="D38" s="179">
        <v>46212</v>
      </c>
      <c r="E38" t="s">
        <v>376</v>
      </c>
      <c r="F38" t="s">
        <v>272</v>
      </c>
      <c r="G38" s="583">
        <v>7501</v>
      </c>
      <c r="H38" s="583">
        <v>0</v>
      </c>
      <c r="I38" s="565">
        <f t="shared" si="2"/>
        <v>7501</v>
      </c>
      <c r="J38" s="179">
        <v>46240</v>
      </c>
      <c r="K38" s="179">
        <v>46281</v>
      </c>
      <c r="L38" s="565">
        <v>7501</v>
      </c>
      <c r="M38" s="565">
        <f t="shared" si="3"/>
        <v>0</v>
      </c>
      <c r="N38" s="562">
        <f>BASE_FRETES15[[#This Row],[DATA DE PAGAMENTO 1]]-BASE_FRETES15[[#This Row],[VENCIMENTO]]</f>
        <v>41</v>
      </c>
      <c r="O38" s="565">
        <f>BASE_FRETES15[[#This Row],[VALOR PAGO 1]]*0.05/30*BASE_FRETES15[[#This Row],[DIAS ATRASO]]+BASE_FRETES15[[#This Row],[VALOR PAGO 1]]*0.02</f>
        <v>662.58833333333337</v>
      </c>
    </row>
    <row r="39" spans="1:15" x14ac:dyDescent="0.3">
      <c r="A39" t="s">
        <v>220</v>
      </c>
      <c r="B39">
        <v>960</v>
      </c>
      <c r="C39">
        <v>936</v>
      </c>
      <c r="D39" s="179">
        <v>46212</v>
      </c>
      <c r="E39" t="s">
        <v>376</v>
      </c>
      <c r="F39" t="s">
        <v>272</v>
      </c>
      <c r="G39" s="583">
        <v>7501</v>
      </c>
      <c r="H39" s="583">
        <v>0</v>
      </c>
      <c r="I39" s="565">
        <f t="shared" si="2"/>
        <v>7501</v>
      </c>
      <c r="J39" s="179">
        <v>46247</v>
      </c>
      <c r="K39" s="179">
        <v>46281</v>
      </c>
      <c r="L39" s="565">
        <v>7501</v>
      </c>
      <c r="M39" s="565">
        <f t="shared" si="3"/>
        <v>0</v>
      </c>
      <c r="N39" s="562">
        <f>BASE_FRETES15[[#This Row],[DATA DE PAGAMENTO 1]]-BASE_FRETES15[[#This Row],[VENCIMENTO]]</f>
        <v>34</v>
      </c>
      <c r="O39" s="565">
        <f>BASE_FRETES15[[#This Row],[VALOR PAGO 1]]*0.05/30*BASE_FRETES15[[#This Row],[DIAS ATRASO]]+BASE_FRETES15[[#This Row],[VALOR PAGO 1]]*0.02</f>
        <v>575.07666666666671</v>
      </c>
    </row>
    <row r="40" spans="1:15" x14ac:dyDescent="0.3">
      <c r="A40" t="s">
        <v>220</v>
      </c>
      <c r="B40">
        <v>960</v>
      </c>
      <c r="C40">
        <v>936</v>
      </c>
      <c r="D40" s="179">
        <v>46212</v>
      </c>
      <c r="E40" t="s">
        <v>376</v>
      </c>
      <c r="F40" t="s">
        <v>272</v>
      </c>
      <c r="G40" s="583">
        <v>7501</v>
      </c>
      <c r="H40" s="583">
        <v>0</v>
      </c>
      <c r="I40" s="565">
        <f t="shared" si="2"/>
        <v>7501</v>
      </c>
      <c r="J40" s="179">
        <v>46254</v>
      </c>
      <c r="K40" s="179">
        <v>46290</v>
      </c>
      <c r="L40" s="565">
        <v>7501</v>
      </c>
      <c r="M40" s="565">
        <f t="shared" si="3"/>
        <v>0</v>
      </c>
      <c r="N40" s="562">
        <f>BASE_FRETES15[[#This Row],[DATA DE PAGAMENTO 1]]-BASE_FRETES15[[#This Row],[VENCIMENTO]]</f>
        <v>36</v>
      </c>
      <c r="O40" s="565">
        <f>BASE_FRETES15[[#This Row],[VALOR PAGO 1]]*0.05/30*BASE_FRETES15[[#This Row],[DIAS ATRASO]]+BASE_FRETES15[[#This Row],[VALOR PAGO 1]]*0.02</f>
        <v>600.08000000000004</v>
      </c>
    </row>
    <row r="41" spans="1:15" x14ac:dyDescent="0.3">
      <c r="A41" t="s">
        <v>220</v>
      </c>
      <c r="B41">
        <v>960</v>
      </c>
      <c r="C41">
        <v>936</v>
      </c>
      <c r="D41" s="179">
        <v>46212</v>
      </c>
      <c r="E41" t="s">
        <v>376</v>
      </c>
      <c r="F41" t="s">
        <v>272</v>
      </c>
      <c r="G41" s="583">
        <v>7501</v>
      </c>
      <c r="H41" s="583">
        <v>0</v>
      </c>
      <c r="I41" s="565">
        <f t="shared" si="2"/>
        <v>7501</v>
      </c>
      <c r="J41" s="179">
        <v>46261</v>
      </c>
      <c r="K41" s="179">
        <v>46297</v>
      </c>
      <c r="L41" s="565">
        <v>7501</v>
      </c>
      <c r="M41" s="565">
        <f t="shared" si="3"/>
        <v>0</v>
      </c>
      <c r="N41" s="562">
        <f>BASE_FRETES15[[#This Row],[DATA DE PAGAMENTO 1]]-BASE_FRETES15[[#This Row],[VENCIMENTO]]</f>
        <v>36</v>
      </c>
      <c r="O41" s="565">
        <f>BASE_FRETES15[[#This Row],[VALOR PAGO 1]]*0.05/30*BASE_FRETES15[[#This Row],[DIAS ATRASO]]+BASE_FRETES15[[#This Row],[VALOR PAGO 1]]*0.02</f>
        <v>600.08000000000004</v>
      </c>
    </row>
    <row r="42" spans="1:15" x14ac:dyDescent="0.3">
      <c r="A42" t="s">
        <v>220</v>
      </c>
      <c r="B42">
        <v>960</v>
      </c>
      <c r="C42">
        <v>936</v>
      </c>
      <c r="D42" s="179">
        <v>46212</v>
      </c>
      <c r="E42" t="s">
        <v>376</v>
      </c>
      <c r="F42" t="s">
        <v>272</v>
      </c>
      <c r="G42" s="583">
        <v>7501</v>
      </c>
      <c r="H42" s="583">
        <v>0</v>
      </c>
      <c r="I42" s="565">
        <f t="shared" si="2"/>
        <v>7501</v>
      </c>
      <c r="J42" s="179">
        <v>46268</v>
      </c>
      <c r="K42" s="179">
        <v>46297</v>
      </c>
      <c r="L42" s="565">
        <v>7501</v>
      </c>
      <c r="M42" s="565">
        <f t="shared" si="3"/>
        <v>0</v>
      </c>
      <c r="N42" s="562">
        <f>BASE_FRETES15[[#This Row],[DATA DE PAGAMENTO 1]]-BASE_FRETES15[[#This Row],[VENCIMENTO]]</f>
        <v>29</v>
      </c>
      <c r="O42" s="565">
        <f>BASE_FRETES15[[#This Row],[VALOR PAGO 1]]*0.05/30*BASE_FRETES15[[#This Row],[DIAS ATRASO]]+BASE_FRETES15[[#This Row],[VALOR PAGO 1]]*0.02</f>
        <v>512.56833333333338</v>
      </c>
    </row>
    <row r="43" spans="1:15" x14ac:dyDescent="0.3">
      <c r="A43" t="s">
        <v>220</v>
      </c>
      <c r="B43">
        <v>961</v>
      </c>
      <c r="C43">
        <v>937</v>
      </c>
      <c r="D43" s="179">
        <v>46212</v>
      </c>
      <c r="E43" t="s">
        <v>377</v>
      </c>
      <c r="F43" t="s">
        <v>272</v>
      </c>
      <c r="G43" s="583">
        <v>11970</v>
      </c>
      <c r="H43" s="583">
        <v>0</v>
      </c>
      <c r="I43" s="565">
        <f t="shared" si="2"/>
        <v>11970</v>
      </c>
      <c r="J43" s="179">
        <v>46233</v>
      </c>
      <c r="K43" s="179">
        <v>46281</v>
      </c>
      <c r="L43" s="565">
        <v>11970</v>
      </c>
      <c r="M43" s="565">
        <f t="shared" si="3"/>
        <v>0</v>
      </c>
      <c r="N43" s="562">
        <f>BASE_FRETES15[[#This Row],[DATA DE PAGAMENTO 1]]-BASE_FRETES15[[#This Row],[VENCIMENTO]]</f>
        <v>48</v>
      </c>
      <c r="O43" s="565">
        <f>BASE_FRETES15[[#This Row],[VALOR PAGO 1]]*0.05/30*BASE_FRETES15[[#This Row],[DIAS ATRASO]]+BASE_FRETES15[[#This Row],[VALOR PAGO 1]]*0.02</f>
        <v>1197</v>
      </c>
    </row>
    <row r="44" spans="1:15" x14ac:dyDescent="0.3">
      <c r="A44" t="s">
        <v>220</v>
      </c>
      <c r="B44">
        <v>961</v>
      </c>
      <c r="C44">
        <v>937</v>
      </c>
      <c r="D44" s="179">
        <v>46212</v>
      </c>
      <c r="E44" t="s">
        <v>377</v>
      </c>
      <c r="F44" t="s">
        <v>272</v>
      </c>
      <c r="G44" s="583">
        <v>11970</v>
      </c>
      <c r="H44" s="583">
        <v>0</v>
      </c>
      <c r="I44" s="565">
        <f t="shared" si="2"/>
        <v>11970</v>
      </c>
      <c r="J44" s="179">
        <v>46240</v>
      </c>
      <c r="K44" s="179">
        <v>46281</v>
      </c>
      <c r="L44" s="565">
        <v>11970</v>
      </c>
      <c r="M44" s="565">
        <f t="shared" si="3"/>
        <v>0</v>
      </c>
      <c r="N44" s="562">
        <f>BASE_FRETES15[[#This Row],[DATA DE PAGAMENTO 1]]-BASE_FRETES15[[#This Row],[VENCIMENTO]]</f>
        <v>41</v>
      </c>
      <c r="O44" s="565">
        <f>BASE_FRETES15[[#This Row],[VALOR PAGO 1]]*0.05/30*BASE_FRETES15[[#This Row],[DIAS ATRASO]]+BASE_FRETES15[[#This Row],[VALOR PAGO 1]]*0.02</f>
        <v>1057.3499999999999</v>
      </c>
    </row>
    <row r="45" spans="1:15" x14ac:dyDescent="0.3">
      <c r="A45" t="s">
        <v>220</v>
      </c>
      <c r="B45">
        <v>961</v>
      </c>
      <c r="C45">
        <v>937</v>
      </c>
      <c r="D45" s="179">
        <v>46212</v>
      </c>
      <c r="E45" t="s">
        <v>377</v>
      </c>
      <c r="F45" t="s">
        <v>272</v>
      </c>
      <c r="G45" s="583">
        <v>11970</v>
      </c>
      <c r="H45" s="583">
        <v>0</v>
      </c>
      <c r="I45" s="565">
        <f t="shared" si="2"/>
        <v>11970</v>
      </c>
      <c r="J45" s="179">
        <v>46247</v>
      </c>
      <c r="K45" s="179">
        <v>46281</v>
      </c>
      <c r="L45" s="565">
        <v>11970</v>
      </c>
      <c r="M45" s="565">
        <f t="shared" si="3"/>
        <v>0</v>
      </c>
      <c r="N45" s="562">
        <f>BASE_FRETES15[[#This Row],[DATA DE PAGAMENTO 1]]-BASE_FRETES15[[#This Row],[VENCIMENTO]]</f>
        <v>34</v>
      </c>
      <c r="O45" s="565">
        <f>BASE_FRETES15[[#This Row],[VALOR PAGO 1]]*0.05/30*BASE_FRETES15[[#This Row],[DIAS ATRASO]]+BASE_FRETES15[[#This Row],[VALOR PAGO 1]]*0.02</f>
        <v>917.69999999999993</v>
      </c>
    </row>
    <row r="46" spans="1:15" x14ac:dyDescent="0.3">
      <c r="A46" t="s">
        <v>220</v>
      </c>
      <c r="B46">
        <v>961</v>
      </c>
      <c r="C46">
        <v>937</v>
      </c>
      <c r="D46" s="179">
        <v>46212</v>
      </c>
      <c r="E46" t="s">
        <v>377</v>
      </c>
      <c r="F46" t="s">
        <v>272</v>
      </c>
      <c r="G46" s="583">
        <v>11970</v>
      </c>
      <c r="H46" s="583">
        <v>0</v>
      </c>
      <c r="I46" s="565">
        <f t="shared" si="2"/>
        <v>11970</v>
      </c>
      <c r="J46" s="179">
        <v>46254</v>
      </c>
      <c r="K46" s="179">
        <v>46290</v>
      </c>
      <c r="L46" s="565">
        <v>11970</v>
      </c>
      <c r="M46" s="565">
        <f t="shared" si="3"/>
        <v>0</v>
      </c>
      <c r="N46" s="562">
        <f>BASE_FRETES15[[#This Row],[DATA DE PAGAMENTO 1]]-BASE_FRETES15[[#This Row],[VENCIMENTO]]</f>
        <v>36</v>
      </c>
      <c r="O46" s="565">
        <f>BASE_FRETES15[[#This Row],[VALOR PAGO 1]]*0.05/30*BASE_FRETES15[[#This Row],[DIAS ATRASO]]+BASE_FRETES15[[#This Row],[VALOR PAGO 1]]*0.02</f>
        <v>957.59999999999991</v>
      </c>
    </row>
    <row r="47" spans="1:15" x14ac:dyDescent="0.3">
      <c r="A47" t="s">
        <v>220</v>
      </c>
      <c r="B47">
        <v>961</v>
      </c>
      <c r="C47">
        <v>937</v>
      </c>
      <c r="D47" s="179">
        <v>46212</v>
      </c>
      <c r="E47" t="s">
        <v>377</v>
      </c>
      <c r="F47" t="s">
        <v>272</v>
      </c>
      <c r="G47" s="583">
        <v>11970</v>
      </c>
      <c r="H47" s="583">
        <v>0</v>
      </c>
      <c r="I47" s="565">
        <f t="shared" si="2"/>
        <v>11970</v>
      </c>
      <c r="J47" s="179">
        <v>46261</v>
      </c>
      <c r="K47" s="179">
        <v>46297</v>
      </c>
      <c r="L47" s="565">
        <v>11970</v>
      </c>
      <c r="M47" s="565">
        <f t="shared" si="3"/>
        <v>0</v>
      </c>
      <c r="N47" s="562">
        <f>BASE_FRETES15[[#This Row],[DATA DE PAGAMENTO 1]]-BASE_FRETES15[[#This Row],[VENCIMENTO]]</f>
        <v>36</v>
      </c>
      <c r="O47" s="565">
        <f>BASE_FRETES15[[#This Row],[VALOR PAGO 1]]*0.05/30*BASE_FRETES15[[#This Row],[DIAS ATRASO]]+BASE_FRETES15[[#This Row],[VALOR PAGO 1]]*0.02</f>
        <v>957.59999999999991</v>
      </c>
    </row>
    <row r="48" spans="1:15" x14ac:dyDescent="0.3">
      <c r="A48" t="s">
        <v>220</v>
      </c>
      <c r="B48">
        <v>961</v>
      </c>
      <c r="C48">
        <v>937</v>
      </c>
      <c r="D48" s="179">
        <v>46212</v>
      </c>
      <c r="E48" t="s">
        <v>377</v>
      </c>
      <c r="F48" t="s">
        <v>272</v>
      </c>
      <c r="G48" s="583">
        <v>11970</v>
      </c>
      <c r="H48" s="583">
        <v>0</v>
      </c>
      <c r="I48" s="565">
        <f t="shared" si="2"/>
        <v>11970</v>
      </c>
      <c r="J48" s="179">
        <v>46268</v>
      </c>
      <c r="K48" s="179">
        <v>46297</v>
      </c>
      <c r="L48" s="565">
        <v>11970</v>
      </c>
      <c r="M48" s="565">
        <f t="shared" si="3"/>
        <v>0</v>
      </c>
      <c r="N48" s="562">
        <f>BASE_FRETES15[[#This Row],[DATA DE PAGAMENTO 1]]-BASE_FRETES15[[#This Row],[VENCIMENTO]]</f>
        <v>29</v>
      </c>
      <c r="O48" s="565">
        <f>BASE_FRETES15[[#This Row],[VALOR PAGO 1]]*0.05/30*BASE_FRETES15[[#This Row],[DIAS ATRASO]]+BASE_FRETES15[[#This Row],[VALOR PAGO 1]]*0.02</f>
        <v>817.94999999999993</v>
      </c>
    </row>
    <row r="49" spans="1:15" x14ac:dyDescent="0.3">
      <c r="A49" t="s">
        <v>220</v>
      </c>
      <c r="B49">
        <v>962</v>
      </c>
      <c r="C49">
        <v>938</v>
      </c>
      <c r="D49" s="179">
        <v>46212</v>
      </c>
      <c r="E49" t="s">
        <v>378</v>
      </c>
      <c r="F49" t="s">
        <v>272</v>
      </c>
      <c r="G49" s="583">
        <v>4294.4399999999996</v>
      </c>
      <c r="H49" s="583">
        <v>0</v>
      </c>
      <c r="I49" s="565">
        <f t="shared" si="2"/>
        <v>4294.4399999999996</v>
      </c>
      <c r="J49" s="179">
        <v>46233</v>
      </c>
      <c r="K49" s="179">
        <v>46281</v>
      </c>
      <c r="L49" s="565">
        <v>4294.4399999999996</v>
      </c>
      <c r="M49" s="565">
        <f t="shared" si="3"/>
        <v>0</v>
      </c>
      <c r="N49" s="562">
        <f>BASE_FRETES15[[#This Row],[DATA DE PAGAMENTO 1]]-BASE_FRETES15[[#This Row],[VENCIMENTO]]</f>
        <v>48</v>
      </c>
      <c r="O49" s="565">
        <f>BASE_FRETES15[[#This Row],[VALOR PAGO 1]]*0.05/30*BASE_FRETES15[[#This Row],[DIAS ATRASO]]+BASE_FRETES15[[#This Row],[VALOR PAGO 1]]*0.02</f>
        <v>429.44399999999996</v>
      </c>
    </row>
    <row r="50" spans="1:15" x14ac:dyDescent="0.3">
      <c r="A50" t="s">
        <v>220</v>
      </c>
      <c r="B50">
        <v>962</v>
      </c>
      <c r="C50">
        <v>938</v>
      </c>
      <c r="D50" s="179">
        <v>46212</v>
      </c>
      <c r="E50" t="s">
        <v>378</v>
      </c>
      <c r="F50" t="s">
        <v>272</v>
      </c>
      <c r="G50" s="583">
        <v>4293</v>
      </c>
      <c r="H50" s="583">
        <v>0</v>
      </c>
      <c r="I50" s="565">
        <f t="shared" si="2"/>
        <v>4293</v>
      </c>
      <c r="J50" s="179">
        <v>46240</v>
      </c>
      <c r="K50" s="179">
        <v>46281</v>
      </c>
      <c r="L50" s="565">
        <v>4293</v>
      </c>
      <c r="M50" s="565">
        <f t="shared" si="3"/>
        <v>0</v>
      </c>
      <c r="N50" s="562">
        <f>BASE_FRETES15[[#This Row],[DATA DE PAGAMENTO 1]]-BASE_FRETES15[[#This Row],[VENCIMENTO]]</f>
        <v>41</v>
      </c>
      <c r="O50" s="565">
        <f>BASE_FRETES15[[#This Row],[VALOR PAGO 1]]*0.05/30*BASE_FRETES15[[#This Row],[DIAS ATRASO]]+BASE_FRETES15[[#This Row],[VALOR PAGO 1]]*0.02</f>
        <v>379.21500000000003</v>
      </c>
    </row>
    <row r="51" spans="1:15" x14ac:dyDescent="0.3">
      <c r="A51" t="s">
        <v>220</v>
      </c>
      <c r="B51">
        <v>962</v>
      </c>
      <c r="C51">
        <v>938</v>
      </c>
      <c r="D51" s="179">
        <v>46212</v>
      </c>
      <c r="E51" t="s">
        <v>378</v>
      </c>
      <c r="F51" t="s">
        <v>272</v>
      </c>
      <c r="G51" s="583">
        <v>4293</v>
      </c>
      <c r="H51" s="583">
        <v>0</v>
      </c>
      <c r="I51" s="565">
        <f t="shared" si="2"/>
        <v>4293</v>
      </c>
      <c r="J51" s="179">
        <v>46247</v>
      </c>
      <c r="K51" s="179">
        <v>46281</v>
      </c>
      <c r="L51" s="565">
        <v>4293</v>
      </c>
      <c r="M51" s="565">
        <f t="shared" si="3"/>
        <v>0</v>
      </c>
      <c r="N51" s="562">
        <f>BASE_FRETES15[[#This Row],[DATA DE PAGAMENTO 1]]-BASE_FRETES15[[#This Row],[VENCIMENTO]]</f>
        <v>34</v>
      </c>
      <c r="O51" s="565">
        <f>BASE_FRETES15[[#This Row],[VALOR PAGO 1]]*0.05/30*BASE_FRETES15[[#This Row],[DIAS ATRASO]]+BASE_FRETES15[[#This Row],[VALOR PAGO 1]]*0.02</f>
        <v>329.13</v>
      </c>
    </row>
    <row r="52" spans="1:15" x14ac:dyDescent="0.3">
      <c r="A52" t="s">
        <v>220</v>
      </c>
      <c r="B52">
        <v>962</v>
      </c>
      <c r="C52">
        <v>938</v>
      </c>
      <c r="D52" s="179">
        <v>46212</v>
      </c>
      <c r="E52" t="s">
        <v>378</v>
      </c>
      <c r="F52" t="s">
        <v>272</v>
      </c>
      <c r="G52" s="583">
        <v>4293</v>
      </c>
      <c r="H52" s="583">
        <v>0</v>
      </c>
      <c r="I52" s="565">
        <f t="shared" si="2"/>
        <v>4293</v>
      </c>
      <c r="J52" s="179">
        <v>46254</v>
      </c>
      <c r="K52" s="179">
        <v>46290</v>
      </c>
      <c r="L52" s="565">
        <v>4293</v>
      </c>
      <c r="M52" s="565">
        <f t="shared" si="3"/>
        <v>0</v>
      </c>
      <c r="N52" s="562">
        <f>BASE_FRETES15[[#This Row],[DATA DE PAGAMENTO 1]]-BASE_FRETES15[[#This Row],[VENCIMENTO]]</f>
        <v>36</v>
      </c>
      <c r="O52" s="565">
        <f>BASE_FRETES15[[#This Row],[VALOR PAGO 1]]*0.05/30*BASE_FRETES15[[#This Row],[DIAS ATRASO]]+BASE_FRETES15[[#This Row],[VALOR PAGO 1]]*0.02</f>
        <v>343.44</v>
      </c>
    </row>
    <row r="53" spans="1:15" x14ac:dyDescent="0.3">
      <c r="A53" t="s">
        <v>220</v>
      </c>
      <c r="B53">
        <v>962</v>
      </c>
      <c r="C53">
        <v>938</v>
      </c>
      <c r="D53" s="179">
        <v>46212</v>
      </c>
      <c r="E53" t="s">
        <v>378</v>
      </c>
      <c r="F53" t="s">
        <v>272</v>
      </c>
      <c r="G53" s="583">
        <v>4293</v>
      </c>
      <c r="H53" s="583">
        <v>0</v>
      </c>
      <c r="I53" s="565">
        <f t="shared" si="2"/>
        <v>4293</v>
      </c>
      <c r="J53" s="179">
        <v>46261</v>
      </c>
      <c r="K53" s="179">
        <v>46297</v>
      </c>
      <c r="L53" s="565">
        <v>4293</v>
      </c>
      <c r="M53" s="565">
        <f t="shared" si="3"/>
        <v>0</v>
      </c>
      <c r="N53" s="562">
        <f>BASE_FRETES15[[#This Row],[DATA DE PAGAMENTO 1]]-BASE_FRETES15[[#This Row],[VENCIMENTO]]</f>
        <v>36</v>
      </c>
      <c r="O53" s="565">
        <f>BASE_FRETES15[[#This Row],[VALOR PAGO 1]]*0.05/30*BASE_FRETES15[[#This Row],[DIAS ATRASO]]+BASE_FRETES15[[#This Row],[VALOR PAGO 1]]*0.02</f>
        <v>343.44</v>
      </c>
    </row>
    <row r="54" spans="1:15" x14ac:dyDescent="0.3">
      <c r="A54" t="s">
        <v>220</v>
      </c>
      <c r="B54">
        <v>962</v>
      </c>
      <c r="C54">
        <v>938</v>
      </c>
      <c r="D54" s="179">
        <v>46212</v>
      </c>
      <c r="E54" t="s">
        <v>378</v>
      </c>
      <c r="F54" t="s">
        <v>272</v>
      </c>
      <c r="G54" s="583">
        <v>4293</v>
      </c>
      <c r="H54" s="583">
        <v>0</v>
      </c>
      <c r="I54" s="565">
        <f t="shared" si="2"/>
        <v>4293</v>
      </c>
      <c r="J54" s="179">
        <v>46268</v>
      </c>
      <c r="K54" s="179">
        <v>46297</v>
      </c>
      <c r="L54" s="565">
        <v>4293</v>
      </c>
      <c r="M54" s="565">
        <f t="shared" si="3"/>
        <v>0</v>
      </c>
      <c r="N54" s="562">
        <f>BASE_FRETES15[[#This Row],[DATA DE PAGAMENTO 1]]-BASE_FRETES15[[#This Row],[VENCIMENTO]]</f>
        <v>29</v>
      </c>
      <c r="O54" s="565">
        <f>BASE_FRETES15[[#This Row],[VALOR PAGO 1]]*0.05/30*BASE_FRETES15[[#This Row],[DIAS ATRASO]]+BASE_FRETES15[[#This Row],[VALOR PAGO 1]]*0.02</f>
        <v>293.35500000000002</v>
      </c>
    </row>
    <row r="55" spans="1:15" x14ac:dyDescent="0.3">
      <c r="A55" t="s">
        <v>220</v>
      </c>
      <c r="B55">
        <v>966</v>
      </c>
      <c r="C55">
        <v>946</v>
      </c>
      <c r="D55" s="179">
        <v>46218</v>
      </c>
      <c r="E55" t="s">
        <v>376</v>
      </c>
      <c r="F55" t="s">
        <v>272</v>
      </c>
      <c r="G55" s="583">
        <v>9323.84</v>
      </c>
      <c r="H55" s="583">
        <v>0</v>
      </c>
      <c r="I55" s="565">
        <f t="shared" si="2"/>
        <v>9323.84</v>
      </c>
      <c r="J55" s="179">
        <v>46239</v>
      </c>
      <c r="K55" s="179">
        <v>46281</v>
      </c>
      <c r="L55" s="565">
        <v>9323.84</v>
      </c>
      <c r="M55" s="565">
        <f t="shared" si="3"/>
        <v>0</v>
      </c>
      <c r="N55" s="562">
        <f>BASE_FRETES15[[#This Row],[DATA DE PAGAMENTO 1]]-BASE_FRETES15[[#This Row],[VENCIMENTO]]</f>
        <v>42</v>
      </c>
      <c r="O55" s="565">
        <f>BASE_FRETES15[[#This Row],[VALOR PAGO 1]]*0.05/30*BASE_FRETES15[[#This Row],[DIAS ATRASO]]+BASE_FRETES15[[#This Row],[VALOR PAGO 1]]*0.02</f>
        <v>839.14560000000006</v>
      </c>
    </row>
    <row r="56" spans="1:15" x14ac:dyDescent="0.3">
      <c r="A56" t="s">
        <v>220</v>
      </c>
      <c r="B56">
        <v>966</v>
      </c>
      <c r="C56">
        <v>946</v>
      </c>
      <c r="D56" s="179">
        <v>46218</v>
      </c>
      <c r="E56" t="s">
        <v>376</v>
      </c>
      <c r="F56" t="s">
        <v>272</v>
      </c>
      <c r="G56" s="583">
        <v>9320</v>
      </c>
      <c r="H56" s="583">
        <v>0</v>
      </c>
      <c r="I56" s="565">
        <f t="shared" si="2"/>
        <v>9320</v>
      </c>
      <c r="J56" s="179">
        <v>46246</v>
      </c>
      <c r="K56" s="179">
        <v>46297</v>
      </c>
      <c r="L56" s="565">
        <v>9319.9999999999964</v>
      </c>
      <c r="M56" s="565">
        <f t="shared" si="3"/>
        <v>0</v>
      </c>
      <c r="N56" s="562">
        <f>BASE_FRETES15[[#This Row],[DATA DE PAGAMENTO 1]]-BASE_FRETES15[[#This Row],[VENCIMENTO]]</f>
        <v>51</v>
      </c>
      <c r="O56" s="565">
        <f>BASE_FRETES15[[#This Row],[VALOR PAGO 1]]*0.05/30*BASE_FRETES15[[#This Row],[DIAS ATRASO]]+BASE_FRETES15[[#This Row],[VALOR PAGO 1]]*0.02</f>
        <v>978.59999999999968</v>
      </c>
    </row>
    <row r="57" spans="1:15" x14ac:dyDescent="0.3">
      <c r="A57" t="s">
        <v>220</v>
      </c>
      <c r="B57">
        <v>966</v>
      </c>
      <c r="C57">
        <v>946</v>
      </c>
      <c r="D57" s="179">
        <v>46218</v>
      </c>
      <c r="E57" t="s">
        <v>376</v>
      </c>
      <c r="F57" t="s">
        <v>272</v>
      </c>
      <c r="G57" s="583">
        <v>9320</v>
      </c>
      <c r="H57" s="583">
        <v>0</v>
      </c>
      <c r="I57" s="565">
        <f t="shared" si="2"/>
        <v>9320</v>
      </c>
      <c r="J57" s="179">
        <v>46253</v>
      </c>
      <c r="K57" s="179">
        <v>46290</v>
      </c>
      <c r="L57" s="565">
        <v>9320</v>
      </c>
      <c r="M57" s="565">
        <f t="shared" si="3"/>
        <v>0</v>
      </c>
      <c r="N57" s="562">
        <f>BASE_FRETES15[[#This Row],[DATA DE PAGAMENTO 1]]-BASE_FRETES15[[#This Row],[VENCIMENTO]]</f>
        <v>37</v>
      </c>
      <c r="O57" s="565">
        <f>BASE_FRETES15[[#This Row],[VALOR PAGO 1]]*0.05/30*BASE_FRETES15[[#This Row],[DIAS ATRASO]]+BASE_FRETES15[[#This Row],[VALOR PAGO 1]]*0.02</f>
        <v>761.13333333333333</v>
      </c>
    </row>
    <row r="58" spans="1:15" x14ac:dyDescent="0.3">
      <c r="A58" t="s">
        <v>220</v>
      </c>
      <c r="B58">
        <v>966</v>
      </c>
      <c r="C58">
        <v>946</v>
      </c>
      <c r="D58" s="179">
        <v>46218</v>
      </c>
      <c r="E58" t="s">
        <v>376</v>
      </c>
      <c r="F58" t="s">
        <v>272</v>
      </c>
      <c r="G58" s="583">
        <v>9320</v>
      </c>
      <c r="H58" s="583">
        <v>0</v>
      </c>
      <c r="I58" s="565">
        <f t="shared" si="2"/>
        <v>9320</v>
      </c>
      <c r="J58" s="179">
        <v>46260</v>
      </c>
      <c r="K58" s="179">
        <v>46290</v>
      </c>
      <c r="L58" s="565">
        <v>9320</v>
      </c>
      <c r="M58" s="565">
        <f t="shared" si="3"/>
        <v>0</v>
      </c>
      <c r="N58" s="562">
        <f>BASE_FRETES15[[#This Row],[DATA DE PAGAMENTO 1]]-BASE_FRETES15[[#This Row],[VENCIMENTO]]</f>
        <v>30</v>
      </c>
      <c r="O58" s="565">
        <f>BASE_FRETES15[[#This Row],[VALOR PAGO 1]]*0.05/30*BASE_FRETES15[[#This Row],[DIAS ATRASO]]+BASE_FRETES15[[#This Row],[VALOR PAGO 1]]*0.02</f>
        <v>652.4</v>
      </c>
    </row>
    <row r="59" spans="1:15" x14ac:dyDescent="0.3">
      <c r="A59" t="s">
        <v>220</v>
      </c>
      <c r="B59">
        <v>966</v>
      </c>
      <c r="C59">
        <v>946</v>
      </c>
      <c r="D59" s="179">
        <v>46218</v>
      </c>
      <c r="E59" t="s">
        <v>376</v>
      </c>
      <c r="F59" t="s">
        <v>272</v>
      </c>
      <c r="G59" s="583">
        <v>9320</v>
      </c>
      <c r="H59" s="583">
        <v>0</v>
      </c>
      <c r="I59" s="565">
        <f t="shared" si="2"/>
        <v>9320</v>
      </c>
      <c r="J59" s="179">
        <v>46267</v>
      </c>
      <c r="K59" s="179">
        <v>46273</v>
      </c>
      <c r="L59" s="565">
        <v>9320</v>
      </c>
      <c r="M59" s="565">
        <f t="shared" si="3"/>
        <v>0</v>
      </c>
      <c r="N59" s="562">
        <f>BASE_FRETES15[[#This Row],[DATA DE PAGAMENTO 1]]-BASE_FRETES15[[#This Row],[VENCIMENTO]]</f>
        <v>6</v>
      </c>
      <c r="O59" s="565">
        <f>BASE_FRETES15[[#This Row],[VALOR PAGO 1]]*0.05/30*BASE_FRETES15[[#This Row],[DIAS ATRASO]]+BASE_FRETES15[[#This Row],[VALOR PAGO 1]]*0.02</f>
        <v>279.60000000000002</v>
      </c>
    </row>
    <row r="60" spans="1:15" x14ac:dyDescent="0.3">
      <c r="A60" t="s">
        <v>220</v>
      </c>
      <c r="B60">
        <v>966</v>
      </c>
      <c r="C60">
        <v>946</v>
      </c>
      <c r="D60" s="179">
        <v>46218</v>
      </c>
      <c r="E60" t="s">
        <v>376</v>
      </c>
      <c r="F60" t="s">
        <v>272</v>
      </c>
      <c r="G60" s="583">
        <v>9320</v>
      </c>
      <c r="H60" s="583">
        <v>0</v>
      </c>
      <c r="I60" s="565">
        <f t="shared" si="2"/>
        <v>9320</v>
      </c>
      <c r="J60" s="179">
        <v>46274</v>
      </c>
      <c r="K60" s="179">
        <v>46304</v>
      </c>
      <c r="L60" s="565">
        <v>9320</v>
      </c>
      <c r="M60" s="565">
        <f t="shared" si="3"/>
        <v>0</v>
      </c>
      <c r="N60" s="562">
        <f>BASE_FRETES15[[#This Row],[DATA DE PAGAMENTO 1]]-BASE_FRETES15[[#This Row],[VENCIMENTO]]</f>
        <v>30</v>
      </c>
      <c r="O60" s="565">
        <f>BASE_FRETES15[[#This Row],[VALOR PAGO 1]]*0.05/30*BASE_FRETES15[[#This Row],[DIAS ATRASO]]+BASE_FRETES15[[#This Row],[VALOR PAGO 1]]*0.02</f>
        <v>652.4</v>
      </c>
    </row>
    <row r="61" spans="1:15" x14ac:dyDescent="0.3">
      <c r="O61" s="565">
        <f>SUBTOTAL(109,BASE_FRETES15[JUROS])</f>
        <v>38617.75008333334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Janeiro </vt:lpstr>
      <vt:lpstr>Fevereiro </vt:lpstr>
      <vt:lpstr>Março</vt:lpstr>
      <vt:lpstr>Abril</vt:lpstr>
      <vt:lpstr>Maio 2025</vt:lpstr>
      <vt:lpstr>Junho 2025</vt:lpstr>
      <vt:lpstr>Julho 2025</vt:lpstr>
      <vt:lpstr>Agosto 2025</vt:lpstr>
      <vt:lpstr>Setembro 2025</vt:lpstr>
      <vt:lpstr>Outubro 2025 </vt:lpstr>
      <vt:lpstr>Novembro 2025 </vt:lpstr>
      <vt:lpstr>Dezembro 2025</vt:lpstr>
      <vt:lpstr>Janeiro 2026</vt:lpstr>
      <vt:lpstr>Fevereiro 2026</vt:lpstr>
      <vt:lpstr>Março 2026</vt:lpstr>
      <vt:lpstr>Abril 2026</vt:lpstr>
      <vt:lpstr>Maio 2026</vt:lpstr>
      <vt:lpstr>Junho 2026</vt:lpstr>
      <vt:lpstr>Julho 2026</vt:lpstr>
      <vt:lpstr>Inadimplencia</vt:lpstr>
      <vt:lpstr>RESUMO FERREIRA</vt:lpstr>
      <vt:lpstr>Silvano</vt:lpstr>
      <vt:lpstr>Planilha1 (2)</vt:lpstr>
      <vt:lpstr>Planilha1</vt:lpstr>
      <vt:lpstr>BASE</vt:lpstr>
      <vt:lpstr>FERREIRA - JUROS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 Group comercial</cp:lastModifiedBy>
  <cp:lastPrinted>2026-04-22T12:01:49Z</cp:lastPrinted>
  <dcterms:created xsi:type="dcterms:W3CDTF">2023-01-06T14:29:51Z</dcterms:created>
  <dcterms:modified xsi:type="dcterms:W3CDTF">2026-10-22T20:11:57Z</dcterms:modified>
</cp:coreProperties>
</file>